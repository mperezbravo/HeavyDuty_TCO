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upcomillas-my.sharepoint.com/personal/mperezb_comillas_edu/Documents/Papers/Tte-pesado/Anlisis_HDV_EEA/Codigo_Git/data/"/>
    </mc:Choice>
  </mc:AlternateContent>
  <xr:revisionPtr revIDLastSave="65" documentId="8_{47AF2674-DACC-4294-A52F-C09C6DF928F4}" xr6:coauthVersionLast="47" xr6:coauthVersionMax="47" xr10:uidLastSave="{2C4D1497-B3D1-41FA-89FD-F7DF9619606E}"/>
  <bookViews>
    <workbookView xWindow="-26190" yWindow="1005" windowWidth="21600" windowHeight="11235" xr2:uid="{CBC8F5B2-E2A0-40FC-BB28-D37AC26560FA}"/>
  </bookViews>
  <sheets>
    <sheet name="CAPEX_Input" sheetId="3" r:id="rId1"/>
    <sheet name="data_Powertrain_Features" sheetId="11" r:id="rId2"/>
    <sheet name="data_Efficiencies" sheetId="8" r:id="rId3"/>
    <sheet name="data_CAPEX_Vehicles" sheetId="2" r:id="rId4"/>
    <sheet name="data_Components_Prices" sheetId="6" r:id="rId5"/>
    <sheet name="data_Chassis" sheetId="4" r:id="rId6"/>
    <sheet name="FuelPrices_" sheetId="13" r:id="rId7"/>
    <sheet name="Hoja6" sheetId="18" r:id="rId8"/>
    <sheet name="data_FuelPrices" sheetId="15" r:id="rId9"/>
  </sheets>
  <definedNames>
    <definedName name="_xlnm._FilterDatabase" localSheetId="4" hidden="1">data_Components_Prices!$A$1:$D$89</definedName>
    <definedName name="DatosExternos_1" localSheetId="3" hidden="1">data_CAPEX_Vehicles!#REF!</definedName>
    <definedName name="DatosExternos_1" localSheetId="5" hidden="1">data_Chassis!#REF!</definedName>
    <definedName name="DatosExternos_1" localSheetId="2" hidden="1">data_Efficiencies!#REF!</definedName>
    <definedName name="DatosExternos_2" localSheetId="4" hidden="1">data_Components_Prices!#REF!</definedName>
    <definedName name="DatosExternos_2" localSheetId="2" hidden="1">data_Efficiencies!#REF!</definedName>
  </definedNames>
  <calcPr calcId="191029"/>
  <pivotCaches>
    <pivotCache cacheId="0" r:id="rId10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20" i="13" l="1"/>
  <c r="AG21" i="13"/>
  <c r="AG20" i="13"/>
  <c r="AG19" i="13"/>
  <c r="W20" i="13"/>
  <c r="W21" i="13"/>
  <c r="R21" i="13" s="1"/>
  <c r="R45" i="13" s="1"/>
  <c r="W19" i="13"/>
  <c r="M20" i="13"/>
  <c r="R20" i="13"/>
  <c r="R44" i="13" s="1"/>
  <c r="R19" i="13"/>
  <c r="G34" i="13"/>
  <c r="D195" i="8"/>
  <c r="D196" i="8"/>
  <c r="D197" i="8"/>
  <c r="D198" i="8"/>
  <c r="D199" i="8"/>
  <c r="D200" i="8"/>
  <c r="D201" i="8"/>
  <c r="D202" i="8"/>
  <c r="D203" i="8"/>
  <c r="D204" i="8"/>
  <c r="D205" i="8"/>
  <c r="D206" i="8"/>
  <c r="D207" i="8"/>
  <c r="D208" i="8"/>
  <c r="D209" i="8"/>
  <c r="D210" i="8"/>
  <c r="D211" i="8"/>
  <c r="D212" i="8"/>
  <c r="D213" i="8"/>
  <c r="D214" i="8"/>
  <c r="D215" i="8"/>
  <c r="D216" i="8"/>
  <c r="D217" i="8"/>
  <c r="D218" i="8"/>
  <c r="D219" i="8"/>
  <c r="D220" i="8"/>
  <c r="D221" i="8"/>
  <c r="D222" i="8"/>
  <c r="D223" i="8"/>
  <c r="D224" i="8"/>
  <c r="D225" i="8"/>
  <c r="D226" i="8"/>
  <c r="D227" i="8"/>
  <c r="D228" i="8"/>
  <c r="D229" i="8"/>
  <c r="D230" i="8"/>
  <c r="D231" i="8"/>
  <c r="D232" i="8"/>
  <c r="D233" i="8"/>
  <c r="D234" i="8"/>
  <c r="D235" i="8"/>
  <c r="D236" i="8"/>
  <c r="D237" i="8"/>
  <c r="D238" i="8"/>
  <c r="D239" i="8"/>
  <c r="D240" i="8"/>
  <c r="D241" i="8"/>
  <c r="D194" i="8"/>
  <c r="F115" i="2"/>
  <c r="F116" i="2"/>
  <c r="F117" i="2"/>
  <c r="F118" i="2"/>
  <c r="F119" i="2"/>
  <c r="F120" i="2"/>
  <c r="F121" i="2"/>
  <c r="F122" i="2"/>
  <c r="F123" i="2"/>
  <c r="F124" i="2"/>
  <c r="F125" i="2"/>
  <c r="F126" i="2"/>
  <c r="F127" i="2"/>
  <c r="F128" i="2"/>
  <c r="F129" i="2"/>
  <c r="F114" i="2"/>
  <c r="F99" i="2"/>
  <c r="F100" i="2"/>
  <c r="F101" i="2"/>
  <c r="F102" i="2"/>
  <c r="F103" i="2"/>
  <c r="F104" i="2"/>
  <c r="F105" i="2"/>
  <c r="F106" i="2"/>
  <c r="F107" i="2"/>
  <c r="F108" i="2"/>
  <c r="F109" i="2"/>
  <c r="F110" i="2"/>
  <c r="F111" i="2"/>
  <c r="F112" i="2"/>
  <c r="F113" i="2"/>
  <c r="F98" i="2"/>
  <c r="O88" i="3"/>
  <c r="P88" i="3"/>
  <c r="O89" i="3"/>
  <c r="P89" i="3"/>
  <c r="O90" i="3"/>
  <c r="P90" i="3"/>
  <c r="O91" i="3"/>
  <c r="P91" i="3"/>
  <c r="O92" i="3"/>
  <c r="P92" i="3"/>
  <c r="O93" i="3"/>
  <c r="P93" i="3"/>
  <c r="O94" i="3"/>
  <c r="P94" i="3"/>
  <c r="O95" i="3"/>
  <c r="P95" i="3"/>
  <c r="O96" i="3"/>
  <c r="P96" i="3"/>
  <c r="O97" i="3"/>
  <c r="P97" i="3"/>
  <c r="O98" i="3"/>
  <c r="P98" i="3"/>
  <c r="O99" i="3"/>
  <c r="P99" i="3"/>
  <c r="O100" i="3"/>
  <c r="P100" i="3"/>
  <c r="O101" i="3"/>
  <c r="P101" i="3"/>
  <c r="O102" i="3"/>
  <c r="P102" i="3"/>
  <c r="N89" i="3"/>
  <c r="N90" i="3"/>
  <c r="N91" i="3"/>
  <c r="N92" i="3"/>
  <c r="N93" i="3"/>
  <c r="N94" i="3"/>
  <c r="N95" i="3"/>
  <c r="N96" i="3"/>
  <c r="N97" i="3"/>
  <c r="N98" i="3"/>
  <c r="N99" i="3"/>
  <c r="N100" i="3"/>
  <c r="N101" i="3"/>
  <c r="N102" i="3"/>
  <c r="N88" i="3"/>
  <c r="A3" i="15"/>
  <c r="B3" i="15"/>
  <c r="C3" i="15"/>
  <c r="A4" i="15"/>
  <c r="B4" i="15"/>
  <c r="C4" i="15"/>
  <c r="A5" i="15"/>
  <c r="B5" i="15"/>
  <c r="C5" i="15"/>
  <c r="A6" i="15"/>
  <c r="B6" i="15"/>
  <c r="C6" i="15"/>
  <c r="A7" i="15"/>
  <c r="B7" i="15"/>
  <c r="C7" i="15"/>
  <c r="A8" i="15"/>
  <c r="B8" i="15"/>
  <c r="C8" i="15"/>
  <c r="A9" i="15"/>
  <c r="B9" i="15"/>
  <c r="C9" i="15"/>
  <c r="A10" i="15"/>
  <c r="B10" i="15"/>
  <c r="C10" i="15"/>
  <c r="A11" i="15"/>
  <c r="B11" i="15"/>
  <c r="C11" i="15"/>
  <c r="A12" i="15"/>
  <c r="B12" i="15"/>
  <c r="C12" i="15"/>
  <c r="A13" i="15"/>
  <c r="B13" i="15"/>
  <c r="C13" i="15"/>
  <c r="A14" i="15"/>
  <c r="B14" i="15"/>
  <c r="C14" i="15"/>
  <c r="A15" i="15"/>
  <c r="B15" i="15"/>
  <c r="C15" i="15"/>
  <c r="A16" i="15"/>
  <c r="B16" i="15"/>
  <c r="C16" i="15"/>
  <c r="A17" i="15"/>
  <c r="B17" i="15"/>
  <c r="C17" i="15"/>
  <c r="A18" i="15"/>
  <c r="B18" i="15"/>
  <c r="C18" i="15"/>
  <c r="A19" i="15"/>
  <c r="B19" i="15"/>
  <c r="C19" i="15"/>
  <c r="A20" i="15"/>
  <c r="B20" i="15"/>
  <c r="C20" i="15"/>
  <c r="A21" i="15"/>
  <c r="B21" i="15"/>
  <c r="C21" i="15"/>
  <c r="A22" i="15"/>
  <c r="B22" i="15"/>
  <c r="C22" i="15"/>
  <c r="A23" i="15"/>
  <c r="B23" i="15"/>
  <c r="C23" i="15"/>
  <c r="A24" i="15"/>
  <c r="B24" i="15"/>
  <c r="C24" i="15"/>
  <c r="A25" i="15"/>
  <c r="B25" i="15"/>
  <c r="C25" i="15"/>
  <c r="A26" i="15"/>
  <c r="B26" i="15"/>
  <c r="C26" i="15"/>
  <c r="A27" i="15"/>
  <c r="B27" i="15"/>
  <c r="C27" i="15"/>
  <c r="A28" i="15"/>
  <c r="B28" i="15"/>
  <c r="C28" i="15"/>
  <c r="A29" i="15"/>
  <c r="B29" i="15"/>
  <c r="C29" i="15"/>
  <c r="A30" i="15"/>
  <c r="B30" i="15"/>
  <c r="C30" i="15"/>
  <c r="A31" i="15"/>
  <c r="B31" i="15"/>
  <c r="C31" i="15"/>
  <c r="A32" i="15"/>
  <c r="B32" i="15"/>
  <c r="C32" i="15"/>
  <c r="A33" i="15"/>
  <c r="B33" i="15"/>
  <c r="C33" i="15"/>
  <c r="A34" i="15"/>
  <c r="B34" i="15"/>
  <c r="C34" i="15"/>
  <c r="A35" i="15"/>
  <c r="B35" i="15"/>
  <c r="C35" i="15"/>
  <c r="A36" i="15"/>
  <c r="B36" i="15"/>
  <c r="C36" i="15"/>
  <c r="A37" i="15"/>
  <c r="B37" i="15"/>
  <c r="C37" i="15"/>
  <c r="A38" i="15"/>
  <c r="B38" i="15"/>
  <c r="C38" i="15"/>
  <c r="A39" i="15"/>
  <c r="B39" i="15"/>
  <c r="C39" i="15"/>
  <c r="A40" i="15"/>
  <c r="B40" i="15"/>
  <c r="C40" i="15"/>
  <c r="A41" i="15"/>
  <c r="B41" i="15"/>
  <c r="C41" i="15"/>
  <c r="A42" i="15"/>
  <c r="B42" i="15"/>
  <c r="C42" i="15"/>
  <c r="A43" i="15"/>
  <c r="B43" i="15"/>
  <c r="C43" i="15"/>
  <c r="A44" i="15"/>
  <c r="B44" i="15"/>
  <c r="C44" i="15"/>
  <c r="A45" i="15"/>
  <c r="B45" i="15"/>
  <c r="C45" i="15"/>
  <c r="A46" i="15"/>
  <c r="B46" i="15"/>
  <c r="C46" i="15"/>
  <c r="A47" i="15"/>
  <c r="B47" i="15"/>
  <c r="C47" i="15"/>
  <c r="A48" i="15"/>
  <c r="B48" i="15"/>
  <c r="C48" i="15"/>
  <c r="A49" i="15"/>
  <c r="B49" i="15"/>
  <c r="C49" i="15"/>
  <c r="A50" i="15"/>
  <c r="B50" i="15"/>
  <c r="C50" i="15"/>
  <c r="A51" i="15"/>
  <c r="B51" i="15"/>
  <c r="C51" i="15"/>
  <c r="A52" i="15"/>
  <c r="B52" i="15"/>
  <c r="C52" i="15"/>
  <c r="A53" i="15"/>
  <c r="B53" i="15"/>
  <c r="C53" i="15"/>
  <c r="A54" i="15"/>
  <c r="B54" i="15"/>
  <c r="C54" i="15"/>
  <c r="A55" i="15"/>
  <c r="B55" i="15"/>
  <c r="C55" i="15"/>
  <c r="A56" i="15"/>
  <c r="B56" i="15"/>
  <c r="C56" i="15"/>
  <c r="A57" i="15"/>
  <c r="B57" i="15"/>
  <c r="C57" i="15"/>
  <c r="A58" i="15"/>
  <c r="B58" i="15"/>
  <c r="C58" i="15"/>
  <c r="A59" i="15"/>
  <c r="B59" i="15"/>
  <c r="C59" i="15"/>
  <c r="A60" i="15"/>
  <c r="B60" i="15"/>
  <c r="C60" i="15"/>
  <c r="A61" i="15"/>
  <c r="B61" i="15"/>
  <c r="C61" i="15"/>
  <c r="A62" i="15"/>
  <c r="B62" i="15"/>
  <c r="C62" i="15"/>
  <c r="A63" i="15"/>
  <c r="B63" i="15"/>
  <c r="C63" i="15"/>
  <c r="A64" i="15"/>
  <c r="B64" i="15"/>
  <c r="C64" i="15"/>
  <c r="A65" i="15"/>
  <c r="B65" i="15"/>
  <c r="C65" i="15"/>
  <c r="A66" i="15"/>
  <c r="B66" i="15"/>
  <c r="C66" i="15"/>
  <c r="A67" i="15"/>
  <c r="B67" i="15"/>
  <c r="C67" i="15"/>
  <c r="A68" i="15"/>
  <c r="B68" i="15"/>
  <c r="C68" i="15"/>
  <c r="A69" i="15"/>
  <c r="B69" i="15"/>
  <c r="C69" i="15"/>
  <c r="A70" i="15"/>
  <c r="B70" i="15"/>
  <c r="C70" i="15"/>
  <c r="A71" i="15"/>
  <c r="B71" i="15"/>
  <c r="C71" i="15"/>
  <c r="A72" i="15"/>
  <c r="B72" i="15"/>
  <c r="C72" i="15"/>
  <c r="A73" i="15"/>
  <c r="B73" i="15"/>
  <c r="C73" i="15"/>
  <c r="A74" i="15"/>
  <c r="B74" i="15"/>
  <c r="C74" i="15"/>
  <c r="A75" i="15"/>
  <c r="B75" i="15"/>
  <c r="C75" i="15"/>
  <c r="A76" i="15"/>
  <c r="B76" i="15"/>
  <c r="C76" i="15"/>
  <c r="A77" i="15"/>
  <c r="B77" i="15"/>
  <c r="C77" i="15"/>
  <c r="A78" i="15"/>
  <c r="B78" i="15"/>
  <c r="C78" i="15"/>
  <c r="A79" i="15"/>
  <c r="B79" i="15"/>
  <c r="C79" i="15"/>
  <c r="A80" i="15"/>
  <c r="B80" i="15"/>
  <c r="C80" i="15"/>
  <c r="A81" i="15"/>
  <c r="B81" i="15"/>
  <c r="C81" i="15"/>
  <c r="A82" i="15"/>
  <c r="B82" i="15"/>
  <c r="C82" i="15"/>
  <c r="A83" i="15"/>
  <c r="B83" i="15"/>
  <c r="C83" i="15"/>
  <c r="A84" i="15"/>
  <c r="B84" i="15"/>
  <c r="C84" i="15"/>
  <c r="A85" i="15"/>
  <c r="B85" i="15"/>
  <c r="C85" i="15"/>
  <c r="A86" i="15"/>
  <c r="B86" i="15"/>
  <c r="C86" i="15"/>
  <c r="A87" i="15"/>
  <c r="B87" i="15"/>
  <c r="C87" i="15"/>
  <c r="A88" i="15"/>
  <c r="B88" i="15"/>
  <c r="C88" i="15"/>
  <c r="A89" i="15"/>
  <c r="B89" i="15"/>
  <c r="C89" i="15"/>
  <c r="A90" i="15"/>
  <c r="B90" i="15"/>
  <c r="C90" i="15"/>
  <c r="A91" i="15"/>
  <c r="B91" i="15"/>
  <c r="C91" i="15"/>
  <c r="A92" i="15"/>
  <c r="B92" i="15"/>
  <c r="C92" i="15"/>
  <c r="A93" i="15"/>
  <c r="B93" i="15"/>
  <c r="C93" i="15"/>
  <c r="A94" i="15"/>
  <c r="B94" i="15"/>
  <c r="C94" i="15"/>
  <c r="A95" i="15"/>
  <c r="B95" i="15"/>
  <c r="C95" i="15"/>
  <c r="A96" i="15"/>
  <c r="B96" i="15"/>
  <c r="C96" i="15"/>
  <c r="A97" i="15"/>
  <c r="B97" i="15"/>
  <c r="C97" i="15"/>
  <c r="A98" i="15"/>
  <c r="B98" i="15"/>
  <c r="C98" i="15"/>
  <c r="A99" i="15"/>
  <c r="B99" i="15"/>
  <c r="C99" i="15"/>
  <c r="A100" i="15"/>
  <c r="B100" i="15"/>
  <c r="C100" i="15"/>
  <c r="A101" i="15"/>
  <c r="B101" i="15"/>
  <c r="C101" i="15"/>
  <c r="A102" i="15"/>
  <c r="B102" i="15"/>
  <c r="C102" i="15"/>
  <c r="A103" i="15"/>
  <c r="B103" i="15"/>
  <c r="C103" i="15"/>
  <c r="A104" i="15"/>
  <c r="B104" i="15"/>
  <c r="C104" i="15"/>
  <c r="A105" i="15"/>
  <c r="B105" i="15"/>
  <c r="C105" i="15"/>
  <c r="A106" i="15"/>
  <c r="B106" i="15"/>
  <c r="C106" i="15"/>
  <c r="A107" i="15"/>
  <c r="B107" i="15"/>
  <c r="C107" i="15"/>
  <c r="A108" i="15"/>
  <c r="B108" i="15"/>
  <c r="C108" i="15"/>
  <c r="A109" i="15"/>
  <c r="B109" i="15"/>
  <c r="C109" i="15"/>
  <c r="A110" i="15"/>
  <c r="B110" i="15"/>
  <c r="C110" i="15"/>
  <c r="A111" i="15"/>
  <c r="B111" i="15"/>
  <c r="C111" i="15"/>
  <c r="A112" i="15"/>
  <c r="B112" i="15"/>
  <c r="C112" i="15"/>
  <c r="A113" i="15"/>
  <c r="B113" i="15"/>
  <c r="C113" i="15"/>
  <c r="A114" i="15"/>
  <c r="B114" i="15"/>
  <c r="C114" i="15"/>
  <c r="A115" i="15"/>
  <c r="B115" i="15"/>
  <c r="C115" i="15"/>
  <c r="A116" i="15"/>
  <c r="B116" i="15"/>
  <c r="C116" i="15"/>
  <c r="A117" i="15"/>
  <c r="B117" i="15"/>
  <c r="C117" i="15"/>
  <c r="A118" i="15"/>
  <c r="B118" i="15"/>
  <c r="C118" i="15"/>
  <c r="A119" i="15"/>
  <c r="B119" i="15"/>
  <c r="C119" i="15"/>
  <c r="A120" i="15"/>
  <c r="B120" i="15"/>
  <c r="C120" i="15"/>
  <c r="A121" i="15"/>
  <c r="B121" i="15"/>
  <c r="C121" i="15"/>
  <c r="A122" i="15"/>
  <c r="B122" i="15"/>
  <c r="C122" i="15"/>
  <c r="A123" i="15"/>
  <c r="B123" i="15"/>
  <c r="C123" i="15"/>
  <c r="A124" i="15"/>
  <c r="B124" i="15"/>
  <c r="C124" i="15"/>
  <c r="A125" i="15"/>
  <c r="B125" i="15"/>
  <c r="C125" i="15"/>
  <c r="A126" i="15"/>
  <c r="B126" i="15"/>
  <c r="C126" i="15"/>
  <c r="A127" i="15"/>
  <c r="B127" i="15"/>
  <c r="C127" i="15"/>
  <c r="A128" i="15"/>
  <c r="B128" i="15"/>
  <c r="C128" i="15"/>
  <c r="A129" i="15"/>
  <c r="B129" i="15"/>
  <c r="C129" i="15"/>
  <c r="A130" i="15"/>
  <c r="B130" i="15"/>
  <c r="C130" i="15"/>
  <c r="A131" i="15"/>
  <c r="B131" i="15"/>
  <c r="C131" i="15"/>
  <c r="A132" i="15"/>
  <c r="B132" i="15"/>
  <c r="C132" i="15"/>
  <c r="A133" i="15"/>
  <c r="B133" i="15"/>
  <c r="C133" i="15"/>
  <c r="A134" i="15"/>
  <c r="B134" i="15"/>
  <c r="C134" i="15"/>
  <c r="A135" i="15"/>
  <c r="B135" i="15"/>
  <c r="C135" i="15"/>
  <c r="A136" i="15"/>
  <c r="B136" i="15"/>
  <c r="C136" i="15"/>
  <c r="A137" i="15"/>
  <c r="B137" i="15"/>
  <c r="C137" i="15"/>
  <c r="A138" i="15"/>
  <c r="B138" i="15"/>
  <c r="C138" i="15"/>
  <c r="A139" i="15"/>
  <c r="B139" i="15"/>
  <c r="C139" i="15"/>
  <c r="A140" i="15"/>
  <c r="B140" i="15"/>
  <c r="C140" i="15"/>
  <c r="A141" i="15"/>
  <c r="B141" i="15"/>
  <c r="C141" i="15"/>
  <c r="A142" i="15"/>
  <c r="B142" i="15"/>
  <c r="C142" i="15"/>
  <c r="A143" i="15"/>
  <c r="B143" i="15"/>
  <c r="C143" i="15"/>
  <c r="A144" i="15"/>
  <c r="B144" i="15"/>
  <c r="C144" i="15"/>
  <c r="A145" i="15"/>
  <c r="B145" i="15"/>
  <c r="C145" i="15"/>
  <c r="A146" i="15"/>
  <c r="B146" i="15"/>
  <c r="C146" i="15"/>
  <c r="A147" i="15"/>
  <c r="B147" i="15"/>
  <c r="C147" i="15"/>
  <c r="A148" i="15"/>
  <c r="B148" i="15"/>
  <c r="C148" i="15"/>
  <c r="A149" i="15"/>
  <c r="B149" i="15"/>
  <c r="C149" i="15"/>
  <c r="A150" i="15"/>
  <c r="B150" i="15"/>
  <c r="C150" i="15"/>
  <c r="A151" i="15"/>
  <c r="B151" i="15"/>
  <c r="C151" i="15"/>
  <c r="A152" i="15"/>
  <c r="B152" i="15"/>
  <c r="C152" i="15"/>
  <c r="A153" i="15"/>
  <c r="B153" i="15"/>
  <c r="C153" i="15"/>
  <c r="A154" i="15"/>
  <c r="B154" i="15"/>
  <c r="C154" i="15"/>
  <c r="A155" i="15"/>
  <c r="B155" i="15"/>
  <c r="C155" i="15"/>
  <c r="A156" i="15"/>
  <c r="B156" i="15"/>
  <c r="C156" i="15"/>
  <c r="A157" i="15"/>
  <c r="B157" i="15"/>
  <c r="C157" i="15"/>
  <c r="A158" i="15"/>
  <c r="B158" i="15"/>
  <c r="C158" i="15"/>
  <c r="A159" i="15"/>
  <c r="B159" i="15"/>
  <c r="C159" i="15"/>
  <c r="A160" i="15"/>
  <c r="B160" i="15"/>
  <c r="C160" i="15"/>
  <c r="A161" i="15"/>
  <c r="B161" i="15"/>
  <c r="C161" i="15"/>
  <c r="A162" i="15"/>
  <c r="B162" i="15"/>
  <c r="C162" i="15"/>
  <c r="A163" i="15"/>
  <c r="B163" i="15"/>
  <c r="C163" i="15"/>
  <c r="A164" i="15"/>
  <c r="B164" i="15"/>
  <c r="C164" i="15"/>
  <c r="A165" i="15"/>
  <c r="B165" i="15"/>
  <c r="C165" i="15"/>
  <c r="A166" i="15"/>
  <c r="E166" i="15" s="1"/>
  <c r="B166" i="15"/>
  <c r="C166" i="15"/>
  <c r="A167" i="15"/>
  <c r="B167" i="15"/>
  <c r="C167" i="15"/>
  <c r="A168" i="15"/>
  <c r="B168" i="15"/>
  <c r="C168" i="15"/>
  <c r="A169" i="15"/>
  <c r="B169" i="15"/>
  <c r="C169" i="15"/>
  <c r="A170" i="15"/>
  <c r="B170" i="15"/>
  <c r="C170" i="15"/>
  <c r="A171" i="15"/>
  <c r="B171" i="15"/>
  <c r="C171" i="15"/>
  <c r="A172" i="15"/>
  <c r="B172" i="15"/>
  <c r="C172" i="15"/>
  <c r="A173" i="15"/>
  <c r="B173" i="15"/>
  <c r="C173" i="15"/>
  <c r="A174" i="15"/>
  <c r="B174" i="15"/>
  <c r="C174" i="15"/>
  <c r="A175" i="15"/>
  <c r="B175" i="15"/>
  <c r="C175" i="15"/>
  <c r="A176" i="15"/>
  <c r="B176" i="15"/>
  <c r="C176" i="15"/>
  <c r="A177" i="15"/>
  <c r="B177" i="15"/>
  <c r="C177" i="15"/>
  <c r="A178" i="15"/>
  <c r="B178" i="15"/>
  <c r="C178" i="15"/>
  <c r="A179" i="15"/>
  <c r="B179" i="15"/>
  <c r="C179" i="15"/>
  <c r="A180" i="15"/>
  <c r="B180" i="15"/>
  <c r="C180" i="15"/>
  <c r="A181" i="15"/>
  <c r="B181" i="15"/>
  <c r="C181" i="15"/>
  <c r="A182" i="15"/>
  <c r="B182" i="15"/>
  <c r="C182" i="15"/>
  <c r="A183" i="15"/>
  <c r="B183" i="15"/>
  <c r="C183" i="15"/>
  <c r="A184" i="15"/>
  <c r="B184" i="15"/>
  <c r="C184" i="15"/>
  <c r="A185" i="15"/>
  <c r="B185" i="15"/>
  <c r="C185" i="15"/>
  <c r="A186" i="15"/>
  <c r="B186" i="15"/>
  <c r="C186" i="15"/>
  <c r="A187" i="15"/>
  <c r="B187" i="15"/>
  <c r="C187" i="15"/>
  <c r="A188" i="15"/>
  <c r="B188" i="15"/>
  <c r="C188" i="15"/>
  <c r="A189" i="15"/>
  <c r="B189" i="15"/>
  <c r="C189" i="15"/>
  <c r="A190" i="15"/>
  <c r="B190" i="15"/>
  <c r="C190" i="15"/>
  <c r="A191" i="15"/>
  <c r="B191" i="15"/>
  <c r="C191" i="15"/>
  <c r="A192" i="15"/>
  <c r="B192" i="15"/>
  <c r="C192" i="15"/>
  <c r="A193" i="15"/>
  <c r="B193" i="15"/>
  <c r="C193" i="15"/>
  <c r="A194" i="15"/>
  <c r="B194" i="15"/>
  <c r="C194" i="15"/>
  <c r="A195" i="15"/>
  <c r="B195" i="15"/>
  <c r="C195" i="15"/>
  <c r="A196" i="15"/>
  <c r="B196" i="15"/>
  <c r="C196" i="15"/>
  <c r="A197" i="15"/>
  <c r="B197" i="15"/>
  <c r="C197" i="15"/>
  <c r="A198" i="15"/>
  <c r="B198" i="15"/>
  <c r="C198" i="15"/>
  <c r="A199" i="15"/>
  <c r="B199" i="15"/>
  <c r="C199" i="15"/>
  <c r="A200" i="15"/>
  <c r="B200" i="15"/>
  <c r="C200" i="15"/>
  <c r="A201" i="15"/>
  <c r="B201" i="15"/>
  <c r="C201" i="15"/>
  <c r="A202" i="15"/>
  <c r="B202" i="15"/>
  <c r="C202" i="15"/>
  <c r="A203" i="15"/>
  <c r="B203" i="15"/>
  <c r="C203" i="15"/>
  <c r="A204" i="15"/>
  <c r="B204" i="15"/>
  <c r="C204" i="15"/>
  <c r="A205" i="15"/>
  <c r="B205" i="15"/>
  <c r="C205" i="15"/>
  <c r="A206" i="15"/>
  <c r="B206" i="15"/>
  <c r="C206" i="15"/>
  <c r="A207" i="15"/>
  <c r="B207" i="15"/>
  <c r="C207" i="15"/>
  <c r="A208" i="15"/>
  <c r="B208" i="15"/>
  <c r="C208" i="15"/>
  <c r="A209" i="15"/>
  <c r="B209" i="15"/>
  <c r="C209" i="15"/>
  <c r="A210" i="15"/>
  <c r="B210" i="15"/>
  <c r="C210" i="15"/>
  <c r="A211" i="15"/>
  <c r="B211" i="15"/>
  <c r="C211" i="15"/>
  <c r="A212" i="15"/>
  <c r="B212" i="15"/>
  <c r="C212" i="15"/>
  <c r="A213" i="15"/>
  <c r="B213" i="15"/>
  <c r="C213" i="15"/>
  <c r="A214" i="15"/>
  <c r="B214" i="15"/>
  <c r="C214" i="15"/>
  <c r="A215" i="15"/>
  <c r="B215" i="15"/>
  <c r="C215" i="15"/>
  <c r="A216" i="15"/>
  <c r="B216" i="15"/>
  <c r="C216" i="15"/>
  <c r="A217" i="15"/>
  <c r="B217" i="15"/>
  <c r="C217" i="15"/>
  <c r="A218" i="15"/>
  <c r="B218" i="15"/>
  <c r="C218" i="15"/>
  <c r="A219" i="15"/>
  <c r="B219" i="15"/>
  <c r="C219" i="15"/>
  <c r="A220" i="15"/>
  <c r="B220" i="15"/>
  <c r="C220" i="15"/>
  <c r="A221" i="15"/>
  <c r="B221" i="15"/>
  <c r="C221" i="15"/>
  <c r="A222" i="15"/>
  <c r="B222" i="15"/>
  <c r="C222" i="15"/>
  <c r="A223" i="15"/>
  <c r="B223" i="15"/>
  <c r="C223" i="15"/>
  <c r="A224" i="15"/>
  <c r="B224" i="15"/>
  <c r="C224" i="15"/>
  <c r="A225" i="15"/>
  <c r="B225" i="15"/>
  <c r="C225" i="15"/>
  <c r="A226" i="15"/>
  <c r="B226" i="15"/>
  <c r="C226" i="15"/>
  <c r="A227" i="15"/>
  <c r="B227" i="15"/>
  <c r="C227" i="15"/>
  <c r="A228" i="15"/>
  <c r="B228" i="15"/>
  <c r="C228" i="15"/>
  <c r="A229" i="15"/>
  <c r="B229" i="15"/>
  <c r="C229" i="15"/>
  <c r="A230" i="15"/>
  <c r="B230" i="15"/>
  <c r="C230" i="15"/>
  <c r="A231" i="15"/>
  <c r="B231" i="15"/>
  <c r="C231" i="15"/>
  <c r="A232" i="15"/>
  <c r="B232" i="15"/>
  <c r="C232" i="15"/>
  <c r="A233" i="15"/>
  <c r="B233" i="15"/>
  <c r="C233" i="15"/>
  <c r="A234" i="15"/>
  <c r="B234" i="15"/>
  <c r="C234" i="15"/>
  <c r="A235" i="15"/>
  <c r="B235" i="15"/>
  <c r="C235" i="15"/>
  <c r="A236" i="15"/>
  <c r="B236" i="15"/>
  <c r="C236" i="15"/>
  <c r="A237" i="15"/>
  <c r="B237" i="15"/>
  <c r="C237" i="15"/>
  <c r="A238" i="15"/>
  <c r="B238" i="15"/>
  <c r="C238" i="15"/>
  <c r="A239" i="15"/>
  <c r="B239" i="15"/>
  <c r="C239" i="15"/>
  <c r="A240" i="15"/>
  <c r="B240" i="15"/>
  <c r="C240" i="15"/>
  <c r="A241" i="15"/>
  <c r="B241" i="15"/>
  <c r="C241" i="15"/>
  <c r="A242" i="15"/>
  <c r="B242" i="15"/>
  <c r="C242" i="15"/>
  <c r="A243" i="15"/>
  <c r="B243" i="15"/>
  <c r="C243" i="15"/>
  <c r="A244" i="15"/>
  <c r="B244" i="15"/>
  <c r="C244" i="15"/>
  <c r="A245" i="15"/>
  <c r="B245" i="15"/>
  <c r="C245" i="15"/>
  <c r="A246" i="15"/>
  <c r="B246" i="15"/>
  <c r="C246" i="15"/>
  <c r="A247" i="15"/>
  <c r="B247" i="15"/>
  <c r="C247" i="15"/>
  <c r="A248" i="15"/>
  <c r="B248" i="15"/>
  <c r="C248" i="15"/>
  <c r="A249" i="15"/>
  <c r="B249" i="15"/>
  <c r="C249" i="15"/>
  <c r="A250" i="15"/>
  <c r="B250" i="15"/>
  <c r="C250" i="15"/>
  <c r="A251" i="15"/>
  <c r="B251" i="15"/>
  <c r="C251" i="15"/>
  <c r="A252" i="15"/>
  <c r="B252" i="15"/>
  <c r="C252" i="15"/>
  <c r="A253" i="15"/>
  <c r="B253" i="15"/>
  <c r="C253" i="15"/>
  <c r="A254" i="15"/>
  <c r="B254" i="15"/>
  <c r="C254" i="15"/>
  <c r="A255" i="15"/>
  <c r="B255" i="15"/>
  <c r="C255" i="15"/>
  <c r="A256" i="15"/>
  <c r="B256" i="15"/>
  <c r="C256" i="15"/>
  <c r="A257" i="15"/>
  <c r="B257" i="15"/>
  <c r="C257" i="15"/>
  <c r="A258" i="15"/>
  <c r="B258" i="15"/>
  <c r="C258" i="15"/>
  <c r="A259" i="15"/>
  <c r="B259" i="15"/>
  <c r="C259" i="15"/>
  <c r="A260" i="15"/>
  <c r="B260" i="15"/>
  <c r="C260" i="15"/>
  <c r="A261" i="15"/>
  <c r="B261" i="15"/>
  <c r="C261" i="15"/>
  <c r="A262" i="15"/>
  <c r="B262" i="15"/>
  <c r="C262" i="15"/>
  <c r="A263" i="15"/>
  <c r="B263" i="15"/>
  <c r="C263" i="15"/>
  <c r="A264" i="15"/>
  <c r="B264" i="15"/>
  <c r="C264" i="15"/>
  <c r="A265" i="15"/>
  <c r="B265" i="15"/>
  <c r="C265" i="15"/>
  <c r="A266" i="15"/>
  <c r="B266" i="15"/>
  <c r="C266" i="15"/>
  <c r="A267" i="15"/>
  <c r="B267" i="15"/>
  <c r="C267" i="15"/>
  <c r="A268" i="15"/>
  <c r="B268" i="15"/>
  <c r="C268" i="15"/>
  <c r="A269" i="15"/>
  <c r="B269" i="15"/>
  <c r="C269" i="15"/>
  <c r="A270" i="15"/>
  <c r="B270" i="15"/>
  <c r="C270" i="15"/>
  <c r="A271" i="15"/>
  <c r="B271" i="15"/>
  <c r="C271" i="15"/>
  <c r="A272" i="15"/>
  <c r="B272" i="15"/>
  <c r="C272" i="15"/>
  <c r="A273" i="15"/>
  <c r="B273" i="15"/>
  <c r="C273" i="15"/>
  <c r="A274" i="15"/>
  <c r="B274" i="15"/>
  <c r="C274" i="15"/>
  <c r="A275" i="15"/>
  <c r="B275" i="15"/>
  <c r="C275" i="15"/>
  <c r="A276" i="15"/>
  <c r="B276" i="15"/>
  <c r="C276" i="15"/>
  <c r="A277" i="15"/>
  <c r="B277" i="15"/>
  <c r="C277" i="15"/>
  <c r="A278" i="15"/>
  <c r="B278" i="15"/>
  <c r="C278" i="15"/>
  <c r="A279" i="15"/>
  <c r="B279" i="15"/>
  <c r="C279" i="15"/>
  <c r="A280" i="15"/>
  <c r="B280" i="15"/>
  <c r="C280" i="15"/>
  <c r="A281" i="15"/>
  <c r="B281" i="15"/>
  <c r="C281" i="15"/>
  <c r="A282" i="15"/>
  <c r="B282" i="15"/>
  <c r="C282" i="15"/>
  <c r="A283" i="15"/>
  <c r="B283" i="15"/>
  <c r="C283" i="15"/>
  <c r="A284" i="15"/>
  <c r="B284" i="15"/>
  <c r="C284" i="15"/>
  <c r="A285" i="15"/>
  <c r="B285" i="15"/>
  <c r="C285" i="15"/>
  <c r="A286" i="15"/>
  <c r="B286" i="15"/>
  <c r="C286" i="15"/>
  <c r="A287" i="15"/>
  <c r="B287" i="15"/>
  <c r="C287" i="15"/>
  <c r="A288" i="15"/>
  <c r="B288" i="15"/>
  <c r="C288" i="15"/>
  <c r="A289" i="15"/>
  <c r="B289" i="15"/>
  <c r="C289" i="15"/>
  <c r="A290" i="15"/>
  <c r="B290" i="15"/>
  <c r="C290" i="15"/>
  <c r="A291" i="15"/>
  <c r="B291" i="15"/>
  <c r="C291" i="15"/>
  <c r="A292" i="15"/>
  <c r="B292" i="15"/>
  <c r="C292" i="15"/>
  <c r="A293" i="15"/>
  <c r="B293" i="15"/>
  <c r="C293" i="15"/>
  <c r="A294" i="15"/>
  <c r="B294" i="15"/>
  <c r="C294" i="15"/>
  <c r="A295" i="15"/>
  <c r="B295" i="15"/>
  <c r="C295" i="15"/>
  <c r="A296" i="15"/>
  <c r="B296" i="15"/>
  <c r="C296" i="15"/>
  <c r="A297" i="15"/>
  <c r="B297" i="15"/>
  <c r="C297" i="15"/>
  <c r="A298" i="15"/>
  <c r="B298" i="15"/>
  <c r="C298" i="15"/>
  <c r="A299" i="15"/>
  <c r="B299" i="15"/>
  <c r="C299" i="15"/>
  <c r="A300" i="15"/>
  <c r="B300" i="15"/>
  <c r="C300" i="15"/>
  <c r="A301" i="15"/>
  <c r="B301" i="15"/>
  <c r="C301" i="15"/>
  <c r="A302" i="15"/>
  <c r="B302" i="15"/>
  <c r="C302" i="15"/>
  <c r="A303" i="15"/>
  <c r="B303" i="15"/>
  <c r="C303" i="15"/>
  <c r="A304" i="15"/>
  <c r="B304" i="15"/>
  <c r="C304" i="15"/>
  <c r="A305" i="15"/>
  <c r="B305" i="15"/>
  <c r="C305" i="15"/>
  <c r="A306" i="15"/>
  <c r="B306" i="15"/>
  <c r="C306" i="15"/>
  <c r="A307" i="15"/>
  <c r="B307" i="15"/>
  <c r="C307" i="15"/>
  <c r="A308" i="15"/>
  <c r="B308" i="15"/>
  <c r="C308" i="15"/>
  <c r="A309" i="15"/>
  <c r="B309" i="15"/>
  <c r="C309" i="15"/>
  <c r="A310" i="15"/>
  <c r="B310" i="15"/>
  <c r="C310" i="15"/>
  <c r="A311" i="15"/>
  <c r="B311" i="15"/>
  <c r="C311" i="15"/>
  <c r="A312" i="15"/>
  <c r="B312" i="15"/>
  <c r="C312" i="15"/>
  <c r="A313" i="15"/>
  <c r="B313" i="15"/>
  <c r="C313" i="15"/>
  <c r="A314" i="15"/>
  <c r="B314" i="15"/>
  <c r="C314" i="15"/>
  <c r="A315" i="15"/>
  <c r="B315" i="15"/>
  <c r="C315" i="15"/>
  <c r="A316" i="15"/>
  <c r="B316" i="15"/>
  <c r="C316" i="15"/>
  <c r="A317" i="15"/>
  <c r="B317" i="15"/>
  <c r="C317" i="15"/>
  <c r="A318" i="15"/>
  <c r="B318" i="15"/>
  <c r="C318" i="15"/>
  <c r="A319" i="15"/>
  <c r="B319" i="15"/>
  <c r="C319" i="15"/>
  <c r="A320" i="15"/>
  <c r="B320" i="15"/>
  <c r="C320" i="15"/>
  <c r="A321" i="15"/>
  <c r="B321" i="15"/>
  <c r="C321" i="15"/>
  <c r="A322" i="15"/>
  <c r="B322" i="15"/>
  <c r="C322" i="15"/>
  <c r="A323" i="15"/>
  <c r="B323" i="15"/>
  <c r="C323" i="15"/>
  <c r="A324" i="15"/>
  <c r="B324" i="15"/>
  <c r="C324" i="15"/>
  <c r="A325" i="15"/>
  <c r="B325" i="15"/>
  <c r="C325" i="15"/>
  <c r="A326" i="15"/>
  <c r="C326" i="15"/>
  <c r="A327" i="15"/>
  <c r="C327" i="15"/>
  <c r="A328" i="15"/>
  <c r="C328" i="15"/>
  <c r="A329" i="15"/>
  <c r="C329" i="15"/>
  <c r="A330" i="15"/>
  <c r="C330" i="15"/>
  <c r="A331" i="15"/>
  <c r="C331" i="15"/>
  <c r="A332" i="15"/>
  <c r="C332" i="15"/>
  <c r="A333" i="15"/>
  <c r="C333" i="15"/>
  <c r="A334" i="15"/>
  <c r="C334" i="15"/>
  <c r="A335" i="15"/>
  <c r="C335" i="15"/>
  <c r="A336" i="15"/>
  <c r="C336" i="15"/>
  <c r="A337" i="15"/>
  <c r="C337" i="15"/>
  <c r="A338" i="15"/>
  <c r="C338" i="15"/>
  <c r="A339" i="15"/>
  <c r="C339" i="15"/>
  <c r="A340" i="15"/>
  <c r="C340" i="15"/>
  <c r="A341" i="15"/>
  <c r="C341" i="15"/>
  <c r="A342" i="15"/>
  <c r="C342" i="15"/>
  <c r="A343" i="15"/>
  <c r="C343" i="15"/>
  <c r="A344" i="15"/>
  <c r="C344" i="15"/>
  <c r="A345" i="15"/>
  <c r="C345" i="15"/>
  <c r="A346" i="15"/>
  <c r="C346" i="15"/>
  <c r="A347" i="15"/>
  <c r="C347" i="15"/>
  <c r="A348" i="15"/>
  <c r="C348" i="15"/>
  <c r="A349" i="15"/>
  <c r="C349" i="15"/>
  <c r="A350" i="15"/>
  <c r="C350" i="15"/>
  <c r="A351" i="15"/>
  <c r="C351" i="15"/>
  <c r="A352" i="15"/>
  <c r="C352" i="15"/>
  <c r="A353" i="15"/>
  <c r="B353" i="15"/>
  <c r="C353" i="15"/>
  <c r="A354" i="15"/>
  <c r="B354" i="15"/>
  <c r="C354" i="15"/>
  <c r="A355" i="15"/>
  <c r="B355" i="15"/>
  <c r="C355" i="15"/>
  <c r="A356" i="15"/>
  <c r="B356" i="15"/>
  <c r="C356" i="15"/>
  <c r="A357" i="15"/>
  <c r="B357" i="15"/>
  <c r="C357" i="15"/>
  <c r="A358" i="15"/>
  <c r="B358" i="15"/>
  <c r="C358" i="15"/>
  <c r="A359" i="15"/>
  <c r="B359" i="15"/>
  <c r="C359" i="15"/>
  <c r="A360" i="15"/>
  <c r="B360" i="15"/>
  <c r="C360" i="15"/>
  <c r="A361" i="15"/>
  <c r="B361" i="15"/>
  <c r="C361" i="15"/>
  <c r="A362" i="15"/>
  <c r="B362" i="15"/>
  <c r="C362" i="15"/>
  <c r="A363" i="15"/>
  <c r="B363" i="15"/>
  <c r="C363" i="15"/>
  <c r="A364" i="15"/>
  <c r="B364" i="15"/>
  <c r="C364" i="15"/>
  <c r="A365" i="15"/>
  <c r="B365" i="15"/>
  <c r="C365" i="15"/>
  <c r="A366" i="15"/>
  <c r="B366" i="15"/>
  <c r="C366" i="15"/>
  <c r="A367" i="15"/>
  <c r="B367" i="15"/>
  <c r="C367" i="15"/>
  <c r="A368" i="15"/>
  <c r="B368" i="15"/>
  <c r="C368" i="15"/>
  <c r="A369" i="15"/>
  <c r="B369" i="15"/>
  <c r="C369" i="15"/>
  <c r="A370" i="15"/>
  <c r="B370" i="15"/>
  <c r="C370" i="15"/>
  <c r="A371" i="15"/>
  <c r="B371" i="15"/>
  <c r="C371" i="15"/>
  <c r="A372" i="15"/>
  <c r="B372" i="15"/>
  <c r="C372" i="15"/>
  <c r="A373" i="15"/>
  <c r="B373" i="15"/>
  <c r="C373" i="15"/>
  <c r="A374" i="15"/>
  <c r="B374" i="15"/>
  <c r="C374" i="15"/>
  <c r="A375" i="15"/>
  <c r="B375" i="15"/>
  <c r="C375" i="15"/>
  <c r="A376" i="15"/>
  <c r="B376" i="15"/>
  <c r="C376" i="15"/>
  <c r="A377" i="15"/>
  <c r="B377" i="15"/>
  <c r="C377" i="15"/>
  <c r="A378" i="15"/>
  <c r="B378" i="15"/>
  <c r="C378" i="15"/>
  <c r="A379" i="15"/>
  <c r="B379" i="15"/>
  <c r="C379" i="15"/>
  <c r="A380" i="15"/>
  <c r="C380" i="15"/>
  <c r="A381" i="15"/>
  <c r="C381" i="15"/>
  <c r="A382" i="15"/>
  <c r="C382" i="15"/>
  <c r="A383" i="15"/>
  <c r="C383" i="15"/>
  <c r="A384" i="15"/>
  <c r="C384" i="15"/>
  <c r="A385" i="15"/>
  <c r="C385" i="15"/>
  <c r="A386" i="15"/>
  <c r="C386" i="15"/>
  <c r="A387" i="15"/>
  <c r="C387" i="15"/>
  <c r="A388" i="15"/>
  <c r="C388" i="15"/>
  <c r="A389" i="15"/>
  <c r="C389" i="15"/>
  <c r="A390" i="15"/>
  <c r="C390" i="15"/>
  <c r="A391" i="15"/>
  <c r="C391" i="15"/>
  <c r="A392" i="15"/>
  <c r="C392" i="15"/>
  <c r="A393" i="15"/>
  <c r="C393" i="15"/>
  <c r="A394" i="15"/>
  <c r="C394" i="15"/>
  <c r="A395" i="15"/>
  <c r="C395" i="15"/>
  <c r="A396" i="15"/>
  <c r="C396" i="15"/>
  <c r="A397" i="15"/>
  <c r="C397" i="15"/>
  <c r="A398" i="15"/>
  <c r="C398" i="15"/>
  <c r="A399" i="15"/>
  <c r="C399" i="15"/>
  <c r="A400" i="15"/>
  <c r="C400" i="15"/>
  <c r="A401" i="15"/>
  <c r="C401" i="15"/>
  <c r="A402" i="15"/>
  <c r="C402" i="15"/>
  <c r="A403" i="15"/>
  <c r="C403" i="15"/>
  <c r="A404" i="15"/>
  <c r="C404" i="15"/>
  <c r="A405" i="15"/>
  <c r="C405" i="15"/>
  <c r="A406" i="15"/>
  <c r="C406" i="15"/>
  <c r="A407" i="15"/>
  <c r="B407" i="15"/>
  <c r="C407" i="15"/>
  <c r="A408" i="15"/>
  <c r="B408" i="15"/>
  <c r="C408" i="15"/>
  <c r="A409" i="15"/>
  <c r="B409" i="15"/>
  <c r="C409" i="15"/>
  <c r="A410" i="15"/>
  <c r="B410" i="15"/>
  <c r="C410" i="15"/>
  <c r="A411" i="15"/>
  <c r="B411" i="15"/>
  <c r="C411" i="15"/>
  <c r="A412" i="15"/>
  <c r="B412" i="15"/>
  <c r="C412" i="15"/>
  <c r="A413" i="15"/>
  <c r="B413" i="15"/>
  <c r="C413" i="15"/>
  <c r="A414" i="15"/>
  <c r="B414" i="15"/>
  <c r="C414" i="15"/>
  <c r="A415" i="15"/>
  <c r="B415" i="15"/>
  <c r="C415" i="15"/>
  <c r="A416" i="15"/>
  <c r="B416" i="15"/>
  <c r="C416" i="15"/>
  <c r="A417" i="15"/>
  <c r="B417" i="15"/>
  <c r="C417" i="15"/>
  <c r="A418" i="15"/>
  <c r="B418" i="15"/>
  <c r="C418" i="15"/>
  <c r="A419" i="15"/>
  <c r="B419" i="15"/>
  <c r="C419" i="15"/>
  <c r="A420" i="15"/>
  <c r="B420" i="15"/>
  <c r="C420" i="15"/>
  <c r="A421" i="15"/>
  <c r="B421" i="15"/>
  <c r="C421" i="15"/>
  <c r="A422" i="15"/>
  <c r="B422" i="15"/>
  <c r="C422" i="15"/>
  <c r="A423" i="15"/>
  <c r="B423" i="15"/>
  <c r="C423" i="15"/>
  <c r="A424" i="15"/>
  <c r="B424" i="15"/>
  <c r="C424" i="15"/>
  <c r="A425" i="15"/>
  <c r="B425" i="15"/>
  <c r="C425" i="15"/>
  <c r="A426" i="15"/>
  <c r="B426" i="15"/>
  <c r="C426" i="15"/>
  <c r="A427" i="15"/>
  <c r="B427" i="15"/>
  <c r="C427" i="15"/>
  <c r="A428" i="15"/>
  <c r="B428" i="15"/>
  <c r="C428" i="15"/>
  <c r="A429" i="15"/>
  <c r="B429" i="15"/>
  <c r="C429" i="15"/>
  <c r="A430" i="15"/>
  <c r="B430" i="15"/>
  <c r="C430" i="15"/>
  <c r="A431" i="15"/>
  <c r="B431" i="15"/>
  <c r="C431" i="15"/>
  <c r="A432" i="15"/>
  <c r="B432" i="15"/>
  <c r="C432" i="15"/>
  <c r="A433" i="15"/>
  <c r="B433" i="15"/>
  <c r="C433" i="15"/>
  <c r="A434" i="15"/>
  <c r="B434" i="15"/>
  <c r="C434" i="15"/>
  <c r="A435" i="15"/>
  <c r="B435" i="15"/>
  <c r="C435" i="15"/>
  <c r="A436" i="15"/>
  <c r="B436" i="15"/>
  <c r="C436" i="15"/>
  <c r="A437" i="15"/>
  <c r="B437" i="15"/>
  <c r="C437" i="15"/>
  <c r="A438" i="15"/>
  <c r="B438" i="15"/>
  <c r="C438" i="15"/>
  <c r="A439" i="15"/>
  <c r="B439" i="15"/>
  <c r="C439" i="15"/>
  <c r="A440" i="15"/>
  <c r="B440" i="15"/>
  <c r="C440" i="15"/>
  <c r="A441" i="15"/>
  <c r="B441" i="15"/>
  <c r="C441" i="15"/>
  <c r="A442" i="15"/>
  <c r="B442" i="15"/>
  <c r="C442" i="15"/>
  <c r="A443" i="15"/>
  <c r="B443" i="15"/>
  <c r="C443" i="15"/>
  <c r="A444" i="15"/>
  <c r="B444" i="15"/>
  <c r="C444" i="15"/>
  <c r="A445" i="15"/>
  <c r="B445" i="15"/>
  <c r="C445" i="15"/>
  <c r="A446" i="15"/>
  <c r="B446" i="15"/>
  <c r="C446" i="15"/>
  <c r="A447" i="15"/>
  <c r="B447" i="15"/>
  <c r="C447" i="15"/>
  <c r="A448" i="15"/>
  <c r="B448" i="15"/>
  <c r="C448" i="15"/>
  <c r="A449" i="15"/>
  <c r="B449" i="15"/>
  <c r="C449" i="15"/>
  <c r="A450" i="15"/>
  <c r="B450" i="15"/>
  <c r="C450" i="15"/>
  <c r="A451" i="15"/>
  <c r="B451" i="15"/>
  <c r="C451" i="15"/>
  <c r="A452" i="15"/>
  <c r="B452" i="15"/>
  <c r="C452" i="15"/>
  <c r="A453" i="15"/>
  <c r="B453" i="15"/>
  <c r="C453" i="15"/>
  <c r="A454" i="15"/>
  <c r="B454" i="15"/>
  <c r="C454" i="15"/>
  <c r="A455" i="15"/>
  <c r="B455" i="15"/>
  <c r="C455" i="15"/>
  <c r="A456" i="15"/>
  <c r="B456" i="15"/>
  <c r="C456" i="15"/>
  <c r="A457" i="15"/>
  <c r="B457" i="15"/>
  <c r="C457" i="15"/>
  <c r="A458" i="15"/>
  <c r="B458" i="15"/>
  <c r="C458" i="15"/>
  <c r="A459" i="15"/>
  <c r="B459" i="15"/>
  <c r="C459" i="15"/>
  <c r="A460" i="15"/>
  <c r="B460" i="15"/>
  <c r="C460" i="15"/>
  <c r="A461" i="15"/>
  <c r="B461" i="15"/>
  <c r="C461" i="15"/>
  <c r="A462" i="15"/>
  <c r="B462" i="15"/>
  <c r="C462" i="15"/>
  <c r="A463" i="15"/>
  <c r="B463" i="15"/>
  <c r="C463" i="15"/>
  <c r="A464" i="15"/>
  <c r="B464" i="15"/>
  <c r="C464" i="15"/>
  <c r="A465" i="15"/>
  <c r="B465" i="15"/>
  <c r="C465" i="15"/>
  <c r="A466" i="15"/>
  <c r="B466" i="15"/>
  <c r="C466" i="15"/>
  <c r="A467" i="15"/>
  <c r="B467" i="15"/>
  <c r="C467" i="15"/>
  <c r="A468" i="15"/>
  <c r="B468" i="15"/>
  <c r="C468" i="15"/>
  <c r="A469" i="15"/>
  <c r="B469" i="15"/>
  <c r="C469" i="15"/>
  <c r="A470" i="15"/>
  <c r="B470" i="15"/>
  <c r="C470" i="15"/>
  <c r="A471" i="15"/>
  <c r="B471" i="15"/>
  <c r="C471" i="15"/>
  <c r="A472" i="15"/>
  <c r="B472" i="15"/>
  <c r="C472" i="15"/>
  <c r="A473" i="15"/>
  <c r="B473" i="15"/>
  <c r="C473" i="15"/>
  <c r="A474" i="15"/>
  <c r="B474" i="15"/>
  <c r="C474" i="15"/>
  <c r="A475" i="15"/>
  <c r="B475" i="15"/>
  <c r="C475" i="15"/>
  <c r="A476" i="15"/>
  <c r="B476" i="15"/>
  <c r="C476" i="15"/>
  <c r="A477" i="15"/>
  <c r="B477" i="15"/>
  <c r="C477" i="15"/>
  <c r="A478" i="15"/>
  <c r="B478" i="15"/>
  <c r="C478" i="15"/>
  <c r="A479" i="15"/>
  <c r="B479" i="15"/>
  <c r="C479" i="15"/>
  <c r="A480" i="15"/>
  <c r="B480" i="15"/>
  <c r="C480" i="15"/>
  <c r="A481" i="15"/>
  <c r="B481" i="15"/>
  <c r="C481" i="15"/>
  <c r="A482" i="15"/>
  <c r="B482" i="15"/>
  <c r="C482" i="15"/>
  <c r="A483" i="15"/>
  <c r="B483" i="15"/>
  <c r="C483" i="15"/>
  <c r="A484" i="15"/>
  <c r="B484" i="15"/>
  <c r="C484" i="15"/>
  <c r="A485" i="15"/>
  <c r="B485" i="15"/>
  <c r="C485" i="15"/>
  <c r="A486" i="15"/>
  <c r="B486" i="15"/>
  <c r="C486" i="15"/>
  <c r="A487" i="15"/>
  <c r="B487" i="15"/>
  <c r="C487" i="15"/>
  <c r="A488" i="15"/>
  <c r="B488" i="15"/>
  <c r="C488" i="15"/>
  <c r="D488" i="15"/>
  <c r="A489" i="15"/>
  <c r="B489" i="15"/>
  <c r="C489" i="15"/>
  <c r="D489" i="15"/>
  <c r="A490" i="15"/>
  <c r="B490" i="15"/>
  <c r="C490" i="15"/>
  <c r="D490" i="15"/>
  <c r="A491" i="15"/>
  <c r="B491" i="15"/>
  <c r="C491" i="15"/>
  <c r="D491" i="15"/>
  <c r="A492" i="15"/>
  <c r="B492" i="15"/>
  <c r="C492" i="15"/>
  <c r="D492" i="15"/>
  <c r="A493" i="15"/>
  <c r="B493" i="15"/>
  <c r="C493" i="15"/>
  <c r="D493" i="15"/>
  <c r="A494" i="15"/>
  <c r="B494" i="15"/>
  <c r="C494" i="15"/>
  <c r="D494" i="15"/>
  <c r="A495" i="15"/>
  <c r="B495" i="15"/>
  <c r="C495" i="15"/>
  <c r="D495" i="15"/>
  <c r="A496" i="15"/>
  <c r="B496" i="15"/>
  <c r="C496" i="15"/>
  <c r="D496" i="15"/>
  <c r="A497" i="15"/>
  <c r="B497" i="15"/>
  <c r="C497" i="15"/>
  <c r="D497" i="15"/>
  <c r="A498" i="15"/>
  <c r="B498" i="15"/>
  <c r="C498" i="15"/>
  <c r="D498" i="15"/>
  <c r="A499" i="15"/>
  <c r="B499" i="15"/>
  <c r="C499" i="15"/>
  <c r="D499" i="15"/>
  <c r="A500" i="15"/>
  <c r="B500" i="15"/>
  <c r="C500" i="15"/>
  <c r="D500" i="15"/>
  <c r="A501" i="15"/>
  <c r="B501" i="15"/>
  <c r="C501" i="15"/>
  <c r="D501" i="15"/>
  <c r="A502" i="15"/>
  <c r="B502" i="15"/>
  <c r="C502" i="15"/>
  <c r="D502" i="15"/>
  <c r="A503" i="15"/>
  <c r="B503" i="15"/>
  <c r="C503" i="15"/>
  <c r="D503" i="15"/>
  <c r="A504" i="15"/>
  <c r="B504" i="15"/>
  <c r="C504" i="15"/>
  <c r="D504" i="15"/>
  <c r="A505" i="15"/>
  <c r="B505" i="15"/>
  <c r="C505" i="15"/>
  <c r="D505" i="15"/>
  <c r="A506" i="15"/>
  <c r="B506" i="15"/>
  <c r="C506" i="15"/>
  <c r="D506" i="15"/>
  <c r="A507" i="15"/>
  <c r="B507" i="15"/>
  <c r="C507" i="15"/>
  <c r="D507" i="15"/>
  <c r="A508" i="15"/>
  <c r="B508" i="15"/>
  <c r="C508" i="15"/>
  <c r="D508" i="15"/>
  <c r="A509" i="15"/>
  <c r="B509" i="15"/>
  <c r="C509" i="15"/>
  <c r="D509" i="15"/>
  <c r="A510" i="15"/>
  <c r="B510" i="15"/>
  <c r="C510" i="15"/>
  <c r="D510" i="15"/>
  <c r="A511" i="15"/>
  <c r="B511" i="15"/>
  <c r="C511" i="15"/>
  <c r="D511" i="15"/>
  <c r="A512" i="15"/>
  <c r="B512" i="15"/>
  <c r="C512" i="15"/>
  <c r="D512" i="15"/>
  <c r="A513" i="15"/>
  <c r="B513" i="15"/>
  <c r="C513" i="15"/>
  <c r="D513" i="15"/>
  <c r="A514" i="15"/>
  <c r="B514" i="15"/>
  <c r="C514" i="15"/>
  <c r="D514" i="15"/>
  <c r="A515" i="15"/>
  <c r="B515" i="15"/>
  <c r="C515" i="15"/>
  <c r="D515" i="15"/>
  <c r="A516" i="15"/>
  <c r="B516" i="15"/>
  <c r="C516" i="15"/>
  <c r="D516" i="15"/>
  <c r="A517" i="15"/>
  <c r="B517" i="15"/>
  <c r="C517" i="15"/>
  <c r="D517" i="15"/>
  <c r="A518" i="15"/>
  <c r="B518" i="15"/>
  <c r="C518" i="15"/>
  <c r="D518" i="15"/>
  <c r="A519" i="15"/>
  <c r="B519" i="15"/>
  <c r="C519" i="15"/>
  <c r="D519" i="15"/>
  <c r="A520" i="15"/>
  <c r="B520" i="15"/>
  <c r="C520" i="15"/>
  <c r="D520" i="15"/>
  <c r="A521" i="15"/>
  <c r="B521" i="15"/>
  <c r="C521" i="15"/>
  <c r="D521" i="15"/>
  <c r="A522" i="15"/>
  <c r="B522" i="15"/>
  <c r="C522" i="15"/>
  <c r="D522" i="15"/>
  <c r="A523" i="15"/>
  <c r="B523" i="15"/>
  <c r="C523" i="15"/>
  <c r="D523" i="15"/>
  <c r="A524" i="15"/>
  <c r="B524" i="15"/>
  <c r="C524" i="15"/>
  <c r="D524" i="15"/>
  <c r="A525" i="15"/>
  <c r="B525" i="15"/>
  <c r="C525" i="15"/>
  <c r="D525" i="15"/>
  <c r="A526" i="15"/>
  <c r="B526" i="15"/>
  <c r="C526" i="15"/>
  <c r="D526" i="15"/>
  <c r="A527" i="15"/>
  <c r="B527" i="15"/>
  <c r="C527" i="15"/>
  <c r="D527" i="15"/>
  <c r="A528" i="15"/>
  <c r="B528" i="15"/>
  <c r="C528" i="15"/>
  <c r="D528" i="15"/>
  <c r="A529" i="15"/>
  <c r="B529" i="15"/>
  <c r="C529" i="15"/>
  <c r="D529" i="15"/>
  <c r="A530" i="15"/>
  <c r="B530" i="15"/>
  <c r="C530" i="15"/>
  <c r="D530" i="15"/>
  <c r="A531" i="15"/>
  <c r="B531" i="15"/>
  <c r="C531" i="15"/>
  <c r="D531" i="15"/>
  <c r="A532" i="15"/>
  <c r="B532" i="15"/>
  <c r="C532" i="15"/>
  <c r="D532" i="15"/>
  <c r="A533" i="15"/>
  <c r="B533" i="15"/>
  <c r="C533" i="15"/>
  <c r="D533" i="15"/>
  <c r="A534" i="15"/>
  <c r="B534" i="15"/>
  <c r="C534" i="15"/>
  <c r="D534" i="15"/>
  <c r="A535" i="15"/>
  <c r="B535" i="15"/>
  <c r="C535" i="15"/>
  <c r="D535" i="15"/>
  <c r="A536" i="15"/>
  <c r="B536" i="15"/>
  <c r="C536" i="15"/>
  <c r="D536" i="15"/>
  <c r="A537" i="15"/>
  <c r="B537" i="15"/>
  <c r="C537" i="15"/>
  <c r="D537" i="15"/>
  <c r="A538" i="15"/>
  <c r="B538" i="15"/>
  <c r="C538" i="15"/>
  <c r="D538" i="15"/>
  <c r="A539" i="15"/>
  <c r="B539" i="15"/>
  <c r="C539" i="15"/>
  <c r="D539" i="15"/>
  <c r="A540" i="15"/>
  <c r="B540" i="15"/>
  <c r="C540" i="15"/>
  <c r="D540" i="15"/>
  <c r="A541" i="15"/>
  <c r="B541" i="15"/>
  <c r="C541" i="15"/>
  <c r="D541" i="15"/>
  <c r="A542" i="15"/>
  <c r="B542" i="15"/>
  <c r="C542" i="15"/>
  <c r="D542" i="15"/>
  <c r="A543" i="15"/>
  <c r="B543" i="15"/>
  <c r="C543" i="15"/>
  <c r="D543" i="15"/>
  <c r="A544" i="15"/>
  <c r="B544" i="15"/>
  <c r="C544" i="15"/>
  <c r="D544" i="15"/>
  <c r="A545" i="15"/>
  <c r="B545" i="15"/>
  <c r="C545" i="15"/>
  <c r="D545" i="15"/>
  <c r="A546" i="15"/>
  <c r="B546" i="15"/>
  <c r="C546" i="15"/>
  <c r="D546" i="15"/>
  <c r="A547" i="15"/>
  <c r="B547" i="15"/>
  <c r="C547" i="15"/>
  <c r="D547" i="15"/>
  <c r="A548" i="15"/>
  <c r="B548" i="15"/>
  <c r="C548" i="15"/>
  <c r="D548" i="15"/>
  <c r="A549" i="15"/>
  <c r="B549" i="15"/>
  <c r="C549" i="15"/>
  <c r="D549" i="15"/>
  <c r="A550" i="15"/>
  <c r="B550" i="15"/>
  <c r="C550" i="15"/>
  <c r="D550" i="15"/>
  <c r="A551" i="15"/>
  <c r="B551" i="15"/>
  <c r="C551" i="15"/>
  <c r="D551" i="15"/>
  <c r="A552" i="15"/>
  <c r="B552" i="15"/>
  <c r="C552" i="15"/>
  <c r="D552" i="15"/>
  <c r="A553" i="15"/>
  <c r="B553" i="15"/>
  <c r="C553" i="15"/>
  <c r="D553" i="15"/>
  <c r="A554" i="15"/>
  <c r="B554" i="15"/>
  <c r="C554" i="15"/>
  <c r="D554" i="15"/>
  <c r="A555" i="15"/>
  <c r="B555" i="15"/>
  <c r="C555" i="15"/>
  <c r="D555" i="15"/>
  <c r="A556" i="15"/>
  <c r="B556" i="15"/>
  <c r="C556" i="15"/>
  <c r="D556" i="15"/>
  <c r="A557" i="15"/>
  <c r="B557" i="15"/>
  <c r="C557" i="15"/>
  <c r="D557" i="15"/>
  <c r="A558" i="15"/>
  <c r="B558" i="15"/>
  <c r="C558" i="15"/>
  <c r="D558" i="15"/>
  <c r="A559" i="15"/>
  <c r="B559" i="15"/>
  <c r="C559" i="15"/>
  <c r="D559" i="15"/>
  <c r="A560" i="15"/>
  <c r="B560" i="15"/>
  <c r="C560" i="15"/>
  <c r="D560" i="15"/>
  <c r="A561" i="15"/>
  <c r="B561" i="15"/>
  <c r="C561" i="15"/>
  <c r="D561" i="15"/>
  <c r="A562" i="15"/>
  <c r="B562" i="15"/>
  <c r="C562" i="15"/>
  <c r="D562" i="15"/>
  <c r="A563" i="15"/>
  <c r="B563" i="15"/>
  <c r="C563" i="15"/>
  <c r="D563" i="15"/>
  <c r="A564" i="15"/>
  <c r="B564" i="15"/>
  <c r="C564" i="15"/>
  <c r="D564" i="15"/>
  <c r="A565" i="15"/>
  <c r="B565" i="15"/>
  <c r="C565" i="15"/>
  <c r="D565" i="15"/>
  <c r="A566" i="15"/>
  <c r="B566" i="15"/>
  <c r="C566" i="15"/>
  <c r="D566" i="15"/>
  <c r="A567" i="15"/>
  <c r="B567" i="15"/>
  <c r="C567" i="15"/>
  <c r="D567" i="15"/>
  <c r="A568" i="15"/>
  <c r="B568" i="15"/>
  <c r="C568" i="15"/>
  <c r="D568" i="15"/>
  <c r="A569" i="15"/>
  <c r="B569" i="15"/>
  <c r="C569" i="15"/>
  <c r="D569" i="15"/>
  <c r="A570" i="15"/>
  <c r="B570" i="15"/>
  <c r="C570" i="15"/>
  <c r="D570" i="15"/>
  <c r="A571" i="15"/>
  <c r="B571" i="15"/>
  <c r="C571" i="15"/>
  <c r="D571" i="15"/>
  <c r="A572" i="15"/>
  <c r="B572" i="15"/>
  <c r="C572" i="15"/>
  <c r="D572" i="15"/>
  <c r="A573" i="15"/>
  <c r="B573" i="15"/>
  <c r="C573" i="15"/>
  <c r="D573" i="15"/>
  <c r="A574" i="15"/>
  <c r="B574" i="15"/>
  <c r="C574" i="15"/>
  <c r="D574" i="15"/>
  <c r="A575" i="15"/>
  <c r="B575" i="15"/>
  <c r="C575" i="15"/>
  <c r="D575" i="15"/>
  <c r="A576" i="15"/>
  <c r="B576" i="15"/>
  <c r="C576" i="15"/>
  <c r="D576" i="15"/>
  <c r="A577" i="15"/>
  <c r="B577" i="15"/>
  <c r="C577" i="15"/>
  <c r="D577" i="15"/>
  <c r="A578" i="15"/>
  <c r="B578" i="15"/>
  <c r="C578" i="15"/>
  <c r="D578" i="15"/>
  <c r="A579" i="15"/>
  <c r="B579" i="15"/>
  <c r="C579" i="15"/>
  <c r="D579" i="15"/>
  <c r="A580" i="15"/>
  <c r="B580" i="15"/>
  <c r="C580" i="15"/>
  <c r="D580" i="15"/>
  <c r="A581" i="15"/>
  <c r="B581" i="15"/>
  <c r="C581" i="15"/>
  <c r="D581" i="15"/>
  <c r="A582" i="15"/>
  <c r="B582" i="15"/>
  <c r="C582" i="15"/>
  <c r="D582" i="15"/>
  <c r="A583" i="15"/>
  <c r="B583" i="15"/>
  <c r="C583" i="15"/>
  <c r="D583" i="15"/>
  <c r="A584" i="15"/>
  <c r="B584" i="15"/>
  <c r="C584" i="15"/>
  <c r="D584" i="15"/>
  <c r="A585" i="15"/>
  <c r="B585" i="15"/>
  <c r="C585" i="15"/>
  <c r="D585" i="15"/>
  <c r="A586" i="15"/>
  <c r="B586" i="15"/>
  <c r="C586" i="15"/>
  <c r="D586" i="15"/>
  <c r="A587" i="15"/>
  <c r="B587" i="15"/>
  <c r="C587" i="15"/>
  <c r="D587" i="15"/>
  <c r="A588" i="15"/>
  <c r="B588" i="15"/>
  <c r="C588" i="15"/>
  <c r="D588" i="15"/>
  <c r="A589" i="15"/>
  <c r="B589" i="15"/>
  <c r="C589" i="15"/>
  <c r="D589" i="15"/>
  <c r="A590" i="15"/>
  <c r="B590" i="15"/>
  <c r="C590" i="15"/>
  <c r="D590" i="15"/>
  <c r="A591" i="15"/>
  <c r="B591" i="15"/>
  <c r="C591" i="15"/>
  <c r="D591" i="15"/>
  <c r="A592" i="15"/>
  <c r="B592" i="15"/>
  <c r="C592" i="15"/>
  <c r="D592" i="15"/>
  <c r="A593" i="15"/>
  <c r="B593" i="15"/>
  <c r="C593" i="15"/>
  <c r="D593" i="15"/>
  <c r="A594" i="15"/>
  <c r="B594" i="15"/>
  <c r="C594" i="15"/>
  <c r="D594" i="15"/>
  <c r="A595" i="15"/>
  <c r="B595" i="15"/>
  <c r="C595" i="15"/>
  <c r="D595" i="15"/>
  <c r="A596" i="15"/>
  <c r="B596" i="15"/>
  <c r="C596" i="15"/>
  <c r="D596" i="15"/>
  <c r="A597" i="15"/>
  <c r="B597" i="15"/>
  <c r="C597" i="15"/>
  <c r="D597" i="15"/>
  <c r="A598" i="15"/>
  <c r="B598" i="15"/>
  <c r="C598" i="15"/>
  <c r="D598" i="15"/>
  <c r="A599" i="15"/>
  <c r="B599" i="15"/>
  <c r="C599" i="15"/>
  <c r="D599" i="15"/>
  <c r="A600" i="15"/>
  <c r="B600" i="15"/>
  <c r="C600" i="15"/>
  <c r="D600" i="15"/>
  <c r="A601" i="15"/>
  <c r="B601" i="15"/>
  <c r="C601" i="15"/>
  <c r="D601" i="15"/>
  <c r="A602" i="15"/>
  <c r="B602" i="15"/>
  <c r="C602" i="15"/>
  <c r="D602" i="15"/>
  <c r="A603" i="15"/>
  <c r="B603" i="15"/>
  <c r="C603" i="15"/>
  <c r="D603" i="15"/>
  <c r="A604" i="15"/>
  <c r="B604" i="15"/>
  <c r="C604" i="15"/>
  <c r="D604" i="15"/>
  <c r="A605" i="15"/>
  <c r="B605" i="15"/>
  <c r="C605" i="15"/>
  <c r="D605" i="15"/>
  <c r="A606" i="15"/>
  <c r="B606" i="15"/>
  <c r="C606" i="15"/>
  <c r="D606" i="15"/>
  <c r="A607" i="15"/>
  <c r="B607" i="15"/>
  <c r="C607" i="15"/>
  <c r="D607" i="15"/>
  <c r="A608" i="15"/>
  <c r="B608" i="15"/>
  <c r="C608" i="15"/>
  <c r="D608" i="15"/>
  <c r="A609" i="15"/>
  <c r="B609" i="15"/>
  <c r="C609" i="15"/>
  <c r="D609" i="15"/>
  <c r="A610" i="15"/>
  <c r="B610" i="15"/>
  <c r="C610" i="15"/>
  <c r="D610" i="15"/>
  <c r="A611" i="15"/>
  <c r="B611" i="15"/>
  <c r="C611" i="15"/>
  <c r="D611" i="15"/>
  <c r="A612" i="15"/>
  <c r="B612" i="15"/>
  <c r="C612" i="15"/>
  <c r="D612" i="15"/>
  <c r="A613" i="15"/>
  <c r="B613" i="15"/>
  <c r="C613" i="15"/>
  <c r="D613" i="15"/>
  <c r="A614" i="15"/>
  <c r="B614" i="15"/>
  <c r="C614" i="15"/>
  <c r="D614" i="15"/>
  <c r="A615" i="15"/>
  <c r="B615" i="15"/>
  <c r="C615" i="15"/>
  <c r="D615" i="15"/>
  <c r="A616" i="15"/>
  <c r="B616" i="15"/>
  <c r="C616" i="15"/>
  <c r="D616" i="15"/>
  <c r="A617" i="15"/>
  <c r="B617" i="15"/>
  <c r="C617" i="15"/>
  <c r="D617" i="15"/>
  <c r="A618" i="15"/>
  <c r="B618" i="15"/>
  <c r="C618" i="15"/>
  <c r="D618" i="15"/>
  <c r="A619" i="15"/>
  <c r="B619" i="15"/>
  <c r="C619" i="15"/>
  <c r="D619" i="15"/>
  <c r="A620" i="15"/>
  <c r="B620" i="15"/>
  <c r="C620" i="15"/>
  <c r="D620" i="15"/>
  <c r="A621" i="15"/>
  <c r="B621" i="15"/>
  <c r="C621" i="15"/>
  <c r="D621" i="15"/>
  <c r="A622" i="15"/>
  <c r="B622" i="15"/>
  <c r="C622" i="15"/>
  <c r="D622" i="15"/>
  <c r="A623" i="15"/>
  <c r="B623" i="15"/>
  <c r="C623" i="15"/>
  <c r="D623" i="15"/>
  <c r="A624" i="15"/>
  <c r="B624" i="15"/>
  <c r="C624" i="15"/>
  <c r="D624" i="15"/>
  <c r="A625" i="15"/>
  <c r="B625" i="15"/>
  <c r="C625" i="15"/>
  <c r="D625" i="15"/>
  <c r="A626" i="15"/>
  <c r="B626" i="15"/>
  <c r="C626" i="15"/>
  <c r="D626" i="15"/>
  <c r="A627" i="15"/>
  <c r="B627" i="15"/>
  <c r="C627" i="15"/>
  <c r="D627" i="15"/>
  <c r="A628" i="15"/>
  <c r="B628" i="15"/>
  <c r="C628" i="15"/>
  <c r="D628" i="15"/>
  <c r="A629" i="15"/>
  <c r="B629" i="15"/>
  <c r="C629" i="15"/>
  <c r="D629" i="15"/>
  <c r="A630" i="15"/>
  <c r="B630" i="15"/>
  <c r="C630" i="15"/>
  <c r="D630" i="15"/>
  <c r="A631" i="15"/>
  <c r="B631" i="15"/>
  <c r="C631" i="15"/>
  <c r="D631" i="15"/>
  <c r="A632" i="15"/>
  <c r="B632" i="15"/>
  <c r="C632" i="15"/>
  <c r="D632" i="15"/>
  <c r="A633" i="15"/>
  <c r="B633" i="15"/>
  <c r="C633" i="15"/>
  <c r="D633" i="15"/>
  <c r="A634" i="15"/>
  <c r="B634" i="15"/>
  <c r="C634" i="15"/>
  <c r="D634" i="15"/>
  <c r="A635" i="15"/>
  <c r="B635" i="15"/>
  <c r="C635" i="15"/>
  <c r="D635" i="15"/>
  <c r="A636" i="15"/>
  <c r="B636" i="15"/>
  <c r="C636" i="15"/>
  <c r="D636" i="15"/>
  <c r="A637" i="15"/>
  <c r="B637" i="15"/>
  <c r="C637" i="15"/>
  <c r="D637" i="15"/>
  <c r="A638" i="15"/>
  <c r="B638" i="15"/>
  <c r="C638" i="15"/>
  <c r="D638" i="15"/>
  <c r="A639" i="15"/>
  <c r="B639" i="15"/>
  <c r="C639" i="15"/>
  <c r="D639" i="15"/>
  <c r="A640" i="15"/>
  <c r="B640" i="15"/>
  <c r="C640" i="15"/>
  <c r="D640" i="15"/>
  <c r="A641" i="15"/>
  <c r="B641" i="15"/>
  <c r="C641" i="15"/>
  <c r="D641" i="15"/>
  <c r="A642" i="15"/>
  <c r="B642" i="15"/>
  <c r="C642" i="15"/>
  <c r="D642" i="15"/>
  <c r="A643" i="15"/>
  <c r="B643" i="15"/>
  <c r="C643" i="15"/>
  <c r="D643" i="15"/>
  <c r="A644" i="15"/>
  <c r="B644" i="15"/>
  <c r="C644" i="15"/>
  <c r="D644" i="15"/>
  <c r="A645" i="15"/>
  <c r="B645" i="15"/>
  <c r="C645" i="15"/>
  <c r="D645" i="15"/>
  <c r="A646" i="15"/>
  <c r="B646" i="15"/>
  <c r="C646" i="15"/>
  <c r="D646" i="15"/>
  <c r="A647" i="15"/>
  <c r="B647" i="15"/>
  <c r="C647" i="15"/>
  <c r="D647" i="15"/>
  <c r="A648" i="15"/>
  <c r="B648" i="15"/>
  <c r="C648" i="15"/>
  <c r="D648" i="15"/>
  <c r="A649" i="15"/>
  <c r="B649" i="15"/>
  <c r="C649" i="15"/>
  <c r="D649" i="15"/>
  <c r="A650" i="15"/>
  <c r="B650" i="15"/>
  <c r="C650" i="15"/>
  <c r="D650" i="15"/>
  <c r="A651" i="15"/>
  <c r="B651" i="15"/>
  <c r="C651" i="15"/>
  <c r="D651" i="15"/>
  <c r="A652" i="15"/>
  <c r="B652" i="15"/>
  <c r="C652" i="15"/>
  <c r="D652" i="15"/>
  <c r="A653" i="15"/>
  <c r="B653" i="15"/>
  <c r="C653" i="15"/>
  <c r="D653" i="15"/>
  <c r="A654" i="15"/>
  <c r="B654" i="15"/>
  <c r="C654" i="15"/>
  <c r="D654" i="15"/>
  <c r="A655" i="15"/>
  <c r="B655" i="15"/>
  <c r="C655" i="15"/>
  <c r="D655" i="15"/>
  <c r="A656" i="15"/>
  <c r="B656" i="15"/>
  <c r="C656" i="15"/>
  <c r="D656" i="15"/>
  <c r="A657" i="15"/>
  <c r="B657" i="15"/>
  <c r="C657" i="15"/>
  <c r="D657" i="15"/>
  <c r="A658" i="15"/>
  <c r="B658" i="15"/>
  <c r="C658" i="15"/>
  <c r="D658" i="15"/>
  <c r="A659" i="15"/>
  <c r="B659" i="15"/>
  <c r="C659" i="15"/>
  <c r="D659" i="15"/>
  <c r="A660" i="15"/>
  <c r="B660" i="15"/>
  <c r="C660" i="15"/>
  <c r="D660" i="15"/>
  <c r="A661" i="15"/>
  <c r="B661" i="15"/>
  <c r="C661" i="15"/>
  <c r="D661" i="15"/>
  <c r="A662" i="15"/>
  <c r="B662" i="15"/>
  <c r="C662" i="15"/>
  <c r="D662" i="15"/>
  <c r="A663" i="15"/>
  <c r="B663" i="15"/>
  <c r="C663" i="15"/>
  <c r="D663" i="15"/>
  <c r="A664" i="15"/>
  <c r="B664" i="15"/>
  <c r="C664" i="15"/>
  <c r="D664" i="15"/>
  <c r="A665" i="15"/>
  <c r="B665" i="15"/>
  <c r="C665" i="15"/>
  <c r="D665" i="15"/>
  <c r="A666" i="15"/>
  <c r="B666" i="15"/>
  <c r="C666" i="15"/>
  <c r="D666" i="15"/>
  <c r="A667" i="15"/>
  <c r="B667" i="15"/>
  <c r="C667" i="15"/>
  <c r="D667" i="15"/>
  <c r="A668" i="15"/>
  <c r="B668" i="15"/>
  <c r="C668" i="15"/>
  <c r="D668" i="15"/>
  <c r="A669" i="15"/>
  <c r="B669" i="15"/>
  <c r="C669" i="15"/>
  <c r="D669" i="15"/>
  <c r="A670" i="15"/>
  <c r="B670" i="15"/>
  <c r="C670" i="15"/>
  <c r="D670" i="15"/>
  <c r="A671" i="15"/>
  <c r="B671" i="15"/>
  <c r="C671" i="15"/>
  <c r="D671" i="15"/>
  <c r="A672" i="15"/>
  <c r="B672" i="15"/>
  <c r="C672" i="15"/>
  <c r="D672" i="15"/>
  <c r="A673" i="15"/>
  <c r="B673" i="15"/>
  <c r="C673" i="15"/>
  <c r="D673" i="15"/>
  <c r="A674" i="15"/>
  <c r="B674" i="15"/>
  <c r="C674" i="15"/>
  <c r="D674" i="15"/>
  <c r="A675" i="15"/>
  <c r="B675" i="15"/>
  <c r="C675" i="15"/>
  <c r="D675" i="15"/>
  <c r="A676" i="15"/>
  <c r="B676" i="15"/>
  <c r="C676" i="15"/>
  <c r="D676" i="15"/>
  <c r="A677" i="15"/>
  <c r="B677" i="15"/>
  <c r="C677" i="15"/>
  <c r="D677" i="15"/>
  <c r="A678" i="15"/>
  <c r="B678" i="15"/>
  <c r="C678" i="15"/>
  <c r="D678" i="15"/>
  <c r="A679" i="15"/>
  <c r="B679" i="15"/>
  <c r="C679" i="15"/>
  <c r="D679" i="15"/>
  <c r="A680" i="15"/>
  <c r="B680" i="15"/>
  <c r="C680" i="15"/>
  <c r="D680" i="15"/>
  <c r="A681" i="15"/>
  <c r="B681" i="15"/>
  <c r="C681" i="15"/>
  <c r="D681" i="15"/>
  <c r="A682" i="15"/>
  <c r="B682" i="15"/>
  <c r="C682" i="15"/>
  <c r="D682" i="15"/>
  <c r="A683" i="15"/>
  <c r="B683" i="15"/>
  <c r="C683" i="15"/>
  <c r="D683" i="15"/>
  <c r="A684" i="15"/>
  <c r="B684" i="15"/>
  <c r="C684" i="15"/>
  <c r="D684" i="15"/>
  <c r="A685" i="15"/>
  <c r="B685" i="15"/>
  <c r="C685" i="15"/>
  <c r="D685" i="15"/>
  <c r="A686" i="15"/>
  <c r="B686" i="15"/>
  <c r="C686" i="15"/>
  <c r="D686" i="15"/>
  <c r="A687" i="15"/>
  <c r="B687" i="15"/>
  <c r="C687" i="15"/>
  <c r="D687" i="15"/>
  <c r="A688" i="15"/>
  <c r="B688" i="15"/>
  <c r="C688" i="15"/>
  <c r="D688" i="15"/>
  <c r="A689" i="15"/>
  <c r="B689" i="15"/>
  <c r="C689" i="15"/>
  <c r="D689" i="15"/>
  <c r="A690" i="15"/>
  <c r="B690" i="15"/>
  <c r="C690" i="15"/>
  <c r="D690" i="15"/>
  <c r="A691" i="15"/>
  <c r="B691" i="15"/>
  <c r="C691" i="15"/>
  <c r="D691" i="15"/>
  <c r="A692" i="15"/>
  <c r="B692" i="15"/>
  <c r="C692" i="15"/>
  <c r="D692" i="15"/>
  <c r="A693" i="15"/>
  <c r="B693" i="15"/>
  <c r="C693" i="15"/>
  <c r="D693" i="15"/>
  <c r="A694" i="15"/>
  <c r="B694" i="15"/>
  <c r="C694" i="15"/>
  <c r="D694" i="15"/>
  <c r="A695" i="15"/>
  <c r="B695" i="15"/>
  <c r="C695" i="15"/>
  <c r="D695" i="15"/>
  <c r="A696" i="15"/>
  <c r="B696" i="15"/>
  <c r="C696" i="15"/>
  <c r="D696" i="15"/>
  <c r="A697" i="15"/>
  <c r="B697" i="15"/>
  <c r="C697" i="15"/>
  <c r="D697" i="15"/>
  <c r="A698" i="15"/>
  <c r="B698" i="15"/>
  <c r="C698" i="15"/>
  <c r="D698" i="15"/>
  <c r="A699" i="15"/>
  <c r="B699" i="15"/>
  <c r="C699" i="15"/>
  <c r="D699" i="15"/>
  <c r="A700" i="15"/>
  <c r="B700" i="15"/>
  <c r="C700" i="15"/>
  <c r="D700" i="15"/>
  <c r="A701" i="15"/>
  <c r="B701" i="15"/>
  <c r="C701" i="15"/>
  <c r="D701" i="15"/>
  <c r="A702" i="15"/>
  <c r="B702" i="15"/>
  <c r="C702" i="15"/>
  <c r="D702" i="15"/>
  <c r="A703" i="15"/>
  <c r="B703" i="15"/>
  <c r="C703" i="15"/>
  <c r="D703" i="15"/>
  <c r="A704" i="15"/>
  <c r="B704" i="15"/>
  <c r="C704" i="15"/>
  <c r="D704" i="15"/>
  <c r="A705" i="15"/>
  <c r="B705" i="15"/>
  <c r="C705" i="15"/>
  <c r="D705" i="15"/>
  <c r="A706" i="15"/>
  <c r="B706" i="15"/>
  <c r="C706" i="15"/>
  <c r="D706" i="15"/>
  <c r="A707" i="15"/>
  <c r="B707" i="15"/>
  <c r="C707" i="15"/>
  <c r="D707" i="15"/>
  <c r="A708" i="15"/>
  <c r="B708" i="15"/>
  <c r="C708" i="15"/>
  <c r="D708" i="15"/>
  <c r="A709" i="15"/>
  <c r="B709" i="15"/>
  <c r="C709" i="15"/>
  <c r="D709" i="15"/>
  <c r="A710" i="15"/>
  <c r="B710" i="15"/>
  <c r="C710" i="15"/>
  <c r="D710" i="15"/>
  <c r="A711" i="15"/>
  <c r="B711" i="15"/>
  <c r="C711" i="15"/>
  <c r="D711" i="15"/>
  <c r="A712" i="15"/>
  <c r="B712" i="15"/>
  <c r="C712" i="15"/>
  <c r="D712" i="15"/>
  <c r="A713" i="15"/>
  <c r="B713" i="15"/>
  <c r="C713" i="15"/>
  <c r="D713" i="15"/>
  <c r="A714" i="15"/>
  <c r="B714" i="15"/>
  <c r="C714" i="15"/>
  <c r="D714" i="15"/>
  <c r="A715" i="15"/>
  <c r="B715" i="15"/>
  <c r="C715" i="15"/>
  <c r="D715" i="15"/>
  <c r="A716" i="15"/>
  <c r="B716" i="15"/>
  <c r="C716" i="15"/>
  <c r="D716" i="15"/>
  <c r="A717" i="15"/>
  <c r="B717" i="15"/>
  <c r="C717" i="15"/>
  <c r="D717" i="15"/>
  <c r="A718" i="15"/>
  <c r="B718" i="15"/>
  <c r="C718" i="15"/>
  <c r="D718" i="15"/>
  <c r="A719" i="15"/>
  <c r="B719" i="15"/>
  <c r="C719" i="15"/>
  <c r="D719" i="15"/>
  <c r="A720" i="15"/>
  <c r="B720" i="15"/>
  <c r="C720" i="15"/>
  <c r="D720" i="15"/>
  <c r="A721" i="15"/>
  <c r="B721" i="15"/>
  <c r="C721" i="15"/>
  <c r="D721" i="15"/>
  <c r="B2" i="15"/>
  <c r="C2" i="15"/>
  <c r="AJ492" i="13"/>
  <c r="AJ491" i="13"/>
  <c r="AJ490" i="13"/>
  <c r="AJ489" i="13"/>
  <c r="AJ488" i="13"/>
  <c r="AJ487" i="13"/>
  <c r="AJ486" i="13"/>
  <c r="AJ485" i="13"/>
  <c r="AJ484" i="13"/>
  <c r="AJ483" i="13"/>
  <c r="AJ482" i="13"/>
  <c r="AJ481" i="13"/>
  <c r="AJ480" i="13"/>
  <c r="AJ479" i="13"/>
  <c r="AJ478" i="13"/>
  <c r="AJ477" i="13"/>
  <c r="AJ476" i="13"/>
  <c r="AJ475" i="13"/>
  <c r="AJ474" i="13"/>
  <c r="AJ473" i="13"/>
  <c r="AJ472" i="13"/>
  <c r="AJ471" i="13"/>
  <c r="AJ470" i="13"/>
  <c r="AJ469" i="13"/>
  <c r="AJ468" i="13"/>
  <c r="AJ467" i="13"/>
  <c r="AJ466" i="13"/>
  <c r="AJ465" i="13"/>
  <c r="AJ464" i="13"/>
  <c r="AJ463" i="13"/>
  <c r="AJ462" i="13"/>
  <c r="AJ461" i="13"/>
  <c r="AJ460" i="13"/>
  <c r="AJ459" i="13"/>
  <c r="AJ458" i="13"/>
  <c r="AJ457" i="13"/>
  <c r="AJ456" i="13"/>
  <c r="AJ455" i="13"/>
  <c r="AJ454" i="13"/>
  <c r="AJ453" i="13"/>
  <c r="AJ452" i="13"/>
  <c r="AJ451" i="13"/>
  <c r="AJ450" i="13"/>
  <c r="AJ449" i="13"/>
  <c r="AJ448" i="13"/>
  <c r="AJ447" i="13"/>
  <c r="AJ446" i="13"/>
  <c r="AJ445" i="13"/>
  <c r="AJ444" i="13"/>
  <c r="AJ443" i="13"/>
  <c r="AJ442" i="13"/>
  <c r="AJ441" i="13"/>
  <c r="AJ440" i="13"/>
  <c r="AJ439" i="13"/>
  <c r="AJ438" i="13"/>
  <c r="AJ437" i="13"/>
  <c r="AJ436" i="13"/>
  <c r="AJ435" i="13"/>
  <c r="AJ434" i="13"/>
  <c r="AJ433" i="13"/>
  <c r="AJ432" i="13"/>
  <c r="AJ431" i="13"/>
  <c r="AJ430" i="13"/>
  <c r="AJ429" i="13"/>
  <c r="AJ428" i="13"/>
  <c r="AJ427" i="13"/>
  <c r="AJ426" i="13"/>
  <c r="AJ425" i="13"/>
  <c r="AJ424" i="13"/>
  <c r="AJ423" i="13"/>
  <c r="AJ422" i="13"/>
  <c r="AJ421" i="13"/>
  <c r="AJ420" i="13"/>
  <c r="AJ419" i="13"/>
  <c r="AJ418" i="13"/>
  <c r="AJ417" i="13"/>
  <c r="AJ416" i="13"/>
  <c r="AJ415" i="13"/>
  <c r="AJ414" i="13"/>
  <c r="AJ413" i="13"/>
  <c r="AJ412" i="13"/>
  <c r="F66" i="13"/>
  <c r="E66" i="13"/>
  <c r="G66" i="13" s="1"/>
  <c r="E54" i="13"/>
  <c r="G54" i="13" s="1"/>
  <c r="M42" i="13"/>
  <c r="W42" i="13"/>
  <c r="AG42" i="13"/>
  <c r="H43" i="13"/>
  <c r="I43" i="13"/>
  <c r="J43" i="13"/>
  <c r="K43" i="13"/>
  <c r="L43" i="13"/>
  <c r="M43" i="13"/>
  <c r="N43" i="13"/>
  <c r="O43" i="13"/>
  <c r="P43" i="13"/>
  <c r="Q43" i="13"/>
  <c r="R43" i="13"/>
  <c r="S43" i="13"/>
  <c r="T43" i="13"/>
  <c r="U43" i="13"/>
  <c r="V43" i="13"/>
  <c r="W43" i="13"/>
  <c r="X43" i="13"/>
  <c r="Y43" i="13"/>
  <c r="Z43" i="13"/>
  <c r="AA43" i="13"/>
  <c r="AB43" i="13"/>
  <c r="AC43" i="13"/>
  <c r="AD43" i="13"/>
  <c r="AE43" i="13"/>
  <c r="AF43" i="13"/>
  <c r="AG43" i="13"/>
  <c r="H44" i="13"/>
  <c r="I44" i="13"/>
  <c r="J44" i="13"/>
  <c r="K44" i="13"/>
  <c r="L44" i="13"/>
  <c r="M44" i="13"/>
  <c r="N44" i="13"/>
  <c r="O44" i="13"/>
  <c r="P44" i="13"/>
  <c r="Q44" i="13"/>
  <c r="S44" i="13"/>
  <c r="T44" i="13"/>
  <c r="U44" i="13"/>
  <c r="V44" i="13"/>
  <c r="W44" i="13"/>
  <c r="X44" i="13"/>
  <c r="Y44" i="13"/>
  <c r="Z44" i="13"/>
  <c r="AA44" i="13"/>
  <c r="AB44" i="13"/>
  <c r="AC44" i="13"/>
  <c r="AD44" i="13"/>
  <c r="AE44" i="13"/>
  <c r="AF44" i="13"/>
  <c r="AG44" i="13"/>
  <c r="H45" i="13"/>
  <c r="I45" i="13"/>
  <c r="J45" i="13"/>
  <c r="K45" i="13"/>
  <c r="L45" i="13"/>
  <c r="M45" i="13"/>
  <c r="N45" i="13"/>
  <c r="O45" i="13"/>
  <c r="P45" i="13"/>
  <c r="Q45" i="13"/>
  <c r="S45" i="13"/>
  <c r="T45" i="13"/>
  <c r="U45" i="13"/>
  <c r="V45" i="13"/>
  <c r="W45" i="13"/>
  <c r="X45" i="13"/>
  <c r="Y45" i="13"/>
  <c r="Z45" i="13"/>
  <c r="AA45" i="13"/>
  <c r="AB45" i="13"/>
  <c r="AC45" i="13"/>
  <c r="AD45" i="13"/>
  <c r="AE45" i="13"/>
  <c r="AF45" i="13"/>
  <c r="AG45" i="13"/>
  <c r="G43" i="13"/>
  <c r="G44" i="13"/>
  <c r="G45" i="13"/>
  <c r="G28" i="13"/>
  <c r="M28" i="13"/>
  <c r="W28" i="13"/>
  <c r="AG28" i="13"/>
  <c r="G29" i="13"/>
  <c r="M29" i="13"/>
  <c r="W29" i="13"/>
  <c r="AG29" i="13"/>
  <c r="G30" i="13"/>
  <c r="M30" i="13"/>
  <c r="W30" i="13"/>
  <c r="AG30" i="13"/>
  <c r="G31" i="13"/>
  <c r="M31" i="13"/>
  <c r="W31" i="13"/>
  <c r="AG31" i="13"/>
  <c r="G32" i="13"/>
  <c r="M32" i="13"/>
  <c r="W32" i="13"/>
  <c r="AG32" i="13"/>
  <c r="G33" i="13"/>
  <c r="M33" i="13"/>
  <c r="W33" i="13"/>
  <c r="AG33" i="13"/>
  <c r="H34" i="13"/>
  <c r="I34" i="13"/>
  <c r="J34" i="13"/>
  <c r="K34" i="13"/>
  <c r="L34" i="13"/>
  <c r="M34" i="13"/>
  <c r="N34" i="13"/>
  <c r="O34" i="13"/>
  <c r="P34" i="13"/>
  <c r="Q34" i="13"/>
  <c r="R34" i="13"/>
  <c r="S34" i="13"/>
  <c r="T34" i="13"/>
  <c r="U34" i="13"/>
  <c r="V34" i="13"/>
  <c r="W34" i="13"/>
  <c r="X34" i="13"/>
  <c r="Y34" i="13"/>
  <c r="Z34" i="13"/>
  <c r="AA34" i="13"/>
  <c r="AB34" i="13"/>
  <c r="AC34" i="13"/>
  <c r="AD34" i="13"/>
  <c r="AE34" i="13"/>
  <c r="AF34" i="13"/>
  <c r="AG34" i="13"/>
  <c r="G35" i="13"/>
  <c r="H35" i="13"/>
  <c r="I35" i="13"/>
  <c r="J35" i="13"/>
  <c r="K35" i="13"/>
  <c r="L35" i="13"/>
  <c r="M35" i="13"/>
  <c r="N35" i="13"/>
  <c r="O35" i="13"/>
  <c r="P35" i="13"/>
  <c r="Q35" i="13"/>
  <c r="R35" i="13"/>
  <c r="S35" i="13"/>
  <c r="T35" i="13"/>
  <c r="U35" i="13"/>
  <c r="V35" i="13"/>
  <c r="W35" i="13"/>
  <c r="X35" i="13"/>
  <c r="Y35" i="13"/>
  <c r="Z35" i="13"/>
  <c r="AA35" i="13"/>
  <c r="AB35" i="13"/>
  <c r="AC35" i="13"/>
  <c r="AD35" i="13"/>
  <c r="AE35" i="13"/>
  <c r="AF35" i="13"/>
  <c r="AG35" i="13"/>
  <c r="G36" i="13"/>
  <c r="H36" i="13"/>
  <c r="I36" i="13"/>
  <c r="J36" i="13"/>
  <c r="K36" i="13"/>
  <c r="L36" i="13"/>
  <c r="M36" i="13"/>
  <c r="N36" i="13"/>
  <c r="O36" i="13"/>
  <c r="P36" i="13"/>
  <c r="Q36" i="13"/>
  <c r="R36" i="13"/>
  <c r="S36" i="13"/>
  <c r="T36" i="13"/>
  <c r="U36" i="13"/>
  <c r="V36" i="13"/>
  <c r="W36" i="13"/>
  <c r="X36" i="13"/>
  <c r="Y36" i="13"/>
  <c r="Z36" i="13"/>
  <c r="AA36" i="13"/>
  <c r="AB36" i="13"/>
  <c r="AC36" i="13"/>
  <c r="AD36" i="13"/>
  <c r="AE36" i="13"/>
  <c r="AF36" i="13"/>
  <c r="AG36" i="13"/>
  <c r="G37" i="13"/>
  <c r="M37" i="13"/>
  <c r="W37" i="13"/>
  <c r="AG37" i="13"/>
  <c r="G38" i="13"/>
  <c r="M38" i="13"/>
  <c r="W38" i="13"/>
  <c r="AG38" i="13"/>
  <c r="G39" i="13"/>
  <c r="M39" i="13"/>
  <c r="W39" i="13"/>
  <c r="AG39" i="13"/>
  <c r="G40" i="13"/>
  <c r="M40" i="13"/>
  <c r="W40" i="13"/>
  <c r="AG40" i="13"/>
  <c r="G41" i="13"/>
  <c r="M41" i="13"/>
  <c r="W41" i="13"/>
  <c r="AG41" i="13"/>
  <c r="G42" i="13"/>
  <c r="F45" i="13"/>
  <c r="F44" i="13"/>
  <c r="F43" i="13"/>
  <c r="F19" i="13"/>
  <c r="F20" i="13"/>
  <c r="F21" i="13"/>
  <c r="E63" i="13"/>
  <c r="G63" i="13" s="1"/>
  <c r="E62" i="13"/>
  <c r="G62" i="13" s="1"/>
  <c r="E64" i="13"/>
  <c r="G64" i="13" s="1"/>
  <c r="E61" i="13"/>
  <c r="G61" i="13" s="1"/>
  <c r="F65" i="13"/>
  <c r="E65" i="13"/>
  <c r="G65" i="13" s="1"/>
  <c r="F53" i="13"/>
  <c r="E53" i="13"/>
  <c r="G53" i="13" s="1"/>
  <c r="E50" i="13"/>
  <c r="G50" i="13" s="1"/>
  <c r="E90" i="15" s="1"/>
  <c r="E51" i="13"/>
  <c r="G51" i="13" s="1"/>
  <c r="E52" i="13"/>
  <c r="G52" i="13" s="1"/>
  <c r="E49" i="13"/>
  <c r="G49" i="13" s="1"/>
  <c r="F9" i="15" l="1"/>
  <c r="F105" i="15"/>
  <c r="E365" i="15"/>
  <c r="F346" i="15"/>
  <c r="E685" i="15"/>
  <c r="F685" i="15"/>
  <c r="E633" i="15"/>
  <c r="F633" i="15"/>
  <c r="F565" i="15"/>
  <c r="E565" i="15"/>
  <c r="E493" i="15"/>
  <c r="F493" i="15"/>
  <c r="F417" i="15"/>
  <c r="E417" i="15"/>
  <c r="F336" i="15"/>
  <c r="E336" i="15"/>
  <c r="F331" i="15"/>
  <c r="E331" i="15"/>
  <c r="F315" i="15"/>
  <c r="E315" i="15"/>
  <c r="F709" i="15"/>
  <c r="G709" i="15" s="1"/>
  <c r="E709" i="15"/>
  <c r="E649" i="15"/>
  <c r="F649" i="15"/>
  <c r="E589" i="15"/>
  <c r="F589" i="15"/>
  <c r="E545" i="15"/>
  <c r="F545" i="15"/>
  <c r="E505" i="15"/>
  <c r="F505" i="15"/>
  <c r="E473" i="15"/>
  <c r="F473" i="15"/>
  <c r="F429" i="15"/>
  <c r="E429" i="15"/>
  <c r="F405" i="15"/>
  <c r="E405" i="15"/>
  <c r="E381" i="15"/>
  <c r="F381" i="15"/>
  <c r="F351" i="15"/>
  <c r="E351" i="15"/>
  <c r="F272" i="15"/>
  <c r="E272" i="15"/>
  <c r="F256" i="15"/>
  <c r="E256" i="15"/>
  <c r="F240" i="15"/>
  <c r="E240" i="15"/>
  <c r="F341" i="15"/>
  <c r="E341" i="15"/>
  <c r="F325" i="15"/>
  <c r="E325" i="15"/>
  <c r="F309" i="15"/>
  <c r="E309" i="15"/>
  <c r="F293" i="15"/>
  <c r="E293" i="15"/>
  <c r="F277" i="15"/>
  <c r="E277" i="15"/>
  <c r="F261" i="15"/>
  <c r="E261" i="15"/>
  <c r="F245" i="15"/>
  <c r="E245" i="15"/>
  <c r="F229" i="15"/>
  <c r="E229" i="15"/>
  <c r="F213" i="15"/>
  <c r="E213" i="15"/>
  <c r="F32" i="15"/>
  <c r="E713" i="15"/>
  <c r="F713" i="15"/>
  <c r="E653" i="15"/>
  <c r="F653" i="15"/>
  <c r="E593" i="15"/>
  <c r="F593" i="15"/>
  <c r="E537" i="15"/>
  <c r="F537" i="15"/>
  <c r="E497" i="15"/>
  <c r="F497" i="15"/>
  <c r="E449" i="15"/>
  <c r="F449" i="15"/>
  <c r="F421" i="15"/>
  <c r="E421" i="15"/>
  <c r="F401" i="15"/>
  <c r="E401" i="15"/>
  <c r="F377" i="15"/>
  <c r="E377" i="15"/>
  <c r="F330" i="15"/>
  <c r="E330" i="15"/>
  <c r="F314" i="15"/>
  <c r="E314" i="15"/>
  <c r="F298" i="15"/>
  <c r="E298" i="15"/>
  <c r="F282" i="15"/>
  <c r="E282" i="15"/>
  <c r="F266" i="15"/>
  <c r="E266" i="15"/>
  <c r="F250" i="15"/>
  <c r="E250" i="15"/>
  <c r="F234" i="15"/>
  <c r="E234" i="15"/>
  <c r="F218" i="15"/>
  <c r="E122" i="15"/>
  <c r="F661" i="15"/>
  <c r="E661" i="15"/>
  <c r="F597" i="15"/>
  <c r="E597" i="15"/>
  <c r="F517" i="15"/>
  <c r="E517" i="15"/>
  <c r="F433" i="15"/>
  <c r="E433" i="15"/>
  <c r="F360" i="15"/>
  <c r="E360" i="15"/>
  <c r="F355" i="15"/>
  <c r="E355" i="15"/>
  <c r="E350" i="15"/>
  <c r="F350" i="15"/>
  <c r="F335" i="15"/>
  <c r="E335" i="15"/>
  <c r="F319" i="15"/>
  <c r="E319" i="15"/>
  <c r="F303" i="15"/>
  <c r="E303" i="15"/>
  <c r="F79" i="15"/>
  <c r="F58" i="15"/>
  <c r="E42" i="15"/>
  <c r="E26" i="15"/>
  <c r="E10" i="15"/>
  <c r="F721" i="15"/>
  <c r="E721" i="15"/>
  <c r="E665" i="15"/>
  <c r="F665" i="15"/>
  <c r="E601" i="15"/>
  <c r="F601" i="15"/>
  <c r="F549" i="15"/>
  <c r="E549" i="15"/>
  <c r="E481" i="15"/>
  <c r="F481" i="15"/>
  <c r="F369" i="15"/>
  <c r="E369" i="15"/>
  <c r="E720" i="15"/>
  <c r="F720" i="15"/>
  <c r="E716" i="15"/>
  <c r="F716" i="15"/>
  <c r="E712" i="15"/>
  <c r="F712" i="15"/>
  <c r="F708" i="15"/>
  <c r="E708" i="15"/>
  <c r="E704" i="15"/>
  <c r="F704" i="15"/>
  <c r="E700" i="15"/>
  <c r="F700" i="15"/>
  <c r="E696" i="15"/>
  <c r="F696" i="15"/>
  <c r="F692" i="15"/>
  <c r="E692" i="15"/>
  <c r="E688" i="15"/>
  <c r="F688" i="15"/>
  <c r="G688" i="15" s="1"/>
  <c r="E684" i="15"/>
  <c r="F684" i="15"/>
  <c r="E680" i="15"/>
  <c r="F680" i="15"/>
  <c r="F676" i="15"/>
  <c r="E676" i="15"/>
  <c r="E672" i="15"/>
  <c r="F672" i="15"/>
  <c r="E668" i="15"/>
  <c r="F668" i="15"/>
  <c r="E664" i="15"/>
  <c r="F664" i="15"/>
  <c r="F660" i="15"/>
  <c r="E660" i="15"/>
  <c r="E656" i="15"/>
  <c r="F656" i="15"/>
  <c r="G656" i="15" s="1"/>
  <c r="E652" i="15"/>
  <c r="F652" i="15"/>
  <c r="E648" i="15"/>
  <c r="F648" i="15"/>
  <c r="F644" i="15"/>
  <c r="E644" i="15"/>
  <c r="E640" i="15"/>
  <c r="F640" i="15"/>
  <c r="E636" i="15"/>
  <c r="F636" i="15"/>
  <c r="E632" i="15"/>
  <c r="F632" i="15"/>
  <c r="F628" i="15"/>
  <c r="E628" i="15"/>
  <c r="E624" i="15"/>
  <c r="F624" i="15"/>
  <c r="G624" i="15" s="1"/>
  <c r="E620" i="15"/>
  <c r="F620" i="15"/>
  <c r="E616" i="15"/>
  <c r="F616" i="15"/>
  <c r="F612" i="15"/>
  <c r="E612" i="15"/>
  <c r="E608" i="15"/>
  <c r="F608" i="15"/>
  <c r="E604" i="15"/>
  <c r="F604" i="15"/>
  <c r="E600" i="15"/>
  <c r="F600" i="15"/>
  <c r="F596" i="15"/>
  <c r="E596" i="15"/>
  <c r="E592" i="15"/>
  <c r="F592" i="15"/>
  <c r="G592" i="15" s="1"/>
  <c r="E588" i="15"/>
  <c r="F588" i="15"/>
  <c r="E584" i="15"/>
  <c r="F584" i="15"/>
  <c r="F580" i="15"/>
  <c r="E580" i="15"/>
  <c r="E576" i="15"/>
  <c r="F576" i="15"/>
  <c r="E572" i="15"/>
  <c r="F572" i="15"/>
  <c r="E568" i="15"/>
  <c r="F568" i="15"/>
  <c r="F564" i="15"/>
  <c r="E564" i="15"/>
  <c r="E560" i="15"/>
  <c r="F560" i="15"/>
  <c r="G560" i="15" s="1"/>
  <c r="E556" i="15"/>
  <c r="F556" i="15"/>
  <c r="E552" i="15"/>
  <c r="F552" i="15"/>
  <c r="F548" i="15"/>
  <c r="E548" i="15"/>
  <c r="E544" i="15"/>
  <c r="F544" i="15"/>
  <c r="E540" i="15"/>
  <c r="F540" i="15"/>
  <c r="E536" i="15"/>
  <c r="F536" i="15"/>
  <c r="F532" i="15"/>
  <c r="G532" i="15" s="1"/>
  <c r="E532" i="15"/>
  <c r="E528" i="15"/>
  <c r="F528" i="15"/>
  <c r="G528" i="15" s="1"/>
  <c r="E524" i="15"/>
  <c r="F524" i="15"/>
  <c r="E520" i="15"/>
  <c r="F520" i="15"/>
  <c r="F516" i="15"/>
  <c r="E516" i="15"/>
  <c r="E512" i="15"/>
  <c r="F512" i="15"/>
  <c r="E508" i="15"/>
  <c r="F508" i="15"/>
  <c r="E504" i="15"/>
  <c r="F504" i="15"/>
  <c r="F500" i="15"/>
  <c r="G500" i="15" s="1"/>
  <c r="E500" i="15"/>
  <c r="E496" i="15"/>
  <c r="F496" i="15"/>
  <c r="G496" i="15" s="1"/>
  <c r="E492" i="15"/>
  <c r="F492" i="15"/>
  <c r="E488" i="15"/>
  <c r="F488" i="15"/>
  <c r="F484" i="15"/>
  <c r="E484" i="15"/>
  <c r="E480" i="15"/>
  <c r="F480" i="15"/>
  <c r="E476" i="15"/>
  <c r="F476" i="15"/>
  <c r="E472" i="15"/>
  <c r="F472" i="15"/>
  <c r="E468" i="15"/>
  <c r="F468" i="15"/>
  <c r="E464" i="15"/>
  <c r="F464" i="15"/>
  <c r="E460" i="15"/>
  <c r="F460" i="15"/>
  <c r="E456" i="15"/>
  <c r="F456" i="15"/>
  <c r="E452" i="15"/>
  <c r="F452" i="15"/>
  <c r="E448" i="15"/>
  <c r="F448" i="15"/>
  <c r="F444" i="15"/>
  <c r="E444" i="15"/>
  <c r="F440" i="15"/>
  <c r="E440" i="15"/>
  <c r="F436" i="15"/>
  <c r="E436" i="15"/>
  <c r="F432" i="15"/>
  <c r="E432" i="15"/>
  <c r="F428" i="15"/>
  <c r="E428" i="15"/>
  <c r="F424" i="15"/>
  <c r="E424" i="15"/>
  <c r="F420" i="15"/>
  <c r="E420" i="15"/>
  <c r="F416" i="15"/>
  <c r="E416" i="15"/>
  <c r="F412" i="15"/>
  <c r="E412" i="15"/>
  <c r="F408" i="15"/>
  <c r="E408" i="15"/>
  <c r="F404" i="15"/>
  <c r="E404" i="15"/>
  <c r="F400" i="15"/>
  <c r="E400" i="15"/>
  <c r="E396" i="15"/>
  <c r="F396" i="15"/>
  <c r="F392" i="15"/>
  <c r="E392" i="15"/>
  <c r="F388" i="15"/>
  <c r="E388" i="15"/>
  <c r="F384" i="15"/>
  <c r="E384" i="15"/>
  <c r="E380" i="15"/>
  <c r="F380" i="15"/>
  <c r="F376" i="15"/>
  <c r="E376" i="15"/>
  <c r="F372" i="15"/>
  <c r="E372" i="15"/>
  <c r="F368" i="15"/>
  <c r="E368" i="15"/>
  <c r="E364" i="15"/>
  <c r="F364" i="15"/>
  <c r="F345" i="15"/>
  <c r="E345" i="15"/>
  <c r="F340" i="15"/>
  <c r="E340" i="15"/>
  <c r="F324" i="15"/>
  <c r="E324" i="15"/>
  <c r="F308" i="15"/>
  <c r="E308" i="15"/>
  <c r="F292" i="15"/>
  <c r="E292" i="15"/>
  <c r="F276" i="15"/>
  <c r="E276" i="15"/>
  <c r="F260" i="15"/>
  <c r="E260" i="15"/>
  <c r="F244" i="15"/>
  <c r="E244" i="15"/>
  <c r="F31" i="15"/>
  <c r="E701" i="15"/>
  <c r="F701" i="15"/>
  <c r="G701" i="15" s="1"/>
  <c r="E641" i="15"/>
  <c r="F641" i="15"/>
  <c r="E553" i="15"/>
  <c r="F553" i="15"/>
  <c r="E489" i="15"/>
  <c r="F489" i="15"/>
  <c r="F441" i="15"/>
  <c r="E441" i="15"/>
  <c r="F413" i="15"/>
  <c r="E413" i="15"/>
  <c r="F385" i="15"/>
  <c r="E385" i="15"/>
  <c r="F329" i="15"/>
  <c r="E329" i="15"/>
  <c r="F313" i="15"/>
  <c r="E313" i="15"/>
  <c r="F297" i="15"/>
  <c r="E297" i="15"/>
  <c r="F281" i="15"/>
  <c r="E281" i="15"/>
  <c r="F265" i="15"/>
  <c r="E265" i="15"/>
  <c r="F249" i="15"/>
  <c r="E249" i="15"/>
  <c r="F233" i="15"/>
  <c r="E233" i="15"/>
  <c r="F217" i="15"/>
  <c r="E217" i="15"/>
  <c r="E201" i="15"/>
  <c r="E105" i="15"/>
  <c r="E89" i="15"/>
  <c r="E73" i="15"/>
  <c r="E669" i="15"/>
  <c r="F669" i="15"/>
  <c r="E605" i="15"/>
  <c r="F605" i="15"/>
  <c r="E541" i="15"/>
  <c r="F541" i="15"/>
  <c r="F485" i="15"/>
  <c r="E485" i="15"/>
  <c r="F437" i="15"/>
  <c r="E437" i="15"/>
  <c r="F393" i="15"/>
  <c r="E393" i="15"/>
  <c r="F359" i="15"/>
  <c r="E359" i="15"/>
  <c r="F354" i="15"/>
  <c r="E354" i="15"/>
  <c r="E334" i="15"/>
  <c r="F334" i="15"/>
  <c r="E318" i="15"/>
  <c r="F318" i="15"/>
  <c r="E302" i="15"/>
  <c r="F302" i="15"/>
  <c r="E286" i="15"/>
  <c r="F286" i="15"/>
  <c r="E270" i="15"/>
  <c r="F270" i="15"/>
  <c r="E254" i="15"/>
  <c r="F254" i="15"/>
  <c r="E238" i="15"/>
  <c r="F238" i="15"/>
  <c r="E222" i="15"/>
  <c r="F222" i="15"/>
  <c r="F57" i="15"/>
  <c r="E705" i="15"/>
  <c r="F705" i="15"/>
  <c r="F645" i="15"/>
  <c r="E645" i="15"/>
  <c r="E573" i="15"/>
  <c r="F573" i="15"/>
  <c r="E529" i="15"/>
  <c r="F529" i="15"/>
  <c r="E461" i="15"/>
  <c r="F461" i="15"/>
  <c r="E349" i="15"/>
  <c r="F349" i="15"/>
  <c r="F344" i="15"/>
  <c r="E344" i="15"/>
  <c r="F339" i="15"/>
  <c r="E339" i="15"/>
  <c r="F323" i="15"/>
  <c r="E323" i="15"/>
  <c r="F307" i="15"/>
  <c r="E307" i="15"/>
  <c r="F677" i="15"/>
  <c r="E677" i="15"/>
  <c r="E617" i="15"/>
  <c r="F617" i="15"/>
  <c r="E557" i="15"/>
  <c r="F557" i="15"/>
  <c r="F501" i="15"/>
  <c r="E501" i="15"/>
  <c r="F453" i="15"/>
  <c r="E453" i="15"/>
  <c r="E397" i="15"/>
  <c r="F397" i="15"/>
  <c r="F304" i="15"/>
  <c r="E304" i="15"/>
  <c r="E719" i="15"/>
  <c r="F719" i="15"/>
  <c r="E715" i="15"/>
  <c r="F715" i="15"/>
  <c r="E711" i="15"/>
  <c r="F711" i="15"/>
  <c r="F707" i="15"/>
  <c r="E707" i="15"/>
  <c r="E703" i="15"/>
  <c r="F703" i="15"/>
  <c r="E699" i="15"/>
  <c r="F699" i="15"/>
  <c r="E695" i="15"/>
  <c r="F695" i="15"/>
  <c r="F691" i="15"/>
  <c r="E691" i="15"/>
  <c r="E687" i="15"/>
  <c r="F687" i="15"/>
  <c r="E683" i="15"/>
  <c r="F683" i="15"/>
  <c r="E679" i="15"/>
  <c r="F679" i="15"/>
  <c r="F675" i="15"/>
  <c r="E675" i="15"/>
  <c r="E671" i="15"/>
  <c r="F671" i="15"/>
  <c r="E667" i="15"/>
  <c r="F667" i="15"/>
  <c r="E663" i="15"/>
  <c r="F663" i="15"/>
  <c r="F659" i="15"/>
  <c r="E659" i="15"/>
  <c r="E655" i="15"/>
  <c r="F655" i="15"/>
  <c r="E651" i="15"/>
  <c r="F651" i="15"/>
  <c r="E647" i="15"/>
  <c r="F647" i="15"/>
  <c r="F643" i="15"/>
  <c r="E643" i="15"/>
  <c r="E639" i="15"/>
  <c r="F639" i="15"/>
  <c r="E635" i="15"/>
  <c r="F635" i="15"/>
  <c r="E631" i="15"/>
  <c r="F631" i="15"/>
  <c r="F627" i="15"/>
  <c r="E627" i="15"/>
  <c r="E623" i="15"/>
  <c r="F623" i="15"/>
  <c r="E619" i="15"/>
  <c r="F619" i="15"/>
  <c r="E615" i="15"/>
  <c r="F615" i="15"/>
  <c r="F611" i="15"/>
  <c r="E611" i="15"/>
  <c r="E607" i="15"/>
  <c r="F607" i="15"/>
  <c r="E603" i="15"/>
  <c r="F603" i="15"/>
  <c r="E599" i="15"/>
  <c r="F599" i="15"/>
  <c r="F595" i="15"/>
  <c r="E595" i="15"/>
  <c r="E591" i="15"/>
  <c r="F591" i="15"/>
  <c r="E587" i="15"/>
  <c r="F587" i="15"/>
  <c r="E583" i="15"/>
  <c r="F583" i="15"/>
  <c r="F579" i="15"/>
  <c r="E579" i="15"/>
  <c r="E575" i="15"/>
  <c r="F575" i="15"/>
  <c r="E571" i="15"/>
  <c r="F571" i="15"/>
  <c r="E567" i="15"/>
  <c r="F567" i="15"/>
  <c r="F563" i="15"/>
  <c r="E563" i="15"/>
  <c r="E559" i="15"/>
  <c r="F559" i="15"/>
  <c r="E555" i="15"/>
  <c r="F555" i="15"/>
  <c r="E551" i="15"/>
  <c r="F551" i="15"/>
  <c r="F547" i="15"/>
  <c r="E547" i="15"/>
  <c r="E543" i="15"/>
  <c r="F543" i="15"/>
  <c r="E539" i="15"/>
  <c r="F539" i="15"/>
  <c r="E535" i="15"/>
  <c r="F535" i="15"/>
  <c r="F531" i="15"/>
  <c r="E531" i="15"/>
  <c r="E527" i="15"/>
  <c r="F527" i="15"/>
  <c r="E523" i="15"/>
  <c r="F523" i="15"/>
  <c r="G523" i="15" s="1"/>
  <c r="E519" i="15"/>
  <c r="F519" i="15"/>
  <c r="F515" i="15"/>
  <c r="E515" i="15"/>
  <c r="E511" i="15"/>
  <c r="F511" i="15"/>
  <c r="E507" i="15"/>
  <c r="F507" i="15"/>
  <c r="E503" i="15"/>
  <c r="F503" i="15"/>
  <c r="F499" i="15"/>
  <c r="E499" i="15"/>
  <c r="E495" i="15"/>
  <c r="F495" i="15"/>
  <c r="E491" i="15"/>
  <c r="F491" i="15"/>
  <c r="G491" i="15" s="1"/>
  <c r="E487" i="15"/>
  <c r="F487" i="15"/>
  <c r="E483" i="15"/>
  <c r="F483" i="15"/>
  <c r="E479" i="15"/>
  <c r="F479" i="15"/>
  <c r="E475" i="15"/>
  <c r="F475" i="15"/>
  <c r="E471" i="15"/>
  <c r="F471" i="15"/>
  <c r="E467" i="15"/>
  <c r="F467" i="15"/>
  <c r="E463" i="15"/>
  <c r="F463" i="15"/>
  <c r="E459" i="15"/>
  <c r="F459" i="15"/>
  <c r="E455" i="15"/>
  <c r="F455" i="15"/>
  <c r="E451" i="15"/>
  <c r="F451" i="15"/>
  <c r="F447" i="15"/>
  <c r="E447" i="15"/>
  <c r="F443" i="15"/>
  <c r="E443" i="15"/>
  <c r="F439" i="15"/>
  <c r="E439" i="15"/>
  <c r="F435" i="15"/>
  <c r="E435" i="15"/>
  <c r="F431" i="15"/>
  <c r="E431" i="15"/>
  <c r="F427" i="15"/>
  <c r="E427" i="15"/>
  <c r="E423" i="15"/>
  <c r="F423" i="15"/>
  <c r="F419" i="15"/>
  <c r="E419" i="15"/>
  <c r="F415" i="15"/>
  <c r="E415" i="15"/>
  <c r="F411" i="15"/>
  <c r="E411" i="15"/>
  <c r="F407" i="15"/>
  <c r="E407" i="15"/>
  <c r="F403" i="15"/>
  <c r="E403" i="15"/>
  <c r="F399" i="15"/>
  <c r="E399" i="15"/>
  <c r="F395" i="15"/>
  <c r="E395" i="15"/>
  <c r="F391" i="15"/>
  <c r="E391" i="15"/>
  <c r="F387" i="15"/>
  <c r="E387" i="15"/>
  <c r="F383" i="15"/>
  <c r="E383" i="15"/>
  <c r="F379" i="15"/>
  <c r="E379" i="15"/>
  <c r="F375" i="15"/>
  <c r="E375" i="15"/>
  <c r="F371" i="15"/>
  <c r="E371" i="15"/>
  <c r="F367" i="15"/>
  <c r="E367" i="15"/>
  <c r="F363" i="15"/>
  <c r="E363" i="15"/>
  <c r="F328" i="15"/>
  <c r="E328" i="15"/>
  <c r="F312" i="15"/>
  <c r="E312" i="15"/>
  <c r="F296" i="15"/>
  <c r="E296" i="15"/>
  <c r="F280" i="15"/>
  <c r="E280" i="15"/>
  <c r="F264" i="15"/>
  <c r="E264" i="15"/>
  <c r="F248" i="15"/>
  <c r="E248" i="15"/>
  <c r="F232" i="15"/>
  <c r="E232" i="15"/>
  <c r="F104" i="15"/>
  <c r="E697" i="15"/>
  <c r="F697" i="15"/>
  <c r="E637" i="15"/>
  <c r="F637" i="15"/>
  <c r="E577" i="15"/>
  <c r="F577" i="15"/>
  <c r="F533" i="15"/>
  <c r="E533" i="15"/>
  <c r="E477" i="15"/>
  <c r="F477" i="15"/>
  <c r="F425" i="15"/>
  <c r="E425" i="15"/>
  <c r="F389" i="15"/>
  <c r="E389" i="15"/>
  <c r="F288" i="15"/>
  <c r="E288" i="15"/>
  <c r="F358" i="15"/>
  <c r="E358" i="15"/>
  <c r="E333" i="15"/>
  <c r="F333" i="15"/>
  <c r="E317" i="15"/>
  <c r="F317" i="15"/>
  <c r="E301" i="15"/>
  <c r="F301" i="15"/>
  <c r="E285" i="15"/>
  <c r="F285" i="15"/>
  <c r="E269" i="15"/>
  <c r="F269" i="15"/>
  <c r="E253" i="15"/>
  <c r="F253" i="15"/>
  <c r="E237" i="15"/>
  <c r="E221" i="15"/>
  <c r="F221" i="15"/>
  <c r="F205" i="15"/>
  <c r="F40" i="15"/>
  <c r="E40" i="15"/>
  <c r="E346" i="15"/>
  <c r="E689" i="15"/>
  <c r="F689" i="15"/>
  <c r="F629" i="15"/>
  <c r="E629" i="15"/>
  <c r="E585" i="15"/>
  <c r="F585" i="15"/>
  <c r="E521" i="15"/>
  <c r="F521" i="15"/>
  <c r="F469" i="15"/>
  <c r="E469" i="15"/>
  <c r="F353" i="15"/>
  <c r="E353" i="15"/>
  <c r="E348" i="15"/>
  <c r="F348" i="15"/>
  <c r="F343" i="15"/>
  <c r="E343" i="15"/>
  <c r="F338" i="15"/>
  <c r="E338" i="15"/>
  <c r="F322" i="15"/>
  <c r="E322" i="15"/>
  <c r="F306" i="15"/>
  <c r="E306" i="15"/>
  <c r="F290" i="15"/>
  <c r="E290" i="15"/>
  <c r="F274" i="15"/>
  <c r="E274" i="15"/>
  <c r="F258" i="15"/>
  <c r="E258" i="15"/>
  <c r="F242" i="15"/>
  <c r="E242" i="15"/>
  <c r="F226" i="15"/>
  <c r="E226" i="15"/>
  <c r="F210" i="15"/>
  <c r="E210" i="15"/>
  <c r="E45" i="15"/>
  <c r="F45" i="15"/>
  <c r="E218" i="15"/>
  <c r="E681" i="15"/>
  <c r="F681" i="15"/>
  <c r="E625" i="15"/>
  <c r="F625" i="15"/>
  <c r="F581" i="15"/>
  <c r="E581" i="15"/>
  <c r="E525" i="15"/>
  <c r="F525" i="15"/>
  <c r="E457" i="15"/>
  <c r="F457" i="15"/>
  <c r="F361" i="15"/>
  <c r="E361" i="15"/>
  <c r="E9" i="15"/>
  <c r="E41" i="15"/>
  <c r="F327" i="15"/>
  <c r="E327" i="15"/>
  <c r="F311" i="15"/>
  <c r="E311" i="15"/>
  <c r="F50" i="15"/>
  <c r="E50" i="15"/>
  <c r="F693" i="15"/>
  <c r="E693" i="15"/>
  <c r="F613" i="15"/>
  <c r="E613" i="15"/>
  <c r="E513" i="15"/>
  <c r="F513" i="15"/>
  <c r="F373" i="15"/>
  <c r="E373" i="15"/>
  <c r="E718" i="15"/>
  <c r="F718" i="15"/>
  <c r="E714" i="15"/>
  <c r="F714" i="15"/>
  <c r="F710" i="15"/>
  <c r="E710" i="15"/>
  <c r="F706" i="15"/>
  <c r="E706" i="15"/>
  <c r="E702" i="15"/>
  <c r="F702" i="15"/>
  <c r="E698" i="15"/>
  <c r="F698" i="15"/>
  <c r="F694" i="15"/>
  <c r="E694" i="15"/>
  <c r="F690" i="15"/>
  <c r="E690" i="15"/>
  <c r="E686" i="15"/>
  <c r="F686" i="15"/>
  <c r="E682" i="15"/>
  <c r="F682" i="15"/>
  <c r="F678" i="15"/>
  <c r="E678" i="15"/>
  <c r="F674" i="15"/>
  <c r="E674" i="15"/>
  <c r="E670" i="15"/>
  <c r="F670" i="15"/>
  <c r="E666" i="15"/>
  <c r="F666" i="15"/>
  <c r="F662" i="15"/>
  <c r="E662" i="15"/>
  <c r="F658" i="15"/>
  <c r="E658" i="15"/>
  <c r="E654" i="15"/>
  <c r="F654" i="15"/>
  <c r="E650" i="15"/>
  <c r="F650" i="15"/>
  <c r="F646" i="15"/>
  <c r="E646" i="15"/>
  <c r="F642" i="15"/>
  <c r="E642" i="15"/>
  <c r="E638" i="15"/>
  <c r="F638" i="15"/>
  <c r="E634" i="15"/>
  <c r="F634" i="15"/>
  <c r="F630" i="15"/>
  <c r="E630" i="15"/>
  <c r="E626" i="15"/>
  <c r="F626" i="15"/>
  <c r="E622" i="15"/>
  <c r="F622" i="15"/>
  <c r="E618" i="15"/>
  <c r="F618" i="15"/>
  <c r="F614" i="15"/>
  <c r="E614" i="15"/>
  <c r="E610" i="15"/>
  <c r="F610" i="15"/>
  <c r="E606" i="15"/>
  <c r="F606" i="15"/>
  <c r="E602" i="15"/>
  <c r="F602" i="15"/>
  <c r="F598" i="15"/>
  <c r="E598" i="15"/>
  <c r="E594" i="15"/>
  <c r="F594" i="15"/>
  <c r="E590" i="15"/>
  <c r="F590" i="15"/>
  <c r="E586" i="15"/>
  <c r="F586" i="15"/>
  <c r="F582" i="15"/>
  <c r="E582" i="15"/>
  <c r="E578" i="15"/>
  <c r="F578" i="15"/>
  <c r="E574" i="15"/>
  <c r="F574" i="15"/>
  <c r="E570" i="15"/>
  <c r="F570" i="15"/>
  <c r="F566" i="15"/>
  <c r="E566" i="15"/>
  <c r="E562" i="15"/>
  <c r="F562" i="15"/>
  <c r="E558" i="15"/>
  <c r="F558" i="15"/>
  <c r="E554" i="15"/>
  <c r="F554" i="15"/>
  <c r="F550" i="15"/>
  <c r="E550" i="15"/>
  <c r="E546" i="15"/>
  <c r="F546" i="15"/>
  <c r="E542" i="15"/>
  <c r="F542" i="15"/>
  <c r="E538" i="15"/>
  <c r="F538" i="15"/>
  <c r="F534" i="15"/>
  <c r="E534" i="15"/>
  <c r="E530" i="15"/>
  <c r="F530" i="15"/>
  <c r="E526" i="15"/>
  <c r="F526" i="15"/>
  <c r="E522" i="15"/>
  <c r="F522" i="15"/>
  <c r="F518" i="15"/>
  <c r="E518" i="15"/>
  <c r="E514" i="15"/>
  <c r="F514" i="15"/>
  <c r="E510" i="15"/>
  <c r="F510" i="15"/>
  <c r="E506" i="15"/>
  <c r="F506" i="15"/>
  <c r="F502" i="15"/>
  <c r="E502" i="15"/>
  <c r="E498" i="15"/>
  <c r="F498" i="15"/>
  <c r="E494" i="15"/>
  <c r="F494" i="15"/>
  <c r="E490" i="15"/>
  <c r="F490" i="15"/>
  <c r="F486" i="15"/>
  <c r="E486" i="15"/>
  <c r="E482" i="15"/>
  <c r="F482" i="15"/>
  <c r="E478" i="15"/>
  <c r="F478" i="15"/>
  <c r="E474" i="15"/>
  <c r="F474" i="15"/>
  <c r="F470" i="15"/>
  <c r="E470" i="15"/>
  <c r="E466" i="15"/>
  <c r="F466" i="15"/>
  <c r="E462" i="15"/>
  <c r="F462" i="15"/>
  <c r="E458" i="15"/>
  <c r="F458" i="15"/>
  <c r="F454" i="15"/>
  <c r="E454" i="15"/>
  <c r="E450" i="15"/>
  <c r="F450" i="15"/>
  <c r="F446" i="15"/>
  <c r="E446" i="15"/>
  <c r="F442" i="15"/>
  <c r="E442" i="15"/>
  <c r="F438" i="15"/>
  <c r="E438" i="15"/>
  <c r="F434" i="15"/>
  <c r="E434" i="15"/>
  <c r="F430" i="15"/>
  <c r="E430" i="15"/>
  <c r="F426" i="15"/>
  <c r="E426" i="15"/>
  <c r="F422" i="15"/>
  <c r="E422" i="15"/>
  <c r="F418" i="15"/>
  <c r="E418" i="15"/>
  <c r="F414" i="15"/>
  <c r="E414" i="15"/>
  <c r="F410" i="15"/>
  <c r="E410" i="15"/>
  <c r="F406" i="15"/>
  <c r="E406" i="15"/>
  <c r="F402" i="15"/>
  <c r="E402" i="15"/>
  <c r="E398" i="15"/>
  <c r="F398" i="15"/>
  <c r="F394" i="15"/>
  <c r="E394" i="15"/>
  <c r="F390" i="15"/>
  <c r="E390" i="15"/>
  <c r="F386" i="15"/>
  <c r="E386" i="15"/>
  <c r="E382" i="15"/>
  <c r="F382" i="15"/>
  <c r="F378" i="15"/>
  <c r="E378" i="15"/>
  <c r="F374" i="15"/>
  <c r="E374" i="15"/>
  <c r="F370" i="15"/>
  <c r="E370" i="15"/>
  <c r="E366" i="15"/>
  <c r="F366" i="15"/>
  <c r="F362" i="15"/>
  <c r="E362" i="15"/>
  <c r="E332" i="15"/>
  <c r="F332" i="15"/>
  <c r="E316" i="15"/>
  <c r="F316" i="15"/>
  <c r="E300" i="15"/>
  <c r="F300" i="15"/>
  <c r="E284" i="15"/>
  <c r="F284" i="15"/>
  <c r="E268" i="15"/>
  <c r="F268" i="15"/>
  <c r="E252" i="15"/>
  <c r="F252" i="15"/>
  <c r="E236" i="15"/>
  <c r="F236" i="15"/>
  <c r="F220" i="15"/>
  <c r="F204" i="15"/>
  <c r="F188" i="15"/>
  <c r="F55" i="15"/>
  <c r="E55" i="15"/>
  <c r="F365" i="15"/>
  <c r="E673" i="15"/>
  <c r="F673" i="15"/>
  <c r="E621" i="15"/>
  <c r="F621" i="15"/>
  <c r="E569" i="15"/>
  <c r="F569" i="15"/>
  <c r="E465" i="15"/>
  <c r="F465" i="15"/>
  <c r="F409" i="15"/>
  <c r="E409" i="15"/>
  <c r="F320" i="15"/>
  <c r="E320" i="15"/>
  <c r="F357" i="15"/>
  <c r="E357" i="15"/>
  <c r="F352" i="15"/>
  <c r="E352" i="15"/>
  <c r="F347" i="15"/>
  <c r="E347" i="15"/>
  <c r="F342" i="15"/>
  <c r="E342" i="15"/>
  <c r="F337" i="15"/>
  <c r="E337" i="15"/>
  <c r="F321" i="15"/>
  <c r="E321" i="15"/>
  <c r="F305" i="15"/>
  <c r="E305" i="15"/>
  <c r="F289" i="15"/>
  <c r="E289" i="15"/>
  <c r="F273" i="15"/>
  <c r="E273" i="15"/>
  <c r="F257" i="15"/>
  <c r="E257" i="15"/>
  <c r="F241" i="15"/>
  <c r="E241" i="15"/>
  <c r="F225" i="15"/>
  <c r="E225" i="15"/>
  <c r="F209" i="15"/>
  <c r="E209" i="15"/>
  <c r="F237" i="15"/>
  <c r="E717" i="15"/>
  <c r="F717" i="15"/>
  <c r="E657" i="15"/>
  <c r="F657" i="15"/>
  <c r="E609" i="15"/>
  <c r="F609" i="15"/>
  <c r="E561" i="15"/>
  <c r="F561" i="15"/>
  <c r="E509" i="15"/>
  <c r="F509" i="15"/>
  <c r="F445" i="15"/>
  <c r="E445" i="15"/>
  <c r="F356" i="15"/>
  <c r="E356" i="15"/>
  <c r="F326" i="15"/>
  <c r="E326" i="15"/>
  <c r="F310" i="15"/>
  <c r="E310" i="15"/>
  <c r="F294" i="15"/>
  <c r="E294" i="15"/>
  <c r="F278" i="15"/>
  <c r="E278" i="15"/>
  <c r="F262" i="15"/>
  <c r="E262" i="15"/>
  <c r="F246" i="15"/>
  <c r="E246" i="15"/>
  <c r="F230" i="15"/>
  <c r="E230" i="15"/>
  <c r="F214" i="15"/>
  <c r="E214" i="15"/>
  <c r="F70" i="15"/>
  <c r="E70" i="15"/>
  <c r="F65" i="15"/>
  <c r="E65" i="15"/>
  <c r="F60" i="15"/>
  <c r="E60" i="15"/>
  <c r="F11" i="15"/>
  <c r="E11" i="15"/>
  <c r="F6" i="15"/>
  <c r="F122" i="15"/>
  <c r="E206" i="15"/>
  <c r="F206" i="15"/>
  <c r="F202" i="15"/>
  <c r="F198" i="15"/>
  <c r="E198" i="15"/>
  <c r="F194" i="15"/>
  <c r="E194" i="15"/>
  <c r="E190" i="15"/>
  <c r="F190" i="15"/>
  <c r="F186" i="15"/>
  <c r="F182" i="15"/>
  <c r="E182" i="15"/>
  <c r="F178" i="15"/>
  <c r="E178" i="15"/>
  <c r="E174" i="15"/>
  <c r="F174" i="15"/>
  <c r="F170" i="15"/>
  <c r="F166" i="15"/>
  <c r="F162" i="15"/>
  <c r="E162" i="15"/>
  <c r="E158" i="15"/>
  <c r="F158" i="15"/>
  <c r="F154" i="15"/>
  <c r="F150" i="15"/>
  <c r="E150" i="15"/>
  <c r="F146" i="15"/>
  <c r="E146" i="15"/>
  <c r="F142" i="15"/>
  <c r="E142" i="15"/>
  <c r="F138" i="15"/>
  <c r="F134" i="15"/>
  <c r="E134" i="15"/>
  <c r="F130" i="15"/>
  <c r="E130" i="15"/>
  <c r="F126" i="15"/>
  <c r="E126" i="15"/>
  <c r="F118" i="15"/>
  <c r="E118" i="15"/>
  <c r="E114" i="15"/>
  <c r="F114" i="15"/>
  <c r="E110" i="15"/>
  <c r="F110" i="15"/>
  <c r="F106" i="15"/>
  <c r="F102" i="15"/>
  <c r="E102" i="15"/>
  <c r="F98" i="15"/>
  <c r="E98" i="15"/>
  <c r="E94" i="15"/>
  <c r="F94" i="15"/>
  <c r="F90" i="15"/>
  <c r="F86" i="15"/>
  <c r="E86" i="15"/>
  <c r="F82" i="15"/>
  <c r="E82" i="15"/>
  <c r="E78" i="15"/>
  <c r="F74" i="15"/>
  <c r="F35" i="15"/>
  <c r="E35" i="15"/>
  <c r="E30" i="15"/>
  <c r="F30" i="15"/>
  <c r="F25" i="15"/>
  <c r="F20" i="15"/>
  <c r="E20" i="15"/>
  <c r="F69" i="15"/>
  <c r="E69" i="15"/>
  <c r="F64" i="15"/>
  <c r="E64" i="15"/>
  <c r="F15" i="15"/>
  <c r="E15" i="15"/>
  <c r="E5" i="15"/>
  <c r="E202" i="15"/>
  <c r="E74" i="15"/>
  <c r="F59" i="15"/>
  <c r="E59" i="15"/>
  <c r="F54" i="15"/>
  <c r="E54" i="15"/>
  <c r="F49" i="15"/>
  <c r="E49" i="15"/>
  <c r="E44" i="15"/>
  <c r="F44" i="15"/>
  <c r="F78" i="15"/>
  <c r="F73" i="15"/>
  <c r="F39" i="15"/>
  <c r="E39" i="15"/>
  <c r="F34" i="15"/>
  <c r="E34" i="15"/>
  <c r="E29" i="15"/>
  <c r="F29" i="15"/>
  <c r="F24" i="15"/>
  <c r="E24" i="15"/>
  <c r="E186" i="15"/>
  <c r="E58" i="15"/>
  <c r="E205" i="15"/>
  <c r="F201" i="15"/>
  <c r="F197" i="15"/>
  <c r="E197" i="15"/>
  <c r="F193" i="15"/>
  <c r="E193" i="15"/>
  <c r="E189" i="15"/>
  <c r="F185" i="15"/>
  <c r="F181" i="15"/>
  <c r="E181" i="15"/>
  <c r="F177" i="15"/>
  <c r="E177" i="15"/>
  <c r="E173" i="15"/>
  <c r="F169" i="15"/>
  <c r="F165" i="15"/>
  <c r="E165" i="15"/>
  <c r="F161" i="15"/>
  <c r="E161" i="15"/>
  <c r="E157" i="15"/>
  <c r="F153" i="15"/>
  <c r="F149" i="15"/>
  <c r="E149" i="15"/>
  <c r="F145" i="15"/>
  <c r="E145" i="15"/>
  <c r="E141" i="15"/>
  <c r="F141" i="15"/>
  <c r="F137" i="15"/>
  <c r="F133" i="15"/>
  <c r="E133" i="15"/>
  <c r="F129" i="15"/>
  <c r="E129" i="15"/>
  <c r="F125" i="15"/>
  <c r="E125" i="15"/>
  <c r="F121" i="15"/>
  <c r="F117" i="15"/>
  <c r="E117" i="15"/>
  <c r="E113" i="15"/>
  <c r="F113" i="15"/>
  <c r="E109" i="15"/>
  <c r="F109" i="15"/>
  <c r="E101" i="15"/>
  <c r="F101" i="15"/>
  <c r="F97" i="15"/>
  <c r="E97" i="15"/>
  <c r="E93" i="15"/>
  <c r="F93" i="15"/>
  <c r="F89" i="15"/>
  <c r="F85" i="15"/>
  <c r="E85" i="15"/>
  <c r="F81" i="15"/>
  <c r="E81" i="15"/>
  <c r="E77" i="15"/>
  <c r="F77" i="15"/>
  <c r="F68" i="15"/>
  <c r="E68" i="15"/>
  <c r="F19" i="15"/>
  <c r="E19" i="15"/>
  <c r="F14" i="15"/>
  <c r="E14" i="15"/>
  <c r="F4" i="15"/>
  <c r="E4" i="15"/>
  <c r="E185" i="15"/>
  <c r="E57" i="15"/>
  <c r="F63" i="15"/>
  <c r="E63" i="15"/>
  <c r="E53" i="15"/>
  <c r="F53" i="15"/>
  <c r="E48" i="15"/>
  <c r="F48" i="15"/>
  <c r="E170" i="15"/>
  <c r="F189" i="15"/>
  <c r="F43" i="15"/>
  <c r="E43" i="15"/>
  <c r="F38" i="15"/>
  <c r="E38" i="15"/>
  <c r="F33" i="15"/>
  <c r="E33" i="15"/>
  <c r="E28" i="15"/>
  <c r="F28" i="15"/>
  <c r="E169" i="15"/>
  <c r="F72" i="15"/>
  <c r="E72" i="15"/>
  <c r="F23" i="15"/>
  <c r="E23" i="15"/>
  <c r="F18" i="15"/>
  <c r="E18" i="15"/>
  <c r="F13" i="15"/>
  <c r="F8" i="15"/>
  <c r="E8" i="15"/>
  <c r="E154" i="15"/>
  <c r="F173" i="15"/>
  <c r="F10" i="15"/>
  <c r="F228" i="15"/>
  <c r="E228" i="15"/>
  <c r="F224" i="15"/>
  <c r="E224" i="15"/>
  <c r="E220" i="15"/>
  <c r="F216" i="15"/>
  <c r="E216" i="15"/>
  <c r="F212" i="15"/>
  <c r="E212" i="15"/>
  <c r="F208" i="15"/>
  <c r="E208" i="15"/>
  <c r="E204" i="15"/>
  <c r="F200" i="15"/>
  <c r="E200" i="15"/>
  <c r="F196" i="15"/>
  <c r="E196" i="15"/>
  <c r="F192" i="15"/>
  <c r="E192" i="15"/>
  <c r="E188" i="15"/>
  <c r="F184" i="15"/>
  <c r="E184" i="15"/>
  <c r="F180" i="15"/>
  <c r="E180" i="15"/>
  <c r="F176" i="15"/>
  <c r="E176" i="15"/>
  <c r="E172" i="15"/>
  <c r="F168" i="15"/>
  <c r="E168" i="15"/>
  <c r="F164" i="15"/>
  <c r="E164" i="15"/>
  <c r="F160" i="15"/>
  <c r="E160" i="15"/>
  <c r="E156" i="15"/>
  <c r="F152" i="15"/>
  <c r="E152" i="15"/>
  <c r="F148" i="15"/>
  <c r="E148" i="15"/>
  <c r="F144" i="15"/>
  <c r="E144" i="15"/>
  <c r="E140" i="15"/>
  <c r="F136" i="15"/>
  <c r="E136" i="15"/>
  <c r="F132" i="15"/>
  <c r="E132" i="15"/>
  <c r="F128" i="15"/>
  <c r="E128" i="15"/>
  <c r="E124" i="15"/>
  <c r="F124" i="15"/>
  <c r="F120" i="15"/>
  <c r="E120" i="15"/>
  <c r="F116" i="15"/>
  <c r="E116" i="15"/>
  <c r="E112" i="15"/>
  <c r="F112" i="15"/>
  <c r="E108" i="15"/>
  <c r="F108" i="15"/>
  <c r="E104" i="15"/>
  <c r="F100" i="15"/>
  <c r="E100" i="15"/>
  <c r="E96" i="15"/>
  <c r="F96" i="15"/>
  <c r="E92" i="15"/>
  <c r="F92" i="15"/>
  <c r="F88" i="15"/>
  <c r="E88" i="15"/>
  <c r="F84" i="15"/>
  <c r="E84" i="15"/>
  <c r="E80" i="15"/>
  <c r="F80" i="15"/>
  <c r="E76" i="15"/>
  <c r="F76" i="15"/>
  <c r="F67" i="15"/>
  <c r="E67" i="15"/>
  <c r="F62" i="15"/>
  <c r="E62" i="15"/>
  <c r="F52" i="15"/>
  <c r="E52" i="15"/>
  <c r="E153" i="15"/>
  <c r="E25" i="15"/>
  <c r="F172" i="15"/>
  <c r="E47" i="15"/>
  <c r="F47" i="15"/>
  <c r="F42" i="15"/>
  <c r="E37" i="15"/>
  <c r="F37" i="15"/>
  <c r="E32" i="15"/>
  <c r="E138" i="15"/>
  <c r="F157" i="15"/>
  <c r="F27" i="15"/>
  <c r="E27" i="15"/>
  <c r="F22" i="15"/>
  <c r="E22" i="15"/>
  <c r="E17" i="15"/>
  <c r="F12" i="15"/>
  <c r="E12" i="15"/>
  <c r="E137" i="15"/>
  <c r="F156" i="15"/>
  <c r="F71" i="15"/>
  <c r="E71" i="15"/>
  <c r="F66" i="15"/>
  <c r="E66" i="15"/>
  <c r="F61" i="15"/>
  <c r="E61" i="15"/>
  <c r="F56" i="15"/>
  <c r="E56" i="15"/>
  <c r="E7" i="15"/>
  <c r="F7" i="15"/>
  <c r="F140" i="15"/>
  <c r="F299" i="15"/>
  <c r="E299" i="15"/>
  <c r="F295" i="15"/>
  <c r="E295" i="15"/>
  <c r="F291" i="15"/>
  <c r="E291" i="15"/>
  <c r="F287" i="15"/>
  <c r="E287" i="15"/>
  <c r="F283" i="15"/>
  <c r="E283" i="15"/>
  <c r="F279" i="15"/>
  <c r="E279" i="15"/>
  <c r="F275" i="15"/>
  <c r="E275" i="15"/>
  <c r="F271" i="15"/>
  <c r="E271" i="15"/>
  <c r="F267" i="15"/>
  <c r="E267" i="15"/>
  <c r="F263" i="15"/>
  <c r="E263" i="15"/>
  <c r="F259" i="15"/>
  <c r="E259" i="15"/>
  <c r="F255" i="15"/>
  <c r="E255" i="15"/>
  <c r="F251" i="15"/>
  <c r="E251" i="15"/>
  <c r="F247" i="15"/>
  <c r="E247" i="15"/>
  <c r="F243" i="15"/>
  <c r="E243" i="15"/>
  <c r="F239" i="15"/>
  <c r="E239" i="15"/>
  <c r="F235" i="15"/>
  <c r="E235" i="15"/>
  <c r="F231" i="15"/>
  <c r="E231" i="15"/>
  <c r="F227" i="15"/>
  <c r="E227" i="15"/>
  <c r="F223" i="15"/>
  <c r="E223" i="15"/>
  <c r="F219" i="15"/>
  <c r="E219" i="15"/>
  <c r="F215" i="15"/>
  <c r="E215" i="15"/>
  <c r="F211" i="15"/>
  <c r="E211" i="15"/>
  <c r="F207" i="15"/>
  <c r="E207" i="15"/>
  <c r="F203" i="15"/>
  <c r="E203" i="15"/>
  <c r="F199" i="15"/>
  <c r="E199" i="15"/>
  <c r="F195" i="15"/>
  <c r="E195" i="15"/>
  <c r="F191" i="15"/>
  <c r="E191" i="15"/>
  <c r="F187" i="15"/>
  <c r="E187" i="15"/>
  <c r="F183" i="15"/>
  <c r="E183" i="15"/>
  <c r="F179" i="15"/>
  <c r="E179" i="15"/>
  <c r="F175" i="15"/>
  <c r="E175" i="15"/>
  <c r="F171" i="15"/>
  <c r="E171" i="15"/>
  <c r="F167" i="15"/>
  <c r="E167" i="15"/>
  <c r="F163" i="15"/>
  <c r="E163" i="15"/>
  <c r="F159" i="15"/>
  <c r="E159" i="15"/>
  <c r="F155" i="15"/>
  <c r="E155" i="15"/>
  <c r="F151" i="15"/>
  <c r="E151" i="15"/>
  <c r="F147" i="15"/>
  <c r="E147" i="15"/>
  <c r="F143" i="15"/>
  <c r="E143" i="15"/>
  <c r="E139" i="15"/>
  <c r="F135" i="15"/>
  <c r="E135" i="15"/>
  <c r="F131" i="15"/>
  <c r="E131" i="15"/>
  <c r="F127" i="15"/>
  <c r="E127" i="15"/>
  <c r="E123" i="15"/>
  <c r="F119" i="15"/>
  <c r="E119" i="15"/>
  <c r="E115" i="15"/>
  <c r="F115" i="15"/>
  <c r="E111" i="15"/>
  <c r="F111" i="15"/>
  <c r="F107" i="15"/>
  <c r="E107" i="15"/>
  <c r="E103" i="15"/>
  <c r="F103" i="15"/>
  <c r="F99" i="15"/>
  <c r="E99" i="15"/>
  <c r="E95" i="15"/>
  <c r="F95" i="15"/>
  <c r="F91" i="15"/>
  <c r="E91" i="15"/>
  <c r="F87" i="15"/>
  <c r="E87" i="15"/>
  <c r="F83" i="15"/>
  <c r="E83" i="15"/>
  <c r="E79" i="15"/>
  <c r="F75" i="15"/>
  <c r="E75" i="15"/>
  <c r="F51" i="15"/>
  <c r="E51" i="15"/>
  <c r="E46" i="15"/>
  <c r="F46" i="15"/>
  <c r="F41" i="15"/>
  <c r="F36" i="15"/>
  <c r="E36" i="15"/>
  <c r="E121" i="15"/>
  <c r="F139" i="15"/>
  <c r="E31" i="15"/>
  <c r="F26" i="15"/>
  <c r="F21" i="15"/>
  <c r="E21" i="15"/>
  <c r="F16" i="15"/>
  <c r="E16" i="15"/>
  <c r="E106" i="15"/>
  <c r="F123" i="15"/>
  <c r="F5" i="15"/>
  <c r="F3" i="15"/>
  <c r="E6" i="15"/>
  <c r="E3" i="15"/>
  <c r="F17" i="15"/>
  <c r="E13" i="15"/>
  <c r="G581" i="15" l="1"/>
  <c r="G700" i="15"/>
  <c r="G689" i="15"/>
  <c r="G511" i="15"/>
  <c r="G543" i="15"/>
  <c r="G575" i="15"/>
  <c r="G607" i="15"/>
  <c r="G639" i="15"/>
  <c r="G671" i="15"/>
  <c r="G703" i="15"/>
  <c r="G492" i="15"/>
  <c r="G524" i="15"/>
  <c r="G620" i="15"/>
  <c r="G652" i="15"/>
  <c r="G684" i="15"/>
  <c r="G720" i="15"/>
  <c r="G613" i="15"/>
  <c r="G693" i="15"/>
  <c r="G569" i="15"/>
  <c r="G513" i="15"/>
  <c r="G637" i="15"/>
  <c r="G649" i="15"/>
  <c r="G633" i="15"/>
  <c r="G555" i="15"/>
  <c r="G587" i="15"/>
  <c r="G619" i="15"/>
  <c r="G651" i="15"/>
  <c r="G683" i="15"/>
  <c r="G715" i="15"/>
  <c r="G573" i="15"/>
  <c r="G504" i="15"/>
  <c r="G536" i="15"/>
  <c r="G568" i="15"/>
  <c r="G600" i="15"/>
  <c r="G632" i="15"/>
  <c r="G664" i="15"/>
  <c r="G696" i="15"/>
  <c r="G597" i="15"/>
  <c r="G642" i="15"/>
  <c r="G612" i="15"/>
  <c r="G644" i="15"/>
  <c r="G676" i="15"/>
  <c r="G657" i="15"/>
  <c r="G507" i="15"/>
  <c r="G539" i="15"/>
  <c r="G571" i="15"/>
  <c r="G603" i="15"/>
  <c r="G635" i="15"/>
  <c r="G667" i="15"/>
  <c r="G699" i="15"/>
  <c r="G505" i="15"/>
  <c r="G716" i="15"/>
  <c r="G548" i="15"/>
  <c r="G516" i="15"/>
  <c r="G557" i="15"/>
  <c r="G580" i="15"/>
  <c r="G674" i="15"/>
  <c r="G681" i="15"/>
  <c r="G669" i="15"/>
  <c r="G641" i="15"/>
  <c r="G561" i="15"/>
  <c r="G706" i="15"/>
  <c r="G521" i="15"/>
  <c r="G705" i="15"/>
  <c r="G512" i="15"/>
  <c r="G544" i="15"/>
  <c r="G576" i="15"/>
  <c r="G608" i="15"/>
  <c r="G640" i="15"/>
  <c r="G672" i="15"/>
  <c r="G704" i="15"/>
  <c r="G601" i="15"/>
  <c r="G708" i="15"/>
  <c r="G721" i="15"/>
  <c r="G717" i="15"/>
  <c r="G533" i="15"/>
  <c r="G556" i="15"/>
  <c r="G588" i="15"/>
  <c r="G545" i="15"/>
  <c r="G493" i="15"/>
  <c r="G658" i="15"/>
  <c r="G690" i="15"/>
  <c r="G537" i="15"/>
  <c r="G565" i="15"/>
  <c r="G564" i="15"/>
  <c r="G596" i="15"/>
  <c r="G628" i="15"/>
  <c r="G660" i="15"/>
  <c r="G692" i="15"/>
  <c r="G661" i="15"/>
  <c r="G645" i="15"/>
  <c r="G549" i="15"/>
  <c r="G514" i="15"/>
  <c r="G546" i="15"/>
  <c r="G578" i="15"/>
  <c r="G610" i="15"/>
  <c r="G625" i="15"/>
  <c r="G605" i="15"/>
  <c r="G553" i="15"/>
  <c r="G713" i="15"/>
  <c r="G499" i="15"/>
  <c r="G531" i="15"/>
  <c r="G563" i="15"/>
  <c r="G595" i="15"/>
  <c r="G627" i="15"/>
  <c r="G659" i="15"/>
  <c r="G691" i="15"/>
  <c r="G609" i="15"/>
  <c r="G518" i="15"/>
  <c r="G550" i="15"/>
  <c r="G582" i="15"/>
  <c r="G614" i="15"/>
  <c r="G646" i="15"/>
  <c r="G678" i="15"/>
  <c r="G710" i="15"/>
  <c r="G585" i="15"/>
  <c r="G503" i="15"/>
  <c r="G535" i="15"/>
  <c r="G567" i="15"/>
  <c r="G599" i="15"/>
  <c r="G631" i="15"/>
  <c r="G663" i="15"/>
  <c r="G695" i="15"/>
  <c r="G665" i="15"/>
  <c r="G490" i="15"/>
  <c r="G522" i="15"/>
  <c r="G554" i="15"/>
  <c r="G586" i="15"/>
  <c r="G618" i="15"/>
  <c r="G650" i="15"/>
  <c r="G682" i="15"/>
  <c r="G714" i="15"/>
  <c r="G488" i="15"/>
  <c r="G520" i="15"/>
  <c r="G552" i="15"/>
  <c r="G584" i="15"/>
  <c r="G616" i="15"/>
  <c r="G648" i="15"/>
  <c r="G680" i="15"/>
  <c r="G712" i="15"/>
  <c r="G494" i="15"/>
  <c r="G526" i="15"/>
  <c r="G558" i="15"/>
  <c r="G590" i="15"/>
  <c r="G622" i="15"/>
  <c r="G654" i="15"/>
  <c r="G686" i="15"/>
  <c r="G718" i="15"/>
  <c r="G629" i="15"/>
  <c r="G498" i="15"/>
  <c r="G530" i="15"/>
  <c r="G562" i="15"/>
  <c r="G594" i="15"/>
  <c r="G626" i="15"/>
  <c r="G577" i="15"/>
  <c r="G501" i="15"/>
  <c r="G497" i="15"/>
  <c r="G515" i="15"/>
  <c r="G547" i="15"/>
  <c r="G579" i="15"/>
  <c r="G611" i="15"/>
  <c r="G643" i="15"/>
  <c r="G675" i="15"/>
  <c r="G707" i="15"/>
  <c r="G502" i="15"/>
  <c r="G534" i="15"/>
  <c r="G566" i="15"/>
  <c r="G598" i="15"/>
  <c r="G630" i="15"/>
  <c r="G662" i="15"/>
  <c r="G694" i="15"/>
  <c r="G519" i="15"/>
  <c r="G551" i="15"/>
  <c r="G583" i="15"/>
  <c r="G615" i="15"/>
  <c r="G647" i="15"/>
  <c r="G679" i="15"/>
  <c r="G711" i="15"/>
  <c r="G617" i="15"/>
  <c r="G529" i="15"/>
  <c r="G517" i="15"/>
  <c r="G589" i="15"/>
  <c r="G621" i="15"/>
  <c r="G506" i="15"/>
  <c r="G538" i="15"/>
  <c r="G570" i="15"/>
  <c r="G602" i="15"/>
  <c r="G634" i="15"/>
  <c r="G666" i="15"/>
  <c r="G698" i="15"/>
  <c r="G525" i="15"/>
  <c r="G697" i="15"/>
  <c r="G593" i="15"/>
  <c r="G673" i="15"/>
  <c r="G510" i="15"/>
  <c r="G542" i="15"/>
  <c r="G574" i="15"/>
  <c r="G606" i="15"/>
  <c r="G638" i="15"/>
  <c r="G670" i="15"/>
  <c r="G702" i="15"/>
  <c r="G677" i="15"/>
  <c r="G541" i="15"/>
  <c r="G489" i="15"/>
  <c r="G653" i="15"/>
  <c r="G509" i="15"/>
  <c r="G495" i="15"/>
  <c r="G527" i="15"/>
  <c r="G559" i="15"/>
  <c r="G591" i="15"/>
  <c r="G623" i="15"/>
  <c r="G655" i="15"/>
  <c r="G687" i="15"/>
  <c r="G719" i="15"/>
  <c r="G508" i="15"/>
  <c r="G540" i="15"/>
  <c r="G572" i="15"/>
  <c r="G604" i="15"/>
  <c r="G636" i="15"/>
  <c r="G668" i="15"/>
  <c r="G685" i="15"/>
  <c r="A2" i="15" l="1"/>
  <c r="AJ5" i="13"/>
  <c r="AJ6" i="13"/>
  <c r="AJ7" i="13"/>
  <c r="AJ8" i="13"/>
  <c r="AJ9" i="13"/>
  <c r="AJ10" i="13"/>
  <c r="AJ11" i="13"/>
  <c r="AJ12" i="13"/>
  <c r="AJ13" i="13"/>
  <c r="AJ14" i="13"/>
  <c r="AJ15" i="13"/>
  <c r="AJ16" i="13"/>
  <c r="AJ17" i="13"/>
  <c r="AJ18" i="13"/>
  <c r="AJ19" i="13"/>
  <c r="AJ20" i="13"/>
  <c r="AJ21" i="13"/>
  <c r="AJ25" i="13"/>
  <c r="AJ26" i="13"/>
  <c r="AJ27" i="13"/>
  <c r="AJ28" i="13"/>
  <c r="AJ29" i="13"/>
  <c r="AJ30" i="13"/>
  <c r="AJ31" i="13"/>
  <c r="AJ32" i="13"/>
  <c r="AJ33" i="13"/>
  <c r="AJ34" i="13"/>
  <c r="AJ35" i="13"/>
  <c r="AJ36" i="13"/>
  <c r="AJ37" i="13"/>
  <c r="AJ38" i="13"/>
  <c r="AJ39" i="13"/>
  <c r="AJ40" i="13"/>
  <c r="AJ41" i="13"/>
  <c r="AJ42" i="13"/>
  <c r="AJ43" i="13"/>
  <c r="AJ44" i="13"/>
  <c r="AJ45" i="13"/>
  <c r="AJ46" i="13"/>
  <c r="AJ47" i="13"/>
  <c r="AJ48" i="13"/>
  <c r="AJ49" i="13"/>
  <c r="AJ50" i="13"/>
  <c r="AJ51" i="13"/>
  <c r="AJ52" i="13"/>
  <c r="AJ53" i="13"/>
  <c r="AJ54" i="13"/>
  <c r="AJ55" i="13"/>
  <c r="AJ56" i="13"/>
  <c r="AJ57" i="13"/>
  <c r="AJ58" i="13"/>
  <c r="AJ59" i="13"/>
  <c r="AJ60" i="13"/>
  <c r="AJ61" i="13"/>
  <c r="AJ62" i="13"/>
  <c r="AJ63" i="13"/>
  <c r="AJ64" i="13"/>
  <c r="AJ65" i="13"/>
  <c r="AJ66" i="13"/>
  <c r="AJ67" i="13"/>
  <c r="AJ68" i="13"/>
  <c r="AJ69" i="13"/>
  <c r="AJ70" i="13"/>
  <c r="AJ71" i="13"/>
  <c r="AJ72" i="13"/>
  <c r="AJ73" i="13"/>
  <c r="AJ74" i="13"/>
  <c r="AJ75" i="13"/>
  <c r="AJ76" i="13"/>
  <c r="AJ77" i="13"/>
  <c r="AJ78" i="13"/>
  <c r="AJ79" i="13"/>
  <c r="AJ80" i="13"/>
  <c r="AJ81" i="13"/>
  <c r="AJ82" i="13"/>
  <c r="AJ83" i="13"/>
  <c r="AJ84" i="13"/>
  <c r="AJ85" i="13"/>
  <c r="AJ86" i="13"/>
  <c r="AJ87" i="13"/>
  <c r="AJ88" i="13"/>
  <c r="AJ89" i="13"/>
  <c r="AJ90" i="13"/>
  <c r="AJ91" i="13"/>
  <c r="AJ92" i="13"/>
  <c r="AJ93" i="13"/>
  <c r="AJ94" i="13"/>
  <c r="AJ95" i="13"/>
  <c r="AJ96" i="13"/>
  <c r="AJ97" i="13"/>
  <c r="AJ98" i="13"/>
  <c r="AJ99" i="13"/>
  <c r="AJ100" i="13"/>
  <c r="AJ101" i="13"/>
  <c r="AJ102" i="13"/>
  <c r="AJ103" i="13"/>
  <c r="AJ104" i="13"/>
  <c r="AJ105" i="13"/>
  <c r="AJ106" i="13"/>
  <c r="AJ107" i="13"/>
  <c r="AJ108" i="13"/>
  <c r="AJ109" i="13"/>
  <c r="AJ110" i="13"/>
  <c r="AJ111" i="13"/>
  <c r="AJ112" i="13"/>
  <c r="AJ113" i="13"/>
  <c r="AJ114" i="13"/>
  <c r="AJ115" i="13"/>
  <c r="AJ116" i="13"/>
  <c r="AJ117" i="13"/>
  <c r="AJ118" i="13"/>
  <c r="AJ119" i="13"/>
  <c r="AJ120" i="13"/>
  <c r="AJ121" i="13"/>
  <c r="AJ122" i="13"/>
  <c r="AJ123" i="13"/>
  <c r="AJ124" i="13"/>
  <c r="AJ125" i="13"/>
  <c r="AJ126" i="13"/>
  <c r="AJ127" i="13"/>
  <c r="AJ128" i="13"/>
  <c r="AJ129" i="13"/>
  <c r="AJ130" i="13"/>
  <c r="AJ131" i="13"/>
  <c r="AJ132" i="13"/>
  <c r="AJ133" i="13"/>
  <c r="AJ134" i="13"/>
  <c r="AJ135" i="13"/>
  <c r="AJ136" i="13"/>
  <c r="AJ137" i="13"/>
  <c r="AJ138" i="13"/>
  <c r="AJ139" i="13"/>
  <c r="AJ140" i="13"/>
  <c r="AJ141" i="13"/>
  <c r="AJ142" i="13"/>
  <c r="AJ143" i="13"/>
  <c r="AJ144" i="13"/>
  <c r="AJ145" i="13"/>
  <c r="AJ146" i="13"/>
  <c r="AJ147" i="13"/>
  <c r="AJ148" i="13"/>
  <c r="AJ149" i="13"/>
  <c r="AJ150" i="13"/>
  <c r="AJ151" i="13"/>
  <c r="AJ152" i="13"/>
  <c r="AJ153" i="13"/>
  <c r="AJ154" i="13"/>
  <c r="AJ155" i="13"/>
  <c r="AJ156" i="13"/>
  <c r="AJ157" i="13"/>
  <c r="AJ158" i="13"/>
  <c r="AJ159" i="13"/>
  <c r="AJ160" i="13"/>
  <c r="AJ161" i="13"/>
  <c r="AJ162" i="13"/>
  <c r="AJ163" i="13"/>
  <c r="AJ164" i="13"/>
  <c r="AJ165" i="13"/>
  <c r="AJ166" i="13"/>
  <c r="AJ167" i="13"/>
  <c r="AJ168" i="13"/>
  <c r="AJ169" i="13"/>
  <c r="AJ170" i="13"/>
  <c r="AJ171" i="13"/>
  <c r="AJ172" i="13"/>
  <c r="AJ173" i="13"/>
  <c r="AJ174" i="13"/>
  <c r="AJ175" i="13"/>
  <c r="AJ176" i="13"/>
  <c r="AJ177" i="13"/>
  <c r="AJ178" i="13"/>
  <c r="AJ179" i="13"/>
  <c r="AJ180" i="13"/>
  <c r="AJ181" i="13"/>
  <c r="AJ182" i="13"/>
  <c r="AJ183" i="13"/>
  <c r="AJ184" i="13"/>
  <c r="AJ185" i="13"/>
  <c r="AJ186" i="13"/>
  <c r="AJ187" i="13"/>
  <c r="AJ188" i="13"/>
  <c r="AJ189" i="13"/>
  <c r="AJ190" i="13"/>
  <c r="AJ191" i="13"/>
  <c r="AJ192" i="13"/>
  <c r="AJ193" i="13"/>
  <c r="AJ194" i="13"/>
  <c r="AJ195" i="13"/>
  <c r="AJ196" i="13"/>
  <c r="AJ197" i="13"/>
  <c r="AJ198" i="13"/>
  <c r="AJ199" i="13"/>
  <c r="AJ200" i="13"/>
  <c r="AJ201" i="13"/>
  <c r="AJ202" i="13"/>
  <c r="AJ203" i="13"/>
  <c r="AJ204" i="13"/>
  <c r="AJ205" i="13"/>
  <c r="AJ206" i="13"/>
  <c r="AJ207" i="13"/>
  <c r="AJ208" i="13"/>
  <c r="AJ209" i="13"/>
  <c r="AJ210" i="13"/>
  <c r="AJ211" i="13"/>
  <c r="AJ212" i="13"/>
  <c r="AJ213" i="13"/>
  <c r="AJ214" i="13"/>
  <c r="AJ215" i="13"/>
  <c r="AJ216" i="13"/>
  <c r="AJ217" i="13"/>
  <c r="AJ218" i="13"/>
  <c r="AJ219" i="13"/>
  <c r="AJ220" i="13"/>
  <c r="AJ221" i="13"/>
  <c r="AJ222" i="13"/>
  <c r="AJ223" i="13"/>
  <c r="AJ224" i="13"/>
  <c r="AJ225" i="13"/>
  <c r="AJ226" i="13"/>
  <c r="AJ227" i="13"/>
  <c r="AJ228" i="13"/>
  <c r="AJ229" i="13"/>
  <c r="AJ230" i="13"/>
  <c r="AJ231" i="13"/>
  <c r="AJ232" i="13"/>
  <c r="AJ233" i="13"/>
  <c r="AJ234" i="13"/>
  <c r="AJ235" i="13"/>
  <c r="AJ236" i="13"/>
  <c r="AJ237" i="13"/>
  <c r="AJ238" i="13"/>
  <c r="AJ239" i="13"/>
  <c r="AJ240" i="13"/>
  <c r="AJ241" i="13"/>
  <c r="AJ242" i="13"/>
  <c r="AJ243" i="13"/>
  <c r="AJ244" i="13"/>
  <c r="AJ245" i="13"/>
  <c r="AJ246" i="13"/>
  <c r="AJ247" i="13"/>
  <c r="AJ248" i="13"/>
  <c r="AJ249" i="13"/>
  <c r="AJ250" i="13"/>
  <c r="AJ251" i="13"/>
  <c r="AJ252" i="13"/>
  <c r="AJ253" i="13"/>
  <c r="AJ254" i="13"/>
  <c r="AJ255" i="13"/>
  <c r="AJ256" i="13"/>
  <c r="AJ257" i="13"/>
  <c r="AJ258" i="13"/>
  <c r="AJ259" i="13"/>
  <c r="AJ260" i="13"/>
  <c r="AJ261" i="13"/>
  <c r="AJ262" i="13"/>
  <c r="AJ263" i="13"/>
  <c r="AJ264" i="13"/>
  <c r="AJ265" i="13"/>
  <c r="AJ266" i="13"/>
  <c r="AJ267" i="13"/>
  <c r="AJ268" i="13"/>
  <c r="AJ269" i="13"/>
  <c r="AJ270" i="13"/>
  <c r="AJ271" i="13"/>
  <c r="AJ272" i="13"/>
  <c r="AJ273" i="13"/>
  <c r="AJ274" i="13"/>
  <c r="AJ275" i="13"/>
  <c r="AJ276" i="13"/>
  <c r="AJ277" i="13"/>
  <c r="AJ278" i="13"/>
  <c r="AJ279" i="13"/>
  <c r="AJ280" i="13"/>
  <c r="AJ281" i="13"/>
  <c r="AJ282" i="13"/>
  <c r="AJ283" i="13"/>
  <c r="AJ284" i="13"/>
  <c r="AJ285" i="13"/>
  <c r="AJ286" i="13"/>
  <c r="AJ287" i="13"/>
  <c r="AJ288" i="13"/>
  <c r="AJ289" i="13"/>
  <c r="AJ290" i="13"/>
  <c r="AJ291" i="13"/>
  <c r="AJ292" i="13"/>
  <c r="AJ293" i="13"/>
  <c r="AJ294" i="13"/>
  <c r="AJ295" i="13"/>
  <c r="AJ296" i="13"/>
  <c r="AJ297" i="13"/>
  <c r="AJ298" i="13"/>
  <c r="AJ299" i="13"/>
  <c r="AJ300" i="13"/>
  <c r="AJ301" i="13"/>
  <c r="AJ302" i="13"/>
  <c r="AJ303" i="13"/>
  <c r="AJ304" i="13"/>
  <c r="AJ305" i="13"/>
  <c r="AJ306" i="13"/>
  <c r="AJ307" i="13"/>
  <c r="AJ308" i="13"/>
  <c r="AJ309" i="13"/>
  <c r="AJ310" i="13"/>
  <c r="AJ311" i="13"/>
  <c r="AJ312" i="13"/>
  <c r="AJ313" i="13"/>
  <c r="AJ314" i="13"/>
  <c r="AJ315" i="13"/>
  <c r="AJ316" i="13"/>
  <c r="AJ317" i="13"/>
  <c r="AJ318" i="13"/>
  <c r="AJ319" i="13"/>
  <c r="AJ320" i="13"/>
  <c r="AJ321" i="13"/>
  <c r="AJ322" i="13"/>
  <c r="AJ323" i="13"/>
  <c r="AJ324" i="13"/>
  <c r="AJ325" i="13"/>
  <c r="AJ326" i="13"/>
  <c r="AJ327" i="13"/>
  <c r="AJ328" i="13"/>
  <c r="AJ329" i="13"/>
  <c r="AJ330" i="13"/>
  <c r="AJ331" i="13"/>
  <c r="AJ332" i="13"/>
  <c r="AJ333" i="13"/>
  <c r="AJ334" i="13"/>
  <c r="AJ335" i="13"/>
  <c r="AJ336" i="13"/>
  <c r="AJ337" i="13"/>
  <c r="AJ338" i="13"/>
  <c r="AJ339" i="13"/>
  <c r="AJ340" i="13"/>
  <c r="AJ341" i="13"/>
  <c r="AJ342" i="13"/>
  <c r="AJ343" i="13"/>
  <c r="AJ344" i="13"/>
  <c r="AJ345" i="13"/>
  <c r="AJ346" i="13"/>
  <c r="AJ347" i="13"/>
  <c r="AJ348" i="13"/>
  <c r="AJ349" i="13"/>
  <c r="AJ350" i="13"/>
  <c r="AJ351" i="13"/>
  <c r="AJ352" i="13"/>
  <c r="AJ353" i="13"/>
  <c r="AJ354" i="13"/>
  <c r="AJ355" i="13"/>
  <c r="AJ356" i="13"/>
  <c r="AJ357" i="13"/>
  <c r="AJ358" i="13"/>
  <c r="AJ359" i="13"/>
  <c r="AJ360" i="13"/>
  <c r="AJ361" i="13"/>
  <c r="AJ362" i="13"/>
  <c r="AJ363" i="13"/>
  <c r="AJ364" i="13"/>
  <c r="AJ365" i="13"/>
  <c r="AJ366" i="13"/>
  <c r="AJ367" i="13"/>
  <c r="AJ368" i="13"/>
  <c r="AJ369" i="13"/>
  <c r="AJ370" i="13"/>
  <c r="AJ371" i="13"/>
  <c r="AJ372" i="13"/>
  <c r="AJ373" i="13"/>
  <c r="AJ374" i="13"/>
  <c r="AJ375" i="13"/>
  <c r="AJ376" i="13"/>
  <c r="AJ377" i="13"/>
  <c r="AJ378" i="13"/>
  <c r="AJ379" i="13"/>
  <c r="AJ380" i="13"/>
  <c r="AJ381" i="13"/>
  <c r="AJ382" i="13"/>
  <c r="AJ383" i="13"/>
  <c r="AJ384" i="13"/>
  <c r="AJ385" i="13"/>
  <c r="AJ386" i="13"/>
  <c r="AJ387" i="13"/>
  <c r="AJ388" i="13"/>
  <c r="AJ389" i="13"/>
  <c r="AJ390" i="13"/>
  <c r="AJ391" i="13"/>
  <c r="AJ392" i="13"/>
  <c r="AJ393" i="13"/>
  <c r="AJ394" i="13"/>
  <c r="AJ395" i="13"/>
  <c r="AJ396" i="13"/>
  <c r="AJ397" i="13"/>
  <c r="AJ398" i="13"/>
  <c r="AJ399" i="13"/>
  <c r="AJ400" i="13"/>
  <c r="AJ401" i="13"/>
  <c r="AJ402" i="13"/>
  <c r="AJ403" i="13"/>
  <c r="AJ404" i="13"/>
  <c r="AJ405" i="13"/>
  <c r="AJ406" i="13"/>
  <c r="AJ407" i="13"/>
  <c r="AJ408" i="13"/>
  <c r="AJ409" i="13"/>
  <c r="AJ410" i="13"/>
  <c r="AJ411" i="13"/>
  <c r="AJ4" i="13"/>
  <c r="F42" i="13"/>
  <c r="F41" i="13"/>
  <c r="F40" i="13"/>
  <c r="F39" i="13"/>
  <c r="F38" i="13"/>
  <c r="F37" i="13"/>
  <c r="F36" i="13"/>
  <c r="F35" i="13"/>
  <c r="F34" i="13"/>
  <c r="F33" i="13"/>
  <c r="F32" i="13"/>
  <c r="F31" i="13"/>
  <c r="F30" i="13"/>
  <c r="F29" i="13"/>
  <c r="F28" i="13"/>
  <c r="X5" i="13"/>
  <c r="X29" i="13" s="1"/>
  <c r="Y5" i="13"/>
  <c r="Y29" i="13" s="1"/>
  <c r="Z5" i="13"/>
  <c r="Z29" i="13" s="1"/>
  <c r="AA5" i="13"/>
  <c r="AA29" i="13" s="1"/>
  <c r="AB5" i="13"/>
  <c r="AB29" i="13" s="1"/>
  <c r="AC5" i="13"/>
  <c r="AC29" i="13" s="1"/>
  <c r="AD5" i="13"/>
  <c r="AD29" i="13" s="1"/>
  <c r="AE5" i="13"/>
  <c r="AE29" i="13" s="1"/>
  <c r="AF5" i="13"/>
  <c r="AF29" i="13" s="1"/>
  <c r="X6" i="13"/>
  <c r="X30" i="13" s="1"/>
  <c r="Y6" i="13"/>
  <c r="Y30" i="13" s="1"/>
  <c r="Z6" i="13"/>
  <c r="Z30" i="13" s="1"/>
  <c r="AA6" i="13"/>
  <c r="AA30" i="13" s="1"/>
  <c r="AB6" i="13"/>
  <c r="AB30" i="13" s="1"/>
  <c r="AC6" i="13"/>
  <c r="AC30" i="13" s="1"/>
  <c r="AD6" i="13"/>
  <c r="AD30" i="13" s="1"/>
  <c r="AE6" i="13"/>
  <c r="AE30" i="13" s="1"/>
  <c r="AF6" i="13"/>
  <c r="AF30" i="13" s="1"/>
  <c r="X7" i="13"/>
  <c r="X31" i="13" s="1"/>
  <c r="Y7" i="13"/>
  <c r="Y31" i="13" s="1"/>
  <c r="Z7" i="13"/>
  <c r="Z31" i="13" s="1"/>
  <c r="AA7" i="13"/>
  <c r="AA31" i="13" s="1"/>
  <c r="AB7" i="13"/>
  <c r="AB31" i="13" s="1"/>
  <c r="AC7" i="13"/>
  <c r="AC31" i="13" s="1"/>
  <c r="AD7" i="13"/>
  <c r="AD31" i="13" s="1"/>
  <c r="AE7" i="13"/>
  <c r="AE31" i="13" s="1"/>
  <c r="AF7" i="13"/>
  <c r="AF31" i="13" s="1"/>
  <c r="X8" i="13"/>
  <c r="X32" i="13" s="1"/>
  <c r="Y8" i="13"/>
  <c r="Y32" i="13" s="1"/>
  <c r="Z8" i="13"/>
  <c r="Z32" i="13" s="1"/>
  <c r="AA8" i="13"/>
  <c r="AA32" i="13" s="1"/>
  <c r="AB8" i="13"/>
  <c r="AB32" i="13" s="1"/>
  <c r="AC8" i="13"/>
  <c r="AC32" i="13" s="1"/>
  <c r="AD8" i="13"/>
  <c r="AD32" i="13" s="1"/>
  <c r="AE8" i="13"/>
  <c r="AE32" i="13" s="1"/>
  <c r="AF8" i="13"/>
  <c r="AF32" i="13" s="1"/>
  <c r="X9" i="13"/>
  <c r="X33" i="13" s="1"/>
  <c r="Y9" i="13"/>
  <c r="Y33" i="13" s="1"/>
  <c r="Z9" i="13"/>
  <c r="Z33" i="13" s="1"/>
  <c r="AA9" i="13"/>
  <c r="AA33" i="13" s="1"/>
  <c r="AB9" i="13"/>
  <c r="AB33" i="13" s="1"/>
  <c r="AC9" i="13"/>
  <c r="AC33" i="13" s="1"/>
  <c r="AD9" i="13"/>
  <c r="AD33" i="13" s="1"/>
  <c r="AE9" i="13"/>
  <c r="AE33" i="13" s="1"/>
  <c r="AF9" i="13"/>
  <c r="AF33" i="13" s="1"/>
  <c r="X13" i="13"/>
  <c r="X37" i="13" s="1"/>
  <c r="Y13" i="13"/>
  <c r="Y37" i="13" s="1"/>
  <c r="Z13" i="13"/>
  <c r="Z37" i="13" s="1"/>
  <c r="AA13" i="13"/>
  <c r="AA37" i="13" s="1"/>
  <c r="AB13" i="13"/>
  <c r="AB37" i="13" s="1"/>
  <c r="AC13" i="13"/>
  <c r="AC37" i="13" s="1"/>
  <c r="AD13" i="13"/>
  <c r="AD37" i="13" s="1"/>
  <c r="AE13" i="13"/>
  <c r="AE37" i="13" s="1"/>
  <c r="AF13" i="13"/>
  <c r="AF37" i="13" s="1"/>
  <c r="X14" i="13"/>
  <c r="X38" i="13" s="1"/>
  <c r="Y14" i="13"/>
  <c r="Y38" i="13" s="1"/>
  <c r="Z14" i="13"/>
  <c r="Z38" i="13" s="1"/>
  <c r="AA14" i="13"/>
  <c r="AA38" i="13" s="1"/>
  <c r="AB14" i="13"/>
  <c r="AB38" i="13" s="1"/>
  <c r="AC14" i="13"/>
  <c r="AC38" i="13" s="1"/>
  <c r="AD14" i="13"/>
  <c r="AD38" i="13" s="1"/>
  <c r="AE14" i="13"/>
  <c r="AE38" i="13" s="1"/>
  <c r="AF14" i="13"/>
  <c r="AF38" i="13" s="1"/>
  <c r="X15" i="13"/>
  <c r="X39" i="13" s="1"/>
  <c r="Y15" i="13"/>
  <c r="Y39" i="13" s="1"/>
  <c r="Z15" i="13"/>
  <c r="Z39" i="13" s="1"/>
  <c r="AA15" i="13"/>
  <c r="AA39" i="13" s="1"/>
  <c r="AB15" i="13"/>
  <c r="AB39" i="13" s="1"/>
  <c r="AC15" i="13"/>
  <c r="AC39" i="13" s="1"/>
  <c r="AD15" i="13"/>
  <c r="AD39" i="13" s="1"/>
  <c r="AE15" i="13"/>
  <c r="AE39" i="13" s="1"/>
  <c r="AF15" i="13"/>
  <c r="AF39" i="13" s="1"/>
  <c r="X16" i="13"/>
  <c r="X40" i="13" s="1"/>
  <c r="Y16" i="13"/>
  <c r="Y40" i="13" s="1"/>
  <c r="Z16" i="13"/>
  <c r="Z40" i="13" s="1"/>
  <c r="AA16" i="13"/>
  <c r="AA40" i="13" s="1"/>
  <c r="AB16" i="13"/>
  <c r="AB40" i="13" s="1"/>
  <c r="AC16" i="13"/>
  <c r="AC40" i="13" s="1"/>
  <c r="AD16" i="13"/>
  <c r="AD40" i="13" s="1"/>
  <c r="AE16" i="13"/>
  <c r="AE40" i="13" s="1"/>
  <c r="AF16" i="13"/>
  <c r="AF40" i="13" s="1"/>
  <c r="X17" i="13"/>
  <c r="X41" i="13" s="1"/>
  <c r="Y17" i="13"/>
  <c r="Y41" i="13" s="1"/>
  <c r="Z17" i="13"/>
  <c r="Z41" i="13" s="1"/>
  <c r="AA17" i="13"/>
  <c r="AA41" i="13" s="1"/>
  <c r="AB17" i="13"/>
  <c r="AB41" i="13" s="1"/>
  <c r="AC17" i="13"/>
  <c r="AC41" i="13" s="1"/>
  <c r="AD17" i="13"/>
  <c r="AD41" i="13" s="1"/>
  <c r="AE17" i="13"/>
  <c r="AE41" i="13" s="1"/>
  <c r="AF17" i="13"/>
  <c r="AF41" i="13" s="1"/>
  <c r="X18" i="13"/>
  <c r="X42" i="13" s="1"/>
  <c r="Y18" i="13"/>
  <c r="Y42" i="13" s="1"/>
  <c r="Z18" i="13"/>
  <c r="Z42" i="13" s="1"/>
  <c r="AA18" i="13"/>
  <c r="AA42" i="13" s="1"/>
  <c r="AB18" i="13"/>
  <c r="AB42" i="13" s="1"/>
  <c r="AC18" i="13"/>
  <c r="AC42" i="13" s="1"/>
  <c r="AD18" i="13"/>
  <c r="AD42" i="13" s="1"/>
  <c r="AE18" i="13"/>
  <c r="AE42" i="13" s="1"/>
  <c r="AF18" i="13"/>
  <c r="AF42" i="13" s="1"/>
  <c r="Y4" i="13"/>
  <c r="Y28" i="13" s="1"/>
  <c r="Z4" i="13"/>
  <c r="Z28" i="13" s="1"/>
  <c r="AA4" i="13"/>
  <c r="AA28" i="13" s="1"/>
  <c r="AB4" i="13"/>
  <c r="AB28" i="13" s="1"/>
  <c r="AC4" i="13"/>
  <c r="AC28" i="13" s="1"/>
  <c r="AD4" i="13"/>
  <c r="AD28" i="13" s="1"/>
  <c r="AE4" i="13"/>
  <c r="AE28" i="13" s="1"/>
  <c r="AF4" i="13"/>
  <c r="AF28" i="13" s="1"/>
  <c r="X4" i="13"/>
  <c r="X28" i="13" s="1"/>
  <c r="N5" i="13"/>
  <c r="N29" i="13" s="1"/>
  <c r="O5" i="13"/>
  <c r="O29" i="13" s="1"/>
  <c r="P5" i="13"/>
  <c r="P29" i="13" s="1"/>
  <c r="Q5" i="13"/>
  <c r="Q29" i="13" s="1"/>
  <c r="R5" i="13"/>
  <c r="R29" i="13" s="1"/>
  <c r="S5" i="13"/>
  <c r="S29" i="13" s="1"/>
  <c r="T5" i="13"/>
  <c r="T29" i="13" s="1"/>
  <c r="U5" i="13"/>
  <c r="U29" i="13" s="1"/>
  <c r="V5" i="13"/>
  <c r="V29" i="13" s="1"/>
  <c r="N6" i="13"/>
  <c r="N30" i="13" s="1"/>
  <c r="O6" i="13"/>
  <c r="O30" i="13" s="1"/>
  <c r="P6" i="13"/>
  <c r="P30" i="13" s="1"/>
  <c r="Q6" i="13"/>
  <c r="Q30" i="13" s="1"/>
  <c r="R6" i="13"/>
  <c r="R30" i="13" s="1"/>
  <c r="S6" i="13"/>
  <c r="S30" i="13" s="1"/>
  <c r="T6" i="13"/>
  <c r="T30" i="13" s="1"/>
  <c r="U6" i="13"/>
  <c r="U30" i="13" s="1"/>
  <c r="V6" i="13"/>
  <c r="V30" i="13" s="1"/>
  <c r="N7" i="13"/>
  <c r="N31" i="13" s="1"/>
  <c r="O7" i="13"/>
  <c r="O31" i="13" s="1"/>
  <c r="P7" i="13"/>
  <c r="P31" i="13" s="1"/>
  <c r="Q7" i="13"/>
  <c r="Q31" i="13" s="1"/>
  <c r="R7" i="13"/>
  <c r="R31" i="13" s="1"/>
  <c r="S7" i="13"/>
  <c r="S31" i="13" s="1"/>
  <c r="T7" i="13"/>
  <c r="T31" i="13" s="1"/>
  <c r="U7" i="13"/>
  <c r="U31" i="13" s="1"/>
  <c r="V7" i="13"/>
  <c r="V31" i="13" s="1"/>
  <c r="N8" i="13"/>
  <c r="N32" i="13" s="1"/>
  <c r="O8" i="13"/>
  <c r="O32" i="13" s="1"/>
  <c r="P8" i="13"/>
  <c r="P32" i="13" s="1"/>
  <c r="Q8" i="13"/>
  <c r="Q32" i="13" s="1"/>
  <c r="R8" i="13"/>
  <c r="R32" i="13" s="1"/>
  <c r="S8" i="13"/>
  <c r="S32" i="13" s="1"/>
  <c r="T8" i="13"/>
  <c r="T32" i="13" s="1"/>
  <c r="U8" i="13"/>
  <c r="U32" i="13" s="1"/>
  <c r="V8" i="13"/>
  <c r="V32" i="13" s="1"/>
  <c r="N9" i="13"/>
  <c r="N33" i="13" s="1"/>
  <c r="O9" i="13"/>
  <c r="O33" i="13" s="1"/>
  <c r="P9" i="13"/>
  <c r="P33" i="13" s="1"/>
  <c r="Q9" i="13"/>
  <c r="Q33" i="13" s="1"/>
  <c r="R9" i="13"/>
  <c r="R33" i="13" s="1"/>
  <c r="S9" i="13"/>
  <c r="S33" i="13" s="1"/>
  <c r="T9" i="13"/>
  <c r="T33" i="13" s="1"/>
  <c r="U9" i="13"/>
  <c r="U33" i="13" s="1"/>
  <c r="V9" i="13"/>
  <c r="V33" i="13" s="1"/>
  <c r="N13" i="13"/>
  <c r="N37" i="13" s="1"/>
  <c r="O13" i="13"/>
  <c r="O37" i="13" s="1"/>
  <c r="P13" i="13"/>
  <c r="P37" i="13" s="1"/>
  <c r="Q13" i="13"/>
  <c r="Q37" i="13" s="1"/>
  <c r="R13" i="13"/>
  <c r="R37" i="13" s="1"/>
  <c r="S13" i="13"/>
  <c r="S37" i="13" s="1"/>
  <c r="T13" i="13"/>
  <c r="T37" i="13" s="1"/>
  <c r="U13" i="13"/>
  <c r="U37" i="13" s="1"/>
  <c r="V13" i="13"/>
  <c r="V37" i="13" s="1"/>
  <c r="N14" i="13"/>
  <c r="N38" i="13" s="1"/>
  <c r="O14" i="13"/>
  <c r="O38" i="13" s="1"/>
  <c r="P14" i="13"/>
  <c r="P38" i="13" s="1"/>
  <c r="Q14" i="13"/>
  <c r="Q38" i="13" s="1"/>
  <c r="R14" i="13"/>
  <c r="R38" i="13" s="1"/>
  <c r="S14" i="13"/>
  <c r="S38" i="13" s="1"/>
  <c r="T14" i="13"/>
  <c r="T38" i="13" s="1"/>
  <c r="U14" i="13"/>
  <c r="U38" i="13" s="1"/>
  <c r="V14" i="13"/>
  <c r="V38" i="13" s="1"/>
  <c r="N15" i="13"/>
  <c r="N39" i="13" s="1"/>
  <c r="O15" i="13"/>
  <c r="O39" i="13" s="1"/>
  <c r="P15" i="13"/>
  <c r="P39" i="13" s="1"/>
  <c r="Q15" i="13"/>
  <c r="Q39" i="13" s="1"/>
  <c r="R15" i="13"/>
  <c r="R39" i="13" s="1"/>
  <c r="S15" i="13"/>
  <c r="S39" i="13" s="1"/>
  <c r="T15" i="13"/>
  <c r="T39" i="13" s="1"/>
  <c r="U15" i="13"/>
  <c r="U39" i="13" s="1"/>
  <c r="V15" i="13"/>
  <c r="V39" i="13" s="1"/>
  <c r="N16" i="13"/>
  <c r="N40" i="13" s="1"/>
  <c r="O16" i="13"/>
  <c r="O40" i="13" s="1"/>
  <c r="P16" i="13"/>
  <c r="P40" i="13" s="1"/>
  <c r="Q16" i="13"/>
  <c r="Q40" i="13" s="1"/>
  <c r="R16" i="13"/>
  <c r="R40" i="13" s="1"/>
  <c r="S16" i="13"/>
  <c r="S40" i="13" s="1"/>
  <c r="T16" i="13"/>
  <c r="T40" i="13" s="1"/>
  <c r="U16" i="13"/>
  <c r="U40" i="13" s="1"/>
  <c r="V16" i="13"/>
  <c r="V40" i="13" s="1"/>
  <c r="N17" i="13"/>
  <c r="N41" i="13" s="1"/>
  <c r="O17" i="13"/>
  <c r="O41" i="13" s="1"/>
  <c r="P17" i="13"/>
  <c r="P41" i="13" s="1"/>
  <c r="Q17" i="13"/>
  <c r="Q41" i="13" s="1"/>
  <c r="R17" i="13"/>
  <c r="R41" i="13" s="1"/>
  <c r="S17" i="13"/>
  <c r="S41" i="13" s="1"/>
  <c r="T17" i="13"/>
  <c r="T41" i="13" s="1"/>
  <c r="U17" i="13"/>
  <c r="U41" i="13" s="1"/>
  <c r="V17" i="13"/>
  <c r="V41" i="13" s="1"/>
  <c r="N18" i="13"/>
  <c r="N42" i="13" s="1"/>
  <c r="O18" i="13"/>
  <c r="O42" i="13" s="1"/>
  <c r="P18" i="13"/>
  <c r="P42" i="13" s="1"/>
  <c r="Q18" i="13"/>
  <c r="Q42" i="13" s="1"/>
  <c r="R18" i="13"/>
  <c r="R42" i="13" s="1"/>
  <c r="S18" i="13"/>
  <c r="S42" i="13" s="1"/>
  <c r="T18" i="13"/>
  <c r="T42" i="13" s="1"/>
  <c r="U18" i="13"/>
  <c r="U42" i="13" s="1"/>
  <c r="V18" i="13"/>
  <c r="V42" i="13" s="1"/>
  <c r="O4" i="13"/>
  <c r="O28" i="13" s="1"/>
  <c r="P4" i="13"/>
  <c r="P28" i="13" s="1"/>
  <c r="Q4" i="13"/>
  <c r="Q28" i="13" s="1"/>
  <c r="R4" i="13"/>
  <c r="R28" i="13" s="1"/>
  <c r="S4" i="13"/>
  <c r="S28" i="13" s="1"/>
  <c r="T4" i="13"/>
  <c r="T28" i="13" s="1"/>
  <c r="U4" i="13"/>
  <c r="U28" i="13" s="1"/>
  <c r="V4" i="13"/>
  <c r="V28" i="13" s="1"/>
  <c r="N4" i="13"/>
  <c r="N28" i="13" s="1"/>
  <c r="H5" i="13"/>
  <c r="H29" i="13" s="1"/>
  <c r="I5" i="13"/>
  <c r="I29" i="13" s="1"/>
  <c r="J5" i="13"/>
  <c r="J29" i="13" s="1"/>
  <c r="K5" i="13"/>
  <c r="K29" i="13" s="1"/>
  <c r="L5" i="13"/>
  <c r="L29" i="13" s="1"/>
  <c r="H6" i="13"/>
  <c r="H30" i="13" s="1"/>
  <c r="I6" i="13"/>
  <c r="I30" i="13" s="1"/>
  <c r="J6" i="13"/>
  <c r="J30" i="13" s="1"/>
  <c r="K6" i="13"/>
  <c r="K30" i="13" s="1"/>
  <c r="L6" i="13"/>
  <c r="L30" i="13" s="1"/>
  <c r="H7" i="13"/>
  <c r="H31" i="13" s="1"/>
  <c r="I7" i="13"/>
  <c r="I31" i="13" s="1"/>
  <c r="J7" i="13"/>
  <c r="J31" i="13" s="1"/>
  <c r="K7" i="13"/>
  <c r="K31" i="13" s="1"/>
  <c r="L7" i="13"/>
  <c r="L31" i="13" s="1"/>
  <c r="H8" i="13"/>
  <c r="H32" i="13" s="1"/>
  <c r="I8" i="13"/>
  <c r="I32" i="13" s="1"/>
  <c r="J8" i="13"/>
  <c r="J32" i="13" s="1"/>
  <c r="K8" i="13"/>
  <c r="K32" i="13" s="1"/>
  <c r="L8" i="13"/>
  <c r="L32" i="13" s="1"/>
  <c r="H9" i="13"/>
  <c r="H33" i="13" s="1"/>
  <c r="I9" i="13"/>
  <c r="I33" i="13" s="1"/>
  <c r="J9" i="13"/>
  <c r="J33" i="13" s="1"/>
  <c r="K9" i="13"/>
  <c r="K33" i="13" s="1"/>
  <c r="L9" i="13"/>
  <c r="L33" i="13" s="1"/>
  <c r="H13" i="13"/>
  <c r="H37" i="13" s="1"/>
  <c r="I13" i="13"/>
  <c r="I37" i="13" s="1"/>
  <c r="J13" i="13"/>
  <c r="J37" i="13" s="1"/>
  <c r="K13" i="13"/>
  <c r="K37" i="13" s="1"/>
  <c r="L13" i="13"/>
  <c r="L37" i="13" s="1"/>
  <c r="H14" i="13"/>
  <c r="H38" i="13" s="1"/>
  <c r="I14" i="13"/>
  <c r="I38" i="13" s="1"/>
  <c r="J14" i="13"/>
  <c r="J38" i="13" s="1"/>
  <c r="K14" i="13"/>
  <c r="K38" i="13" s="1"/>
  <c r="L14" i="13"/>
  <c r="L38" i="13" s="1"/>
  <c r="H15" i="13"/>
  <c r="H39" i="13" s="1"/>
  <c r="I15" i="13"/>
  <c r="I39" i="13" s="1"/>
  <c r="J15" i="13"/>
  <c r="J39" i="13" s="1"/>
  <c r="K15" i="13"/>
  <c r="K39" i="13" s="1"/>
  <c r="L15" i="13"/>
  <c r="L39" i="13" s="1"/>
  <c r="H16" i="13"/>
  <c r="H40" i="13" s="1"/>
  <c r="I16" i="13"/>
  <c r="I40" i="13" s="1"/>
  <c r="J16" i="13"/>
  <c r="J40" i="13" s="1"/>
  <c r="K16" i="13"/>
  <c r="K40" i="13" s="1"/>
  <c r="L16" i="13"/>
  <c r="L40" i="13" s="1"/>
  <c r="H17" i="13"/>
  <c r="H41" i="13" s="1"/>
  <c r="I17" i="13"/>
  <c r="I41" i="13" s="1"/>
  <c r="J17" i="13"/>
  <c r="J41" i="13" s="1"/>
  <c r="K17" i="13"/>
  <c r="K41" i="13" s="1"/>
  <c r="L17" i="13"/>
  <c r="L41" i="13" s="1"/>
  <c r="H18" i="13"/>
  <c r="H42" i="13" s="1"/>
  <c r="I18" i="13"/>
  <c r="I42" i="13" s="1"/>
  <c r="J18" i="13"/>
  <c r="J42" i="13" s="1"/>
  <c r="K18" i="13"/>
  <c r="K42" i="13" s="1"/>
  <c r="L18" i="13"/>
  <c r="L42" i="13" s="1"/>
  <c r="I4" i="13"/>
  <c r="J4" i="13"/>
  <c r="K4" i="13"/>
  <c r="K28" i="13" s="1"/>
  <c r="L4" i="13"/>
  <c r="L28" i="13" s="1"/>
  <c r="H4" i="13"/>
  <c r="H28" i="13" s="1"/>
  <c r="F5" i="13"/>
  <c r="F6" i="13"/>
  <c r="F7" i="13"/>
  <c r="F8" i="13"/>
  <c r="F9" i="13"/>
  <c r="F10" i="13"/>
  <c r="F11" i="13"/>
  <c r="F12" i="13"/>
  <c r="F13" i="13"/>
  <c r="F14" i="13"/>
  <c r="F15" i="13"/>
  <c r="F16" i="13"/>
  <c r="F17" i="13"/>
  <c r="F18" i="13"/>
  <c r="F4" i="13"/>
  <c r="AB106" i="3"/>
  <c r="AC106" i="3"/>
  <c r="AD106" i="3"/>
  <c r="AB108" i="3"/>
  <c r="AC108" i="3"/>
  <c r="AD108" i="3"/>
  <c r="AB109" i="3"/>
  <c r="AC109" i="3"/>
  <c r="AD109" i="3"/>
  <c r="AB110" i="3"/>
  <c r="AC110" i="3"/>
  <c r="AD110" i="3"/>
  <c r="AB111" i="3"/>
  <c r="AC111" i="3"/>
  <c r="AD111" i="3"/>
  <c r="AB112" i="3"/>
  <c r="AC112" i="3"/>
  <c r="AD112" i="3"/>
  <c r="AB113" i="3"/>
  <c r="AC113" i="3"/>
  <c r="AD113" i="3"/>
  <c r="AB114" i="3"/>
  <c r="AC114" i="3"/>
  <c r="AD114" i="3"/>
  <c r="AB115" i="3"/>
  <c r="AC115" i="3"/>
  <c r="AD115" i="3"/>
  <c r="AB116" i="3"/>
  <c r="AC116" i="3"/>
  <c r="AD116" i="3"/>
  <c r="AB117" i="3"/>
  <c r="AC117" i="3"/>
  <c r="AD117" i="3"/>
  <c r="AB118" i="3"/>
  <c r="AC118" i="3"/>
  <c r="AD118" i="3"/>
  <c r="AB119" i="3"/>
  <c r="AC119" i="3"/>
  <c r="AD119" i="3"/>
  <c r="AB120" i="3"/>
  <c r="AC120" i="3"/>
  <c r="AD120" i="3"/>
  <c r="AB121" i="3"/>
  <c r="AC121" i="3"/>
  <c r="AD121" i="3"/>
  <c r="AC107" i="3"/>
  <c r="AD107" i="3"/>
  <c r="AB107" i="3"/>
  <c r="Q111" i="3"/>
  <c r="Q112" i="3"/>
  <c r="Q113" i="3"/>
  <c r="Q114" i="3"/>
  <c r="Q115" i="3"/>
  <c r="Q116" i="3"/>
  <c r="Q117" i="3"/>
  <c r="Q118" i="3"/>
  <c r="Q119" i="3"/>
  <c r="Q120" i="3"/>
  <c r="Q121" i="3"/>
  <c r="Q122" i="3"/>
  <c r="Q123" i="3"/>
  <c r="Q124" i="3"/>
  <c r="Q110" i="3"/>
  <c r="E135" i="3"/>
  <c r="E136" i="3"/>
  <c r="E137" i="3"/>
  <c r="E134" i="3"/>
  <c r="F76" i="3"/>
  <c r="G76" i="3"/>
  <c r="H76" i="3"/>
  <c r="E76" i="3"/>
  <c r="R121" i="3"/>
  <c r="D83" i="6"/>
  <c r="D79" i="6"/>
  <c r="D80" i="6"/>
  <c r="D81" i="6"/>
  <c r="D75" i="6"/>
  <c r="D76" i="6"/>
  <c r="D77" i="6"/>
  <c r="E78" i="3"/>
  <c r="F78" i="3"/>
  <c r="G78" i="3"/>
  <c r="H78" i="3"/>
  <c r="D87" i="6" s="1"/>
  <c r="E79" i="3"/>
  <c r="F79" i="3"/>
  <c r="G79" i="3"/>
  <c r="D84" i="6" s="1"/>
  <c r="H79" i="3"/>
  <c r="D88" i="6" s="1"/>
  <c r="E80" i="3"/>
  <c r="F80" i="3"/>
  <c r="G80" i="3"/>
  <c r="D85" i="6" s="1"/>
  <c r="H80" i="3"/>
  <c r="D89" i="6" s="1"/>
  <c r="F77" i="3"/>
  <c r="D78" i="6" s="1"/>
  <c r="G77" i="3"/>
  <c r="D82" i="6" s="1"/>
  <c r="H77" i="3"/>
  <c r="D86" i="6" s="1"/>
  <c r="E77" i="3"/>
  <c r="D74" i="6" s="1"/>
  <c r="I28" i="13" l="1"/>
  <c r="AN6" i="13" s="1"/>
  <c r="D4" i="15" s="1"/>
  <c r="G4" i="15" s="1"/>
  <c r="AN424" i="13"/>
  <c r="D419" i="15" s="1"/>
  <c r="G419" i="15" s="1"/>
  <c r="AN440" i="13"/>
  <c r="D435" i="15" s="1"/>
  <c r="G435" i="15" s="1"/>
  <c r="AN456" i="13"/>
  <c r="D451" i="15" s="1"/>
  <c r="G451" i="15" s="1"/>
  <c r="AN472" i="13"/>
  <c r="D467" i="15" s="1"/>
  <c r="G467" i="15" s="1"/>
  <c r="AN488" i="13"/>
  <c r="D483" i="15" s="1"/>
  <c r="G483" i="15" s="1"/>
  <c r="AN452" i="13"/>
  <c r="D447" i="15" s="1"/>
  <c r="G447" i="15" s="1"/>
  <c r="AN468" i="13"/>
  <c r="D463" i="15" s="1"/>
  <c r="G463" i="15" s="1"/>
  <c r="AN459" i="13"/>
  <c r="D454" i="15" s="1"/>
  <c r="G454" i="15" s="1"/>
  <c r="AN475" i="13"/>
  <c r="D470" i="15" s="1"/>
  <c r="G470" i="15" s="1"/>
  <c r="AN491" i="13"/>
  <c r="D486" i="15" s="1"/>
  <c r="G486" i="15" s="1"/>
  <c r="AN428" i="13"/>
  <c r="D423" i="15" s="1"/>
  <c r="G423" i="15" s="1"/>
  <c r="AN444" i="13"/>
  <c r="D439" i="15" s="1"/>
  <c r="G439" i="15" s="1"/>
  <c r="AN460" i="13"/>
  <c r="D455" i="15" s="1"/>
  <c r="G455" i="15" s="1"/>
  <c r="AN476" i="13"/>
  <c r="D471" i="15" s="1"/>
  <c r="G471" i="15" s="1"/>
  <c r="AN492" i="13"/>
  <c r="D487" i="15" s="1"/>
  <c r="G487" i="15" s="1"/>
  <c r="AN484" i="13"/>
  <c r="D479" i="15" s="1"/>
  <c r="G479" i="15" s="1"/>
  <c r="AN412" i="13"/>
  <c r="D407" i="15" s="1"/>
  <c r="G407" i="15" s="1"/>
  <c r="AN420" i="13"/>
  <c r="D415" i="15" s="1"/>
  <c r="G415" i="15" s="1"/>
  <c r="AN416" i="13"/>
  <c r="D411" i="15" s="1"/>
  <c r="G411" i="15" s="1"/>
  <c r="AN432" i="13"/>
  <c r="D427" i="15" s="1"/>
  <c r="G427" i="15" s="1"/>
  <c r="AN448" i="13"/>
  <c r="D443" i="15" s="1"/>
  <c r="G443" i="15" s="1"/>
  <c r="AN464" i="13"/>
  <c r="D459" i="15" s="1"/>
  <c r="G459" i="15" s="1"/>
  <c r="AN480" i="13"/>
  <c r="D475" i="15" s="1"/>
  <c r="G475" i="15" s="1"/>
  <c r="AN417" i="13"/>
  <c r="D412" i="15" s="1"/>
  <c r="G412" i="15" s="1"/>
  <c r="AN433" i="13"/>
  <c r="D428" i="15" s="1"/>
  <c r="G428" i="15" s="1"/>
  <c r="AN449" i="13"/>
  <c r="D444" i="15" s="1"/>
  <c r="G444" i="15" s="1"/>
  <c r="AN465" i="13"/>
  <c r="D460" i="15" s="1"/>
  <c r="G460" i="15" s="1"/>
  <c r="AN481" i="13"/>
  <c r="D476" i="15" s="1"/>
  <c r="G476" i="15" s="1"/>
  <c r="AN436" i="13"/>
  <c r="D431" i="15" s="1"/>
  <c r="G431" i="15" s="1"/>
  <c r="AN419" i="13"/>
  <c r="D414" i="15" s="1"/>
  <c r="G414" i="15" s="1"/>
  <c r="AN435" i="13"/>
  <c r="D430" i="15" s="1"/>
  <c r="G430" i="15" s="1"/>
  <c r="AN451" i="13"/>
  <c r="D446" i="15" s="1"/>
  <c r="G446" i="15" s="1"/>
  <c r="AN467" i="13"/>
  <c r="D462" i="15" s="1"/>
  <c r="G462" i="15" s="1"/>
  <c r="AN483" i="13"/>
  <c r="D478" i="15" s="1"/>
  <c r="G478" i="15" s="1"/>
  <c r="AN485" i="13"/>
  <c r="D480" i="15" s="1"/>
  <c r="G480" i="15" s="1"/>
  <c r="AN442" i="13"/>
  <c r="D437" i="15" s="1"/>
  <c r="G437" i="15" s="1"/>
  <c r="AN423" i="13"/>
  <c r="D418" i="15" s="1"/>
  <c r="G418" i="15" s="1"/>
  <c r="AN421" i="13"/>
  <c r="D416" i="15" s="1"/>
  <c r="G416" i="15" s="1"/>
  <c r="AN458" i="13"/>
  <c r="D453" i="15" s="1"/>
  <c r="G453" i="15" s="1"/>
  <c r="AN415" i="13"/>
  <c r="D410" i="15" s="1"/>
  <c r="G410" i="15" s="1"/>
  <c r="AN422" i="13"/>
  <c r="D417" i="15" s="1"/>
  <c r="G417" i="15" s="1"/>
  <c r="AN474" i="13"/>
  <c r="D469" i="15" s="1"/>
  <c r="G469" i="15" s="1"/>
  <c r="AN479" i="13"/>
  <c r="D474" i="15" s="1"/>
  <c r="G474" i="15" s="1"/>
  <c r="AN438" i="13"/>
  <c r="D433" i="15" s="1"/>
  <c r="G433" i="15" s="1"/>
  <c r="AN490" i="13"/>
  <c r="D485" i="15" s="1"/>
  <c r="G485" i="15" s="1"/>
  <c r="AN439" i="13"/>
  <c r="D434" i="15" s="1"/>
  <c r="G434" i="15" s="1"/>
  <c r="AN454" i="13"/>
  <c r="D449" i="15" s="1"/>
  <c r="G449" i="15" s="1"/>
  <c r="AN471" i="13"/>
  <c r="D466" i="15" s="1"/>
  <c r="G466" i="15" s="1"/>
  <c r="AN427" i="13"/>
  <c r="D422" i="15" s="1"/>
  <c r="G422" i="15" s="1"/>
  <c r="AN470" i="13"/>
  <c r="D465" i="15" s="1"/>
  <c r="G465" i="15" s="1"/>
  <c r="AN443" i="13"/>
  <c r="D438" i="15" s="1"/>
  <c r="G438" i="15" s="1"/>
  <c r="AN431" i="13"/>
  <c r="D426" i="15" s="1"/>
  <c r="G426" i="15" s="1"/>
  <c r="AN486" i="13"/>
  <c r="D481" i="15" s="1"/>
  <c r="G481" i="15" s="1"/>
  <c r="AN453" i="13"/>
  <c r="D448" i="15" s="1"/>
  <c r="G448" i="15" s="1"/>
  <c r="AN413" i="13"/>
  <c r="D408" i="15" s="1"/>
  <c r="G408" i="15" s="1"/>
  <c r="AN487" i="13"/>
  <c r="D482" i="15" s="1"/>
  <c r="G482" i="15" s="1"/>
  <c r="AN477" i="13"/>
  <c r="D472" i="15" s="1"/>
  <c r="G472" i="15" s="1"/>
  <c r="AN447" i="13"/>
  <c r="D442" i="15" s="1"/>
  <c r="G442" i="15" s="1"/>
  <c r="AN455" i="13"/>
  <c r="D450" i="15" s="1"/>
  <c r="G450" i="15" s="1"/>
  <c r="AN437" i="13"/>
  <c r="D432" i="15" s="1"/>
  <c r="G432" i="15" s="1"/>
  <c r="AN445" i="13"/>
  <c r="D440" i="15" s="1"/>
  <c r="G440" i="15" s="1"/>
  <c r="AN469" i="13"/>
  <c r="D464" i="15" s="1"/>
  <c r="G464" i="15" s="1"/>
  <c r="AN429" i="13"/>
  <c r="D424" i="15" s="1"/>
  <c r="G424" i="15" s="1"/>
  <c r="AN463" i="13"/>
  <c r="D458" i="15" s="1"/>
  <c r="G458" i="15" s="1"/>
  <c r="AN425" i="13"/>
  <c r="D420" i="15" s="1"/>
  <c r="G420" i="15" s="1"/>
  <c r="AN461" i="13"/>
  <c r="D456" i="15" s="1"/>
  <c r="G456" i="15" s="1"/>
  <c r="AN418" i="13"/>
  <c r="D413" i="15" s="1"/>
  <c r="G413" i="15" s="1"/>
  <c r="AN441" i="13"/>
  <c r="D436" i="15" s="1"/>
  <c r="G436" i="15" s="1"/>
  <c r="AN414" i="13"/>
  <c r="D409" i="15" s="1"/>
  <c r="G409" i="15" s="1"/>
  <c r="AN434" i="13"/>
  <c r="D429" i="15" s="1"/>
  <c r="G429" i="15" s="1"/>
  <c r="AN457" i="13"/>
  <c r="D452" i="15" s="1"/>
  <c r="G452" i="15" s="1"/>
  <c r="AN430" i="13"/>
  <c r="D425" i="15" s="1"/>
  <c r="G425" i="15" s="1"/>
  <c r="AN450" i="13"/>
  <c r="D445" i="15" s="1"/>
  <c r="G445" i="15" s="1"/>
  <c r="AN489" i="13"/>
  <c r="D484" i="15" s="1"/>
  <c r="G484" i="15" s="1"/>
  <c r="AN473" i="13"/>
  <c r="D468" i="15" s="1"/>
  <c r="G468" i="15" s="1"/>
  <c r="AN446" i="13"/>
  <c r="D441" i="15" s="1"/>
  <c r="G441" i="15" s="1"/>
  <c r="AN466" i="13"/>
  <c r="D461" i="15" s="1"/>
  <c r="G461" i="15" s="1"/>
  <c r="AN462" i="13"/>
  <c r="D457" i="15" s="1"/>
  <c r="G457" i="15" s="1"/>
  <c r="AN482" i="13"/>
  <c r="D477" i="15" s="1"/>
  <c r="G477" i="15" s="1"/>
  <c r="AN426" i="13"/>
  <c r="D421" i="15" s="1"/>
  <c r="G421" i="15" s="1"/>
  <c r="AN478" i="13"/>
  <c r="D473" i="15" s="1"/>
  <c r="G473" i="15" s="1"/>
  <c r="E2" i="15"/>
  <c r="F2" i="15"/>
  <c r="AN7" i="13"/>
  <c r="D5" i="15" s="1"/>
  <c r="G5" i="15" s="1"/>
  <c r="J28" i="13"/>
  <c r="AN8" i="13"/>
  <c r="D6" i="15" s="1"/>
  <c r="G6" i="15" s="1"/>
  <c r="AN46" i="13"/>
  <c r="D41" i="15" s="1"/>
  <c r="G41" i="15" s="1"/>
  <c r="AN62" i="13"/>
  <c r="D57" i="15" s="1"/>
  <c r="G57" i="15" s="1"/>
  <c r="AN76" i="13"/>
  <c r="D71" i="15" s="1"/>
  <c r="G71" i="15" s="1"/>
  <c r="AN42" i="13"/>
  <c r="D37" i="15" s="1"/>
  <c r="G37" i="15" s="1"/>
  <c r="AN10" i="13"/>
  <c r="D8" i="15" s="1"/>
  <c r="G8" i="15" s="1"/>
  <c r="AN40" i="13"/>
  <c r="D35" i="15" s="1"/>
  <c r="G35" i="15" s="1"/>
  <c r="AN38" i="13"/>
  <c r="D33" i="15" s="1"/>
  <c r="G33" i="15" s="1"/>
  <c r="AN74" i="13"/>
  <c r="D69" i="15" s="1"/>
  <c r="G69" i="15" s="1"/>
  <c r="AN21" i="13"/>
  <c r="D19" i="15" s="1"/>
  <c r="G19" i="15" s="1"/>
  <c r="AN44" i="13"/>
  <c r="D39" i="15" s="1"/>
  <c r="G39" i="15" s="1"/>
  <c r="AN35" i="13"/>
  <c r="D30" i="15" s="1"/>
  <c r="G30" i="15" s="1"/>
  <c r="AN71" i="13"/>
  <c r="D66" i="15" s="1"/>
  <c r="G66" i="15" s="1"/>
  <c r="AN30" i="13"/>
  <c r="D25" i="15" s="1"/>
  <c r="G25" i="15" s="1"/>
  <c r="AN59" i="13"/>
  <c r="D54" i="15" s="1"/>
  <c r="G54" i="15" s="1"/>
  <c r="AN11" i="13"/>
  <c r="D9" i="15" s="1"/>
  <c r="G9" i="15" s="1"/>
  <c r="AN70" i="13"/>
  <c r="D65" i="15" s="1"/>
  <c r="G65" i="15" s="1"/>
  <c r="AN29" i="13"/>
  <c r="D24" i="15" s="1"/>
  <c r="G24" i="15" s="1"/>
  <c r="AN58" i="13"/>
  <c r="D53" i="15" s="1"/>
  <c r="G53" i="15" s="1"/>
  <c r="AN19" i="13"/>
  <c r="D17" i="15" s="1"/>
  <c r="G17" i="15" s="1"/>
  <c r="AN28" i="13"/>
  <c r="D23" i="15" s="1"/>
  <c r="G23" i="15" s="1"/>
  <c r="AN57" i="13"/>
  <c r="D52" i="15" s="1"/>
  <c r="G52" i="15" s="1"/>
  <c r="AN102" i="13"/>
  <c r="D97" i="15" s="1"/>
  <c r="G97" i="15" s="1"/>
  <c r="I97" i="15" s="1"/>
  <c r="AN27" i="13"/>
  <c r="D22" i="15" s="1"/>
  <c r="G22" i="15" s="1"/>
  <c r="AN80" i="13"/>
  <c r="D75" i="15" s="1"/>
  <c r="G75" i="15" s="1"/>
  <c r="AN5" i="13"/>
  <c r="D3" i="15" s="1"/>
  <c r="G3" i="15" s="1"/>
  <c r="AN16" i="13"/>
  <c r="D14" i="15" s="1"/>
  <c r="G14" i="15" s="1"/>
  <c r="AN48" i="13"/>
  <c r="D43" i="15" s="1"/>
  <c r="G43" i="15" s="1"/>
  <c r="AN25" i="13"/>
  <c r="D20" i="15" s="1"/>
  <c r="G20" i="15" s="1"/>
  <c r="AN54" i="13"/>
  <c r="D49" i="15" s="1"/>
  <c r="G49" i="15" s="1"/>
  <c r="AN69" i="13"/>
  <c r="D64" i="15" s="1"/>
  <c r="G64" i="15" s="1"/>
  <c r="AN17" i="13"/>
  <c r="D15" i="15" s="1"/>
  <c r="G15" i="15" s="1"/>
  <c r="AN49" i="13"/>
  <c r="D44" i="15" s="1"/>
  <c r="G44" i="15" s="1"/>
  <c r="AN26" i="13"/>
  <c r="D21" i="15" s="1"/>
  <c r="G21" i="15" s="1"/>
  <c r="AN55" i="13"/>
  <c r="D50" i="15" s="1"/>
  <c r="G50" i="15" s="1"/>
  <c r="AN9" i="13"/>
  <c r="D7" i="15" s="1"/>
  <c r="G7" i="15" s="1"/>
  <c r="AN15" i="13"/>
  <c r="D13" i="15" s="1"/>
  <c r="G13" i="15" s="1"/>
  <c r="AN47" i="13"/>
  <c r="D42" i="15" s="1"/>
  <c r="G42" i="15" s="1"/>
  <c r="AN53" i="13"/>
  <c r="D48" i="15" s="1"/>
  <c r="G48" i="15" s="1"/>
  <c r="AN79" i="13"/>
  <c r="D74" i="15" s="1"/>
  <c r="G74" i="15" s="1"/>
  <c r="AN66" i="13"/>
  <c r="D61" i="15" s="1"/>
  <c r="G61" i="15" s="1"/>
  <c r="AN86" i="13"/>
  <c r="D81" i="15" s="1"/>
  <c r="G81" i="15" s="1"/>
  <c r="AN52" i="13"/>
  <c r="D47" i="15" s="1"/>
  <c r="G47" i="15" s="1"/>
  <c r="AN13" i="13"/>
  <c r="D11" i="15" s="1"/>
  <c r="G11" i="15" s="1"/>
  <c r="AN45" i="13"/>
  <c r="D40" i="15" s="1"/>
  <c r="G40" i="15" s="1"/>
  <c r="AN85" i="13"/>
  <c r="D80" i="15" s="1"/>
  <c r="G80" i="15" s="1"/>
  <c r="AN51" i="13"/>
  <c r="D46" i="15" s="1"/>
  <c r="G46" i="15" s="1"/>
  <c r="AN4" i="13"/>
  <c r="D2" i="15" s="1"/>
  <c r="AN84" i="13"/>
  <c r="D79" i="15" s="1"/>
  <c r="G79" i="15" s="1"/>
  <c r="AN77" i="13"/>
  <c r="D72" i="15" s="1"/>
  <c r="G72" i="15" s="1"/>
  <c r="AN64" i="13"/>
  <c r="D59" i="15" s="1"/>
  <c r="G59" i="15" s="1"/>
  <c r="AN43" i="13"/>
  <c r="D38" i="15" s="1"/>
  <c r="G38" i="15" s="1"/>
  <c r="AN83" i="13"/>
  <c r="D78" i="15" s="1"/>
  <c r="G78" i="15" s="1"/>
  <c r="AN20" i="13"/>
  <c r="D18" i="15" s="1"/>
  <c r="G18" i="15" s="1"/>
  <c r="AN67" i="13"/>
  <c r="D62" i="15" s="1"/>
  <c r="G62" i="15" s="1"/>
  <c r="AN68" i="13"/>
  <c r="D63" i="15" s="1"/>
  <c r="G63" i="15" s="1"/>
  <c r="AN82" i="13"/>
  <c r="D77" i="15" s="1"/>
  <c r="G77" i="15" s="1"/>
  <c r="AN61" i="13"/>
  <c r="D56" i="15" s="1"/>
  <c r="G56" i="15" s="1"/>
  <c r="AN39" i="13"/>
  <c r="D34" i="15" s="1"/>
  <c r="G34" i="15" s="1"/>
  <c r="AN75" i="13"/>
  <c r="D70" i="15" s="1"/>
  <c r="G70" i="15" s="1"/>
  <c r="AN41" i="13"/>
  <c r="D36" i="15" s="1"/>
  <c r="G36" i="15" s="1"/>
  <c r="AN88" i="13"/>
  <c r="D83" i="15" s="1"/>
  <c r="G83" i="15" s="1"/>
  <c r="AN60" i="13"/>
  <c r="D55" i="15" s="1"/>
  <c r="G55" i="15" s="1"/>
  <c r="AN18" i="13"/>
  <c r="D16" i="15" s="1"/>
  <c r="G16" i="15" s="1"/>
  <c r="AN56" i="13"/>
  <c r="D51" i="15" s="1"/>
  <c r="G51" i="15" s="1"/>
  <c r="AN37" i="13"/>
  <c r="D32" i="15" s="1"/>
  <c r="G32" i="15" s="1"/>
  <c r="AN73" i="13"/>
  <c r="D68" i="15" s="1"/>
  <c r="G68" i="15" s="1"/>
  <c r="AN32" i="13"/>
  <c r="D27" i="15" s="1"/>
  <c r="G27" i="15" s="1"/>
  <c r="AN36" i="13"/>
  <c r="D31" i="15" s="1"/>
  <c r="G31" i="15" s="1"/>
  <c r="AN72" i="13"/>
  <c r="D67" i="15" s="1"/>
  <c r="G67" i="15" s="1"/>
  <c r="AN78" i="13"/>
  <c r="D73" i="15" s="1"/>
  <c r="G73" i="15" s="1"/>
  <c r="AN34" i="13"/>
  <c r="D29" i="15" s="1"/>
  <c r="G29" i="15" s="1"/>
  <c r="AN14" i="13"/>
  <c r="D12" i="15" s="1"/>
  <c r="G12" i="15" s="1"/>
  <c r="AN87" i="13"/>
  <c r="D82" i="15" s="1"/>
  <c r="G82" i="15" s="1"/>
  <c r="AN12" i="13"/>
  <c r="D10" i="15" s="1"/>
  <c r="G10" i="15" s="1"/>
  <c r="AN33" i="13"/>
  <c r="D28" i="15" s="1"/>
  <c r="G28" i="15" s="1"/>
  <c r="AN63" i="13"/>
  <c r="D58" i="15" s="1"/>
  <c r="G58" i="15" s="1"/>
  <c r="AN65" i="13"/>
  <c r="D60" i="15" s="1"/>
  <c r="G60" i="15" s="1"/>
  <c r="AN81" i="13"/>
  <c r="D76" i="15" s="1"/>
  <c r="G76" i="15" s="1"/>
  <c r="AN50" i="13"/>
  <c r="D45" i="15" s="1"/>
  <c r="G45" i="15" s="1"/>
  <c r="AN31" i="13"/>
  <c r="D26" i="15" s="1"/>
  <c r="G26" i="15" s="1"/>
  <c r="AN291" i="13"/>
  <c r="D286" i="15" s="1"/>
  <c r="G286" i="15" s="1"/>
  <c r="I286" i="15" s="1"/>
  <c r="AN386" i="13"/>
  <c r="D381" i="15" s="1"/>
  <c r="G381" i="15" s="1"/>
  <c r="AN347" i="13"/>
  <c r="D342" i="15" s="1"/>
  <c r="G342" i="15" s="1"/>
  <c r="AN283" i="13"/>
  <c r="D278" i="15" s="1"/>
  <c r="G278" i="15" s="1"/>
  <c r="I278" i="15" s="1"/>
  <c r="AN385" i="13"/>
  <c r="D380" i="15" s="1"/>
  <c r="G380" i="15" s="1"/>
  <c r="AN342" i="13"/>
  <c r="D337" i="15" s="1"/>
  <c r="G337" i="15" s="1"/>
  <c r="AN278" i="13"/>
  <c r="D273" i="15" s="1"/>
  <c r="G273" i="15" s="1"/>
  <c r="I273" i="15" s="1"/>
  <c r="AN379" i="13"/>
  <c r="D374" i="15" s="1"/>
  <c r="G374" i="15" s="1"/>
  <c r="AN341" i="13"/>
  <c r="D336" i="15" s="1"/>
  <c r="G336" i="15" s="1"/>
  <c r="AN275" i="13"/>
  <c r="D270" i="15" s="1"/>
  <c r="G270" i="15" s="1"/>
  <c r="I270" i="15" s="1"/>
  <c r="AN411" i="13"/>
  <c r="D406" i="15" s="1"/>
  <c r="G406" i="15" s="1"/>
  <c r="AN378" i="13"/>
  <c r="D373" i="15" s="1"/>
  <c r="G373" i="15" s="1"/>
  <c r="AN339" i="13"/>
  <c r="D334" i="15" s="1"/>
  <c r="G334" i="15" s="1"/>
  <c r="AN267" i="13"/>
  <c r="D262" i="15" s="1"/>
  <c r="G262" i="15" s="1"/>
  <c r="I262" i="15" s="1"/>
  <c r="AN374" i="13"/>
  <c r="D369" i="15" s="1"/>
  <c r="G369" i="15" s="1"/>
  <c r="AN338" i="13"/>
  <c r="D333" i="15" s="1"/>
  <c r="G333" i="15" s="1"/>
  <c r="AN262" i="13"/>
  <c r="D257" i="15" s="1"/>
  <c r="G257" i="15" s="1"/>
  <c r="I257" i="15" s="1"/>
  <c r="AN406" i="13"/>
  <c r="D401" i="15" s="1"/>
  <c r="G401" i="15" s="1"/>
  <c r="AN373" i="13"/>
  <c r="D368" i="15" s="1"/>
  <c r="G368" i="15" s="1"/>
  <c r="AN259" i="13"/>
  <c r="D254" i="15" s="1"/>
  <c r="G254" i="15" s="1"/>
  <c r="I254" i="15" s="1"/>
  <c r="AN337" i="13"/>
  <c r="D332" i="15" s="1"/>
  <c r="G332" i="15" s="1"/>
  <c r="AN405" i="13"/>
  <c r="D400" i="15" s="1"/>
  <c r="G400" i="15" s="1"/>
  <c r="AN371" i="13"/>
  <c r="D366" i="15" s="1"/>
  <c r="G366" i="15" s="1"/>
  <c r="AN331" i="13"/>
  <c r="D326" i="15" s="1"/>
  <c r="G326" i="15" s="1"/>
  <c r="AN246" i="13"/>
  <c r="D241" i="15" s="1"/>
  <c r="G241" i="15" s="1"/>
  <c r="AN370" i="13"/>
  <c r="D365" i="15" s="1"/>
  <c r="G365" i="15" s="1"/>
  <c r="AN326" i="13"/>
  <c r="D321" i="15" s="1"/>
  <c r="G321" i="15" s="1"/>
  <c r="I321" i="15" s="1"/>
  <c r="AN230" i="13"/>
  <c r="D225" i="15" s="1"/>
  <c r="G225" i="15" s="1"/>
  <c r="AN410" i="13"/>
  <c r="D405" i="15" s="1"/>
  <c r="G405" i="15" s="1"/>
  <c r="AN404" i="13"/>
  <c r="D399" i="15" s="1"/>
  <c r="G399" i="15" s="1"/>
  <c r="AN403" i="13"/>
  <c r="D398" i="15" s="1"/>
  <c r="G398" i="15" s="1"/>
  <c r="AN369" i="13"/>
  <c r="D364" i="15" s="1"/>
  <c r="G364" i="15" s="1"/>
  <c r="AN323" i="13"/>
  <c r="D318" i="15" s="1"/>
  <c r="G318" i="15" s="1"/>
  <c r="I318" i="15" s="1"/>
  <c r="AN214" i="13"/>
  <c r="D209" i="15" s="1"/>
  <c r="G209" i="15" s="1"/>
  <c r="AN402" i="13"/>
  <c r="D397" i="15" s="1"/>
  <c r="G397" i="15" s="1"/>
  <c r="AN363" i="13"/>
  <c r="D358" i="15" s="1"/>
  <c r="G358" i="15" s="1"/>
  <c r="AN321" i="13"/>
  <c r="D316" i="15" s="1"/>
  <c r="G316" i="15" s="1"/>
  <c r="I316" i="15" s="1"/>
  <c r="AN198" i="13"/>
  <c r="D193" i="15" s="1"/>
  <c r="G193" i="15" s="1"/>
  <c r="AN401" i="13"/>
  <c r="D396" i="15" s="1"/>
  <c r="G396" i="15" s="1"/>
  <c r="AN362" i="13"/>
  <c r="D357" i="15" s="1"/>
  <c r="G357" i="15" s="1"/>
  <c r="AN315" i="13"/>
  <c r="D310" i="15" s="1"/>
  <c r="G310" i="15" s="1"/>
  <c r="I310" i="15" s="1"/>
  <c r="AN182" i="13"/>
  <c r="D177" i="15" s="1"/>
  <c r="G177" i="15" s="1"/>
  <c r="AN395" i="13"/>
  <c r="D390" i="15" s="1"/>
  <c r="G390" i="15" s="1"/>
  <c r="AN358" i="13"/>
  <c r="D353" i="15" s="1"/>
  <c r="G353" i="15" s="1"/>
  <c r="AN310" i="13"/>
  <c r="D305" i="15" s="1"/>
  <c r="G305" i="15" s="1"/>
  <c r="I305" i="15" s="1"/>
  <c r="AN166" i="13"/>
  <c r="D161" i="15" s="1"/>
  <c r="G161" i="15" s="1"/>
  <c r="I161" i="15" s="1"/>
  <c r="AN394" i="13"/>
  <c r="D389" i="15" s="1"/>
  <c r="G389" i="15" s="1"/>
  <c r="AN307" i="13"/>
  <c r="D302" i="15" s="1"/>
  <c r="G302" i="15" s="1"/>
  <c r="I302" i="15" s="1"/>
  <c r="AN150" i="13"/>
  <c r="D145" i="15" s="1"/>
  <c r="G145" i="15" s="1"/>
  <c r="I145" i="15" s="1"/>
  <c r="AN390" i="13"/>
  <c r="D385" i="15" s="1"/>
  <c r="G385" i="15" s="1"/>
  <c r="AN134" i="13"/>
  <c r="D129" i="15" s="1"/>
  <c r="G129" i="15" s="1"/>
  <c r="I129" i="15" s="1"/>
  <c r="AN299" i="13"/>
  <c r="D294" i="15" s="1"/>
  <c r="G294" i="15" s="1"/>
  <c r="I294" i="15" s="1"/>
  <c r="AN389" i="13"/>
  <c r="D384" i="15" s="1"/>
  <c r="G384" i="15" s="1"/>
  <c r="AN354" i="13"/>
  <c r="D349" i="15" s="1"/>
  <c r="G349" i="15" s="1"/>
  <c r="AN294" i="13"/>
  <c r="D289" i="15" s="1"/>
  <c r="G289" i="15" s="1"/>
  <c r="I289" i="15" s="1"/>
  <c r="AN118" i="13"/>
  <c r="D113" i="15" s="1"/>
  <c r="G113" i="15" s="1"/>
  <c r="I113" i="15" s="1"/>
  <c r="AN357" i="13"/>
  <c r="D352" i="15" s="1"/>
  <c r="G352" i="15" s="1"/>
  <c r="AN355" i="13"/>
  <c r="D350" i="15" s="1"/>
  <c r="G350" i="15" s="1"/>
  <c r="AN387" i="13"/>
  <c r="D382" i="15" s="1"/>
  <c r="G382" i="15" s="1"/>
  <c r="AN353" i="13"/>
  <c r="D348" i="15" s="1"/>
  <c r="G348" i="15" s="1"/>
  <c r="AN407" i="13"/>
  <c r="D402" i="15" s="1"/>
  <c r="G402" i="15" s="1"/>
  <c r="AN391" i="13"/>
  <c r="D386" i="15" s="1"/>
  <c r="G386" i="15" s="1"/>
  <c r="AN375" i="13"/>
  <c r="D370" i="15" s="1"/>
  <c r="G370" i="15" s="1"/>
  <c r="AN359" i="13"/>
  <c r="D354" i="15" s="1"/>
  <c r="G354" i="15" s="1"/>
  <c r="AN343" i="13"/>
  <c r="D338" i="15" s="1"/>
  <c r="G338" i="15" s="1"/>
  <c r="AN327" i="13"/>
  <c r="D322" i="15" s="1"/>
  <c r="G322" i="15" s="1"/>
  <c r="I322" i="15" s="1"/>
  <c r="AN311" i="13"/>
  <c r="D306" i="15" s="1"/>
  <c r="G306" i="15" s="1"/>
  <c r="I306" i="15" s="1"/>
  <c r="AN295" i="13"/>
  <c r="D290" i="15" s="1"/>
  <c r="G290" i="15" s="1"/>
  <c r="I290" i="15" s="1"/>
  <c r="AN279" i="13"/>
  <c r="D274" i="15" s="1"/>
  <c r="G274" i="15" s="1"/>
  <c r="I274" i="15" s="1"/>
  <c r="AN263" i="13"/>
  <c r="D258" i="15" s="1"/>
  <c r="G258" i="15" s="1"/>
  <c r="I258" i="15" s="1"/>
  <c r="AN247" i="13"/>
  <c r="D242" i="15" s="1"/>
  <c r="G242" i="15" s="1"/>
  <c r="AN231" i="13"/>
  <c r="D226" i="15" s="1"/>
  <c r="G226" i="15" s="1"/>
  <c r="AN215" i="13"/>
  <c r="D210" i="15" s="1"/>
  <c r="G210" i="15" s="1"/>
  <c r="AN199" i="13"/>
  <c r="D194" i="15" s="1"/>
  <c r="G194" i="15" s="1"/>
  <c r="AN183" i="13"/>
  <c r="D178" i="15" s="1"/>
  <c r="G178" i="15" s="1"/>
  <c r="AN167" i="13"/>
  <c r="D162" i="15" s="1"/>
  <c r="G162" i="15" s="1"/>
  <c r="I162" i="15" s="1"/>
  <c r="AN151" i="13"/>
  <c r="D146" i="15" s="1"/>
  <c r="G146" i="15" s="1"/>
  <c r="I146" i="15" s="1"/>
  <c r="AN135" i="13"/>
  <c r="D130" i="15" s="1"/>
  <c r="G130" i="15" s="1"/>
  <c r="I130" i="15" s="1"/>
  <c r="AN119" i="13"/>
  <c r="D114" i="15" s="1"/>
  <c r="G114" i="15" s="1"/>
  <c r="I114" i="15" s="1"/>
  <c r="AN103" i="13"/>
  <c r="D98" i="15" s="1"/>
  <c r="G98" i="15" s="1"/>
  <c r="I98" i="15" s="1"/>
  <c r="AN325" i="13"/>
  <c r="D320" i="15" s="1"/>
  <c r="G320" i="15" s="1"/>
  <c r="I320" i="15" s="1"/>
  <c r="AN309" i="13"/>
  <c r="D304" i="15" s="1"/>
  <c r="G304" i="15" s="1"/>
  <c r="I304" i="15" s="1"/>
  <c r="AN293" i="13"/>
  <c r="D288" i="15" s="1"/>
  <c r="G288" i="15" s="1"/>
  <c r="I288" i="15" s="1"/>
  <c r="AN277" i="13"/>
  <c r="D272" i="15" s="1"/>
  <c r="G272" i="15" s="1"/>
  <c r="I272" i="15" s="1"/>
  <c r="AN261" i="13"/>
  <c r="D256" i="15" s="1"/>
  <c r="G256" i="15" s="1"/>
  <c r="I256" i="15" s="1"/>
  <c r="AN245" i="13"/>
  <c r="D240" i="15" s="1"/>
  <c r="G240" i="15" s="1"/>
  <c r="AN229" i="13"/>
  <c r="D224" i="15" s="1"/>
  <c r="G224" i="15" s="1"/>
  <c r="AN213" i="13"/>
  <c r="D208" i="15" s="1"/>
  <c r="G208" i="15" s="1"/>
  <c r="AN197" i="13"/>
  <c r="D192" i="15" s="1"/>
  <c r="G192" i="15" s="1"/>
  <c r="AN181" i="13"/>
  <c r="D176" i="15" s="1"/>
  <c r="G176" i="15" s="1"/>
  <c r="AN165" i="13"/>
  <c r="D160" i="15" s="1"/>
  <c r="G160" i="15" s="1"/>
  <c r="I160" i="15" s="1"/>
  <c r="AN149" i="13"/>
  <c r="D144" i="15" s="1"/>
  <c r="G144" i="15" s="1"/>
  <c r="I144" i="15" s="1"/>
  <c r="AN133" i="13"/>
  <c r="D128" i="15" s="1"/>
  <c r="G128" i="15" s="1"/>
  <c r="I128" i="15" s="1"/>
  <c r="AN117" i="13"/>
  <c r="D112" i="15" s="1"/>
  <c r="G112" i="15" s="1"/>
  <c r="I112" i="15" s="1"/>
  <c r="AN101" i="13"/>
  <c r="D96" i="15" s="1"/>
  <c r="G96" i="15" s="1"/>
  <c r="I96" i="15" s="1"/>
  <c r="AN388" i="13"/>
  <c r="D383" i="15" s="1"/>
  <c r="G383" i="15" s="1"/>
  <c r="AN372" i="13"/>
  <c r="D367" i="15" s="1"/>
  <c r="G367" i="15" s="1"/>
  <c r="AN356" i="13"/>
  <c r="D351" i="15" s="1"/>
  <c r="G351" i="15" s="1"/>
  <c r="AN340" i="13"/>
  <c r="D335" i="15" s="1"/>
  <c r="G335" i="15" s="1"/>
  <c r="AN324" i="13"/>
  <c r="D319" i="15" s="1"/>
  <c r="G319" i="15" s="1"/>
  <c r="I319" i="15" s="1"/>
  <c r="AN308" i="13"/>
  <c r="D303" i="15" s="1"/>
  <c r="G303" i="15" s="1"/>
  <c r="I303" i="15" s="1"/>
  <c r="AN292" i="13"/>
  <c r="D287" i="15" s="1"/>
  <c r="G287" i="15" s="1"/>
  <c r="I287" i="15" s="1"/>
  <c r="AN276" i="13"/>
  <c r="D271" i="15" s="1"/>
  <c r="G271" i="15" s="1"/>
  <c r="I271" i="15" s="1"/>
  <c r="AN260" i="13"/>
  <c r="D255" i="15" s="1"/>
  <c r="G255" i="15" s="1"/>
  <c r="I255" i="15" s="1"/>
  <c r="AN244" i="13"/>
  <c r="D239" i="15" s="1"/>
  <c r="G239" i="15" s="1"/>
  <c r="AN228" i="13"/>
  <c r="D223" i="15" s="1"/>
  <c r="G223" i="15" s="1"/>
  <c r="AN212" i="13"/>
  <c r="D207" i="15" s="1"/>
  <c r="G207" i="15" s="1"/>
  <c r="AN196" i="13"/>
  <c r="D191" i="15" s="1"/>
  <c r="G191" i="15" s="1"/>
  <c r="AN180" i="13"/>
  <c r="D175" i="15" s="1"/>
  <c r="G175" i="15" s="1"/>
  <c r="AN164" i="13"/>
  <c r="D159" i="15" s="1"/>
  <c r="G159" i="15" s="1"/>
  <c r="I159" i="15" s="1"/>
  <c r="AN148" i="13"/>
  <c r="D143" i="15" s="1"/>
  <c r="G143" i="15" s="1"/>
  <c r="I143" i="15" s="1"/>
  <c r="AN132" i="13"/>
  <c r="D127" i="15" s="1"/>
  <c r="G127" i="15" s="1"/>
  <c r="I127" i="15" s="1"/>
  <c r="AN116" i="13"/>
  <c r="D111" i="15" s="1"/>
  <c r="G111" i="15" s="1"/>
  <c r="I111" i="15" s="1"/>
  <c r="AN100" i="13"/>
  <c r="D95" i="15" s="1"/>
  <c r="G95" i="15" s="1"/>
  <c r="I95" i="15" s="1"/>
  <c r="AN243" i="13"/>
  <c r="D238" i="15" s="1"/>
  <c r="G238" i="15" s="1"/>
  <c r="AN227" i="13"/>
  <c r="D222" i="15" s="1"/>
  <c r="G222" i="15" s="1"/>
  <c r="AN211" i="13"/>
  <c r="D206" i="15" s="1"/>
  <c r="G206" i="15" s="1"/>
  <c r="AN195" i="13"/>
  <c r="D190" i="15" s="1"/>
  <c r="G190" i="15" s="1"/>
  <c r="AN179" i="13"/>
  <c r="D174" i="15" s="1"/>
  <c r="G174" i="15" s="1"/>
  <c r="AN163" i="13"/>
  <c r="D158" i="15" s="1"/>
  <c r="G158" i="15" s="1"/>
  <c r="I158" i="15" s="1"/>
  <c r="AN147" i="13"/>
  <c r="D142" i="15" s="1"/>
  <c r="G142" i="15" s="1"/>
  <c r="I142" i="15" s="1"/>
  <c r="AN131" i="13"/>
  <c r="D126" i="15" s="1"/>
  <c r="G126" i="15" s="1"/>
  <c r="I126" i="15" s="1"/>
  <c r="AN115" i="13"/>
  <c r="D110" i="15" s="1"/>
  <c r="G110" i="15" s="1"/>
  <c r="I110" i="15" s="1"/>
  <c r="AN99" i="13"/>
  <c r="D94" i="15" s="1"/>
  <c r="G94" i="15" s="1"/>
  <c r="I94" i="15" s="1"/>
  <c r="AN322" i="13"/>
  <c r="D317" i="15" s="1"/>
  <c r="G317" i="15" s="1"/>
  <c r="I317" i="15" s="1"/>
  <c r="AN306" i="13"/>
  <c r="D301" i="15" s="1"/>
  <c r="G301" i="15" s="1"/>
  <c r="I301" i="15" s="1"/>
  <c r="AN290" i="13"/>
  <c r="D285" i="15" s="1"/>
  <c r="G285" i="15" s="1"/>
  <c r="I285" i="15" s="1"/>
  <c r="AN274" i="13"/>
  <c r="D269" i="15" s="1"/>
  <c r="G269" i="15" s="1"/>
  <c r="I269" i="15" s="1"/>
  <c r="AN258" i="13"/>
  <c r="D253" i="15" s="1"/>
  <c r="G253" i="15" s="1"/>
  <c r="I253" i="15" s="1"/>
  <c r="AN242" i="13"/>
  <c r="D237" i="15" s="1"/>
  <c r="G237" i="15" s="1"/>
  <c r="AN226" i="13"/>
  <c r="D221" i="15" s="1"/>
  <c r="G221" i="15" s="1"/>
  <c r="AN210" i="13"/>
  <c r="D205" i="15" s="1"/>
  <c r="G205" i="15" s="1"/>
  <c r="AN194" i="13"/>
  <c r="D189" i="15" s="1"/>
  <c r="G189" i="15" s="1"/>
  <c r="AN178" i="13"/>
  <c r="D173" i="15" s="1"/>
  <c r="G173" i="15" s="1"/>
  <c r="AN162" i="13"/>
  <c r="D157" i="15" s="1"/>
  <c r="G157" i="15" s="1"/>
  <c r="I157" i="15" s="1"/>
  <c r="AN146" i="13"/>
  <c r="D141" i="15" s="1"/>
  <c r="G141" i="15" s="1"/>
  <c r="I141" i="15" s="1"/>
  <c r="AN130" i="13"/>
  <c r="D125" i="15" s="1"/>
  <c r="G125" i="15" s="1"/>
  <c r="I125" i="15" s="1"/>
  <c r="AN114" i="13"/>
  <c r="D109" i="15" s="1"/>
  <c r="G109" i="15" s="1"/>
  <c r="I109" i="15" s="1"/>
  <c r="AN98" i="13"/>
  <c r="D93" i="15" s="1"/>
  <c r="G93" i="15" s="1"/>
  <c r="I93" i="15" s="1"/>
  <c r="AN305" i="13"/>
  <c r="D300" i="15" s="1"/>
  <c r="G300" i="15" s="1"/>
  <c r="I300" i="15" s="1"/>
  <c r="AN289" i="13"/>
  <c r="D284" i="15" s="1"/>
  <c r="G284" i="15" s="1"/>
  <c r="I284" i="15" s="1"/>
  <c r="AN273" i="13"/>
  <c r="D268" i="15" s="1"/>
  <c r="G268" i="15" s="1"/>
  <c r="I268" i="15" s="1"/>
  <c r="AN257" i="13"/>
  <c r="D252" i="15" s="1"/>
  <c r="G252" i="15" s="1"/>
  <c r="I252" i="15" s="1"/>
  <c r="AN241" i="13"/>
  <c r="D236" i="15" s="1"/>
  <c r="G236" i="15" s="1"/>
  <c r="AN225" i="13"/>
  <c r="D220" i="15" s="1"/>
  <c r="G220" i="15" s="1"/>
  <c r="AN209" i="13"/>
  <c r="D204" i="15" s="1"/>
  <c r="G204" i="15" s="1"/>
  <c r="AN193" i="13"/>
  <c r="D188" i="15" s="1"/>
  <c r="G188" i="15" s="1"/>
  <c r="AN177" i="13"/>
  <c r="D172" i="15" s="1"/>
  <c r="G172" i="15" s="1"/>
  <c r="AN161" i="13"/>
  <c r="D156" i="15" s="1"/>
  <c r="G156" i="15" s="1"/>
  <c r="I156" i="15" s="1"/>
  <c r="AN145" i="13"/>
  <c r="D140" i="15" s="1"/>
  <c r="G140" i="15" s="1"/>
  <c r="I140" i="15" s="1"/>
  <c r="AN129" i="13"/>
  <c r="D124" i="15" s="1"/>
  <c r="G124" i="15" s="1"/>
  <c r="I124" i="15" s="1"/>
  <c r="AN113" i="13"/>
  <c r="D108" i="15" s="1"/>
  <c r="G108" i="15" s="1"/>
  <c r="I108" i="15" s="1"/>
  <c r="AN97" i="13"/>
  <c r="D92" i="15" s="1"/>
  <c r="G92" i="15" s="1"/>
  <c r="I92" i="15" s="1"/>
  <c r="AN400" i="13"/>
  <c r="D395" i="15" s="1"/>
  <c r="G395" i="15" s="1"/>
  <c r="AN384" i="13"/>
  <c r="D379" i="15" s="1"/>
  <c r="G379" i="15" s="1"/>
  <c r="AN368" i="13"/>
  <c r="D363" i="15" s="1"/>
  <c r="G363" i="15" s="1"/>
  <c r="AN352" i="13"/>
  <c r="D347" i="15" s="1"/>
  <c r="G347" i="15" s="1"/>
  <c r="AN336" i="13"/>
  <c r="D331" i="15" s="1"/>
  <c r="G331" i="15" s="1"/>
  <c r="AN320" i="13"/>
  <c r="D315" i="15" s="1"/>
  <c r="G315" i="15" s="1"/>
  <c r="I315" i="15" s="1"/>
  <c r="AN304" i="13"/>
  <c r="D299" i="15" s="1"/>
  <c r="G299" i="15" s="1"/>
  <c r="I299" i="15" s="1"/>
  <c r="AN288" i="13"/>
  <c r="D283" i="15" s="1"/>
  <c r="G283" i="15" s="1"/>
  <c r="I283" i="15" s="1"/>
  <c r="AN272" i="13"/>
  <c r="D267" i="15" s="1"/>
  <c r="G267" i="15" s="1"/>
  <c r="I267" i="15" s="1"/>
  <c r="AN256" i="13"/>
  <c r="D251" i="15" s="1"/>
  <c r="G251" i="15" s="1"/>
  <c r="I251" i="15" s="1"/>
  <c r="AN240" i="13"/>
  <c r="D235" i="15" s="1"/>
  <c r="G235" i="15" s="1"/>
  <c r="AN224" i="13"/>
  <c r="D219" i="15" s="1"/>
  <c r="G219" i="15" s="1"/>
  <c r="AN208" i="13"/>
  <c r="D203" i="15" s="1"/>
  <c r="G203" i="15" s="1"/>
  <c r="AN192" i="13"/>
  <c r="D187" i="15" s="1"/>
  <c r="G187" i="15" s="1"/>
  <c r="AN176" i="13"/>
  <c r="D171" i="15" s="1"/>
  <c r="G171" i="15" s="1"/>
  <c r="AN160" i="13"/>
  <c r="D155" i="15" s="1"/>
  <c r="G155" i="15" s="1"/>
  <c r="I155" i="15" s="1"/>
  <c r="AN144" i="13"/>
  <c r="D139" i="15" s="1"/>
  <c r="G139" i="15" s="1"/>
  <c r="I139" i="15" s="1"/>
  <c r="AN128" i="13"/>
  <c r="D123" i="15" s="1"/>
  <c r="G123" i="15" s="1"/>
  <c r="I123" i="15" s="1"/>
  <c r="AN112" i="13"/>
  <c r="D107" i="15" s="1"/>
  <c r="G107" i="15" s="1"/>
  <c r="I107" i="15" s="1"/>
  <c r="AN96" i="13"/>
  <c r="D91" i="15" s="1"/>
  <c r="G91" i="15" s="1"/>
  <c r="I91" i="15" s="1"/>
  <c r="AN399" i="13"/>
  <c r="D394" i="15" s="1"/>
  <c r="G394" i="15" s="1"/>
  <c r="AN383" i="13"/>
  <c r="D378" i="15" s="1"/>
  <c r="G378" i="15" s="1"/>
  <c r="AN367" i="13"/>
  <c r="D362" i="15" s="1"/>
  <c r="G362" i="15" s="1"/>
  <c r="AN351" i="13"/>
  <c r="D346" i="15" s="1"/>
  <c r="G346" i="15" s="1"/>
  <c r="AN335" i="13"/>
  <c r="D330" i="15" s="1"/>
  <c r="G330" i="15" s="1"/>
  <c r="AN319" i="13"/>
  <c r="D314" i="15" s="1"/>
  <c r="G314" i="15" s="1"/>
  <c r="I314" i="15" s="1"/>
  <c r="AN303" i="13"/>
  <c r="D298" i="15" s="1"/>
  <c r="G298" i="15" s="1"/>
  <c r="I298" i="15" s="1"/>
  <c r="AN287" i="13"/>
  <c r="D282" i="15" s="1"/>
  <c r="G282" i="15" s="1"/>
  <c r="I282" i="15" s="1"/>
  <c r="AN271" i="13"/>
  <c r="D266" i="15" s="1"/>
  <c r="G266" i="15" s="1"/>
  <c r="I266" i="15" s="1"/>
  <c r="AN255" i="13"/>
  <c r="D250" i="15" s="1"/>
  <c r="G250" i="15" s="1"/>
  <c r="I250" i="15" s="1"/>
  <c r="AN239" i="13"/>
  <c r="D234" i="15" s="1"/>
  <c r="G234" i="15" s="1"/>
  <c r="AN223" i="13"/>
  <c r="D218" i="15" s="1"/>
  <c r="G218" i="15" s="1"/>
  <c r="AN207" i="13"/>
  <c r="D202" i="15" s="1"/>
  <c r="G202" i="15" s="1"/>
  <c r="AN191" i="13"/>
  <c r="D186" i="15" s="1"/>
  <c r="G186" i="15" s="1"/>
  <c r="AN175" i="13"/>
  <c r="D170" i="15" s="1"/>
  <c r="G170" i="15" s="1"/>
  <c r="AN159" i="13"/>
  <c r="D154" i="15" s="1"/>
  <c r="G154" i="15" s="1"/>
  <c r="I154" i="15" s="1"/>
  <c r="AN143" i="13"/>
  <c r="D138" i="15" s="1"/>
  <c r="G138" i="15" s="1"/>
  <c r="I138" i="15" s="1"/>
  <c r="AN127" i="13"/>
  <c r="D122" i="15" s="1"/>
  <c r="G122" i="15" s="1"/>
  <c r="I122" i="15" s="1"/>
  <c r="AN111" i="13"/>
  <c r="D106" i="15" s="1"/>
  <c r="G106" i="15" s="1"/>
  <c r="I106" i="15" s="1"/>
  <c r="AN95" i="13"/>
  <c r="D90" i="15" s="1"/>
  <c r="G90" i="15" s="1"/>
  <c r="I90" i="15" s="1"/>
  <c r="AN398" i="13"/>
  <c r="D393" i="15" s="1"/>
  <c r="G393" i="15" s="1"/>
  <c r="AN382" i="13"/>
  <c r="D377" i="15" s="1"/>
  <c r="G377" i="15" s="1"/>
  <c r="AN366" i="13"/>
  <c r="D361" i="15" s="1"/>
  <c r="G361" i="15" s="1"/>
  <c r="AN350" i="13"/>
  <c r="D345" i="15" s="1"/>
  <c r="G345" i="15" s="1"/>
  <c r="AN334" i="13"/>
  <c r="D329" i="15" s="1"/>
  <c r="G329" i="15" s="1"/>
  <c r="AN318" i="13"/>
  <c r="D313" i="15" s="1"/>
  <c r="G313" i="15" s="1"/>
  <c r="I313" i="15" s="1"/>
  <c r="AN302" i="13"/>
  <c r="D297" i="15" s="1"/>
  <c r="G297" i="15" s="1"/>
  <c r="I297" i="15" s="1"/>
  <c r="AN286" i="13"/>
  <c r="D281" i="15" s="1"/>
  <c r="G281" i="15" s="1"/>
  <c r="I281" i="15" s="1"/>
  <c r="AN270" i="13"/>
  <c r="D265" i="15" s="1"/>
  <c r="G265" i="15" s="1"/>
  <c r="I265" i="15" s="1"/>
  <c r="AN254" i="13"/>
  <c r="D249" i="15" s="1"/>
  <c r="G249" i="15" s="1"/>
  <c r="I249" i="15" s="1"/>
  <c r="AN238" i="13"/>
  <c r="D233" i="15" s="1"/>
  <c r="G233" i="15" s="1"/>
  <c r="AN222" i="13"/>
  <c r="D217" i="15" s="1"/>
  <c r="G217" i="15" s="1"/>
  <c r="AN206" i="13"/>
  <c r="D201" i="15" s="1"/>
  <c r="G201" i="15" s="1"/>
  <c r="AN190" i="13"/>
  <c r="D185" i="15" s="1"/>
  <c r="G185" i="15" s="1"/>
  <c r="AN174" i="13"/>
  <c r="D169" i="15" s="1"/>
  <c r="G169" i="15" s="1"/>
  <c r="AN158" i="13"/>
  <c r="D153" i="15" s="1"/>
  <c r="G153" i="15" s="1"/>
  <c r="I153" i="15" s="1"/>
  <c r="AN142" i="13"/>
  <c r="D137" i="15" s="1"/>
  <c r="G137" i="15" s="1"/>
  <c r="I137" i="15" s="1"/>
  <c r="AN126" i="13"/>
  <c r="D121" i="15" s="1"/>
  <c r="G121" i="15" s="1"/>
  <c r="I121" i="15" s="1"/>
  <c r="AN110" i="13"/>
  <c r="D105" i="15" s="1"/>
  <c r="G105" i="15" s="1"/>
  <c r="I105" i="15" s="1"/>
  <c r="AN94" i="13"/>
  <c r="D89" i="15" s="1"/>
  <c r="G89" i="15" s="1"/>
  <c r="I89" i="15" s="1"/>
  <c r="AN397" i="13"/>
  <c r="D392" i="15" s="1"/>
  <c r="G392" i="15" s="1"/>
  <c r="AN381" i="13"/>
  <c r="D376" i="15" s="1"/>
  <c r="G376" i="15" s="1"/>
  <c r="AN365" i="13"/>
  <c r="D360" i="15" s="1"/>
  <c r="G360" i="15" s="1"/>
  <c r="AN349" i="13"/>
  <c r="D344" i="15" s="1"/>
  <c r="G344" i="15" s="1"/>
  <c r="AN333" i="13"/>
  <c r="D328" i="15" s="1"/>
  <c r="G328" i="15" s="1"/>
  <c r="AN317" i="13"/>
  <c r="D312" i="15" s="1"/>
  <c r="G312" i="15" s="1"/>
  <c r="I312" i="15" s="1"/>
  <c r="AN301" i="13"/>
  <c r="D296" i="15" s="1"/>
  <c r="G296" i="15" s="1"/>
  <c r="I296" i="15" s="1"/>
  <c r="AN285" i="13"/>
  <c r="D280" i="15" s="1"/>
  <c r="G280" i="15" s="1"/>
  <c r="I280" i="15" s="1"/>
  <c r="AN269" i="13"/>
  <c r="D264" i="15" s="1"/>
  <c r="G264" i="15" s="1"/>
  <c r="I264" i="15" s="1"/>
  <c r="AN253" i="13"/>
  <c r="D248" i="15" s="1"/>
  <c r="G248" i="15" s="1"/>
  <c r="I248" i="15" s="1"/>
  <c r="AN237" i="13"/>
  <c r="D232" i="15" s="1"/>
  <c r="G232" i="15" s="1"/>
  <c r="AN221" i="13"/>
  <c r="D216" i="15" s="1"/>
  <c r="G216" i="15" s="1"/>
  <c r="AN205" i="13"/>
  <c r="D200" i="15" s="1"/>
  <c r="G200" i="15" s="1"/>
  <c r="AN189" i="13"/>
  <c r="D184" i="15" s="1"/>
  <c r="G184" i="15" s="1"/>
  <c r="AN173" i="13"/>
  <c r="D168" i="15" s="1"/>
  <c r="G168" i="15" s="1"/>
  <c r="AN157" i="13"/>
  <c r="D152" i="15" s="1"/>
  <c r="G152" i="15" s="1"/>
  <c r="I152" i="15" s="1"/>
  <c r="AN141" i="13"/>
  <c r="D136" i="15" s="1"/>
  <c r="G136" i="15" s="1"/>
  <c r="I136" i="15" s="1"/>
  <c r="AN125" i="13"/>
  <c r="D120" i="15" s="1"/>
  <c r="G120" i="15" s="1"/>
  <c r="I120" i="15" s="1"/>
  <c r="AN109" i="13"/>
  <c r="D104" i="15" s="1"/>
  <c r="G104" i="15" s="1"/>
  <c r="I104" i="15" s="1"/>
  <c r="AN93" i="13"/>
  <c r="D88" i="15" s="1"/>
  <c r="G88" i="15" s="1"/>
  <c r="I88" i="15" s="1"/>
  <c r="AN396" i="13"/>
  <c r="D391" i="15" s="1"/>
  <c r="G391" i="15" s="1"/>
  <c r="AN380" i="13"/>
  <c r="D375" i="15" s="1"/>
  <c r="G375" i="15" s="1"/>
  <c r="AN364" i="13"/>
  <c r="D359" i="15" s="1"/>
  <c r="G359" i="15" s="1"/>
  <c r="AN348" i="13"/>
  <c r="D343" i="15" s="1"/>
  <c r="G343" i="15" s="1"/>
  <c r="AN332" i="13"/>
  <c r="D327" i="15" s="1"/>
  <c r="G327" i="15" s="1"/>
  <c r="AN316" i="13"/>
  <c r="D311" i="15" s="1"/>
  <c r="G311" i="15" s="1"/>
  <c r="I311" i="15" s="1"/>
  <c r="AN300" i="13"/>
  <c r="D295" i="15" s="1"/>
  <c r="G295" i="15" s="1"/>
  <c r="I295" i="15" s="1"/>
  <c r="AN284" i="13"/>
  <c r="D279" i="15" s="1"/>
  <c r="G279" i="15" s="1"/>
  <c r="I279" i="15" s="1"/>
  <c r="AN268" i="13"/>
  <c r="D263" i="15" s="1"/>
  <c r="G263" i="15" s="1"/>
  <c r="I263" i="15" s="1"/>
  <c r="AN252" i="13"/>
  <c r="D247" i="15" s="1"/>
  <c r="G247" i="15" s="1"/>
  <c r="I247" i="15" s="1"/>
  <c r="AN236" i="13"/>
  <c r="D231" i="15" s="1"/>
  <c r="G231" i="15" s="1"/>
  <c r="AN220" i="13"/>
  <c r="D215" i="15" s="1"/>
  <c r="G215" i="15" s="1"/>
  <c r="AN204" i="13"/>
  <c r="D199" i="15" s="1"/>
  <c r="G199" i="15" s="1"/>
  <c r="AN188" i="13"/>
  <c r="D183" i="15" s="1"/>
  <c r="G183" i="15" s="1"/>
  <c r="AN172" i="13"/>
  <c r="D167" i="15" s="1"/>
  <c r="G167" i="15" s="1"/>
  <c r="AN156" i="13"/>
  <c r="D151" i="15" s="1"/>
  <c r="G151" i="15" s="1"/>
  <c r="I151" i="15" s="1"/>
  <c r="AN140" i="13"/>
  <c r="D135" i="15" s="1"/>
  <c r="G135" i="15" s="1"/>
  <c r="I135" i="15" s="1"/>
  <c r="AN124" i="13"/>
  <c r="D119" i="15" s="1"/>
  <c r="G119" i="15" s="1"/>
  <c r="I119" i="15" s="1"/>
  <c r="AN108" i="13"/>
  <c r="D103" i="15" s="1"/>
  <c r="G103" i="15" s="1"/>
  <c r="I103" i="15" s="1"/>
  <c r="AN92" i="13"/>
  <c r="D87" i="15" s="1"/>
  <c r="G87" i="15" s="1"/>
  <c r="I87" i="15" s="1"/>
  <c r="AN251" i="13"/>
  <c r="D246" i="15" s="1"/>
  <c r="G246" i="15" s="1"/>
  <c r="I246" i="15" s="1"/>
  <c r="AN235" i="13"/>
  <c r="D230" i="15" s="1"/>
  <c r="G230" i="15" s="1"/>
  <c r="AN219" i="13"/>
  <c r="D214" i="15" s="1"/>
  <c r="G214" i="15" s="1"/>
  <c r="AN203" i="13"/>
  <c r="D198" i="15" s="1"/>
  <c r="G198" i="15" s="1"/>
  <c r="AN187" i="13"/>
  <c r="D182" i="15" s="1"/>
  <c r="G182" i="15" s="1"/>
  <c r="AN171" i="13"/>
  <c r="D166" i="15" s="1"/>
  <c r="G166" i="15" s="1"/>
  <c r="AN155" i="13"/>
  <c r="D150" i="15" s="1"/>
  <c r="G150" i="15" s="1"/>
  <c r="I150" i="15" s="1"/>
  <c r="AN139" i="13"/>
  <c r="D134" i="15" s="1"/>
  <c r="G134" i="15" s="1"/>
  <c r="I134" i="15" s="1"/>
  <c r="AN123" i="13"/>
  <c r="D118" i="15" s="1"/>
  <c r="G118" i="15" s="1"/>
  <c r="I118" i="15" s="1"/>
  <c r="AN107" i="13"/>
  <c r="D102" i="15" s="1"/>
  <c r="G102" i="15" s="1"/>
  <c r="I102" i="15" s="1"/>
  <c r="AN91" i="13"/>
  <c r="D86" i="15" s="1"/>
  <c r="G86" i="15" s="1"/>
  <c r="I86" i="15" s="1"/>
  <c r="AN346" i="13"/>
  <c r="D341" i="15" s="1"/>
  <c r="G341" i="15" s="1"/>
  <c r="AN330" i="13"/>
  <c r="D325" i="15" s="1"/>
  <c r="G325" i="15" s="1"/>
  <c r="AN314" i="13"/>
  <c r="D309" i="15" s="1"/>
  <c r="G309" i="15" s="1"/>
  <c r="I309" i="15" s="1"/>
  <c r="AN298" i="13"/>
  <c r="D293" i="15" s="1"/>
  <c r="G293" i="15" s="1"/>
  <c r="I293" i="15" s="1"/>
  <c r="AN282" i="13"/>
  <c r="D277" i="15" s="1"/>
  <c r="G277" i="15" s="1"/>
  <c r="I277" i="15" s="1"/>
  <c r="AN266" i="13"/>
  <c r="D261" i="15" s="1"/>
  <c r="G261" i="15" s="1"/>
  <c r="I261" i="15" s="1"/>
  <c r="AN250" i="13"/>
  <c r="D245" i="15" s="1"/>
  <c r="G245" i="15" s="1"/>
  <c r="I245" i="15" s="1"/>
  <c r="AN234" i="13"/>
  <c r="D229" i="15" s="1"/>
  <c r="G229" i="15" s="1"/>
  <c r="AN218" i="13"/>
  <c r="D213" i="15" s="1"/>
  <c r="G213" i="15" s="1"/>
  <c r="AN202" i="13"/>
  <c r="D197" i="15" s="1"/>
  <c r="G197" i="15" s="1"/>
  <c r="AN186" i="13"/>
  <c r="D181" i="15" s="1"/>
  <c r="G181" i="15" s="1"/>
  <c r="AN170" i="13"/>
  <c r="D165" i="15" s="1"/>
  <c r="G165" i="15" s="1"/>
  <c r="AN154" i="13"/>
  <c r="D149" i="15" s="1"/>
  <c r="G149" i="15" s="1"/>
  <c r="I149" i="15" s="1"/>
  <c r="AN138" i="13"/>
  <c r="D133" i="15" s="1"/>
  <c r="G133" i="15" s="1"/>
  <c r="I133" i="15" s="1"/>
  <c r="AN122" i="13"/>
  <c r="D117" i="15" s="1"/>
  <c r="G117" i="15" s="1"/>
  <c r="I117" i="15" s="1"/>
  <c r="AN106" i="13"/>
  <c r="D101" i="15" s="1"/>
  <c r="G101" i="15" s="1"/>
  <c r="I101" i="15" s="1"/>
  <c r="AN90" i="13"/>
  <c r="D85" i="15" s="1"/>
  <c r="G85" i="15" s="1"/>
  <c r="I85" i="15" s="1"/>
  <c r="AN409" i="13"/>
  <c r="D404" i="15" s="1"/>
  <c r="G404" i="15" s="1"/>
  <c r="AN393" i="13"/>
  <c r="D388" i="15" s="1"/>
  <c r="G388" i="15" s="1"/>
  <c r="AN377" i="13"/>
  <c r="D372" i="15" s="1"/>
  <c r="G372" i="15" s="1"/>
  <c r="AN361" i="13"/>
  <c r="D356" i="15" s="1"/>
  <c r="G356" i="15" s="1"/>
  <c r="AN345" i="13"/>
  <c r="D340" i="15" s="1"/>
  <c r="G340" i="15" s="1"/>
  <c r="AN329" i="13"/>
  <c r="D324" i="15" s="1"/>
  <c r="G324" i="15" s="1"/>
  <c r="I324" i="15" s="1"/>
  <c r="AN313" i="13"/>
  <c r="D308" i="15" s="1"/>
  <c r="G308" i="15" s="1"/>
  <c r="I308" i="15" s="1"/>
  <c r="AN297" i="13"/>
  <c r="D292" i="15" s="1"/>
  <c r="G292" i="15" s="1"/>
  <c r="I292" i="15" s="1"/>
  <c r="AN281" i="13"/>
  <c r="D276" i="15" s="1"/>
  <c r="G276" i="15" s="1"/>
  <c r="I276" i="15" s="1"/>
  <c r="AN265" i="13"/>
  <c r="D260" i="15" s="1"/>
  <c r="G260" i="15" s="1"/>
  <c r="I260" i="15" s="1"/>
  <c r="AN249" i="13"/>
  <c r="D244" i="15" s="1"/>
  <c r="G244" i="15" s="1"/>
  <c r="AN233" i="13"/>
  <c r="D228" i="15" s="1"/>
  <c r="G228" i="15" s="1"/>
  <c r="AN217" i="13"/>
  <c r="D212" i="15" s="1"/>
  <c r="G212" i="15" s="1"/>
  <c r="AN201" i="13"/>
  <c r="D196" i="15" s="1"/>
  <c r="G196" i="15" s="1"/>
  <c r="AN185" i="13"/>
  <c r="D180" i="15" s="1"/>
  <c r="G180" i="15" s="1"/>
  <c r="AN169" i="13"/>
  <c r="D164" i="15" s="1"/>
  <c r="G164" i="15" s="1"/>
  <c r="AN153" i="13"/>
  <c r="D148" i="15" s="1"/>
  <c r="G148" i="15" s="1"/>
  <c r="I148" i="15" s="1"/>
  <c r="AN137" i="13"/>
  <c r="D132" i="15" s="1"/>
  <c r="G132" i="15" s="1"/>
  <c r="I132" i="15" s="1"/>
  <c r="AN121" i="13"/>
  <c r="D116" i="15" s="1"/>
  <c r="G116" i="15" s="1"/>
  <c r="I116" i="15" s="1"/>
  <c r="AN105" i="13"/>
  <c r="D100" i="15" s="1"/>
  <c r="G100" i="15" s="1"/>
  <c r="I100" i="15" s="1"/>
  <c r="AN89" i="13"/>
  <c r="D84" i="15" s="1"/>
  <c r="G84" i="15" s="1"/>
  <c r="I84" i="15" s="1"/>
  <c r="AN408" i="13"/>
  <c r="D403" i="15" s="1"/>
  <c r="G403" i="15" s="1"/>
  <c r="AN392" i="13"/>
  <c r="D387" i="15" s="1"/>
  <c r="G387" i="15" s="1"/>
  <c r="AN376" i="13"/>
  <c r="D371" i="15" s="1"/>
  <c r="G371" i="15" s="1"/>
  <c r="AN360" i="13"/>
  <c r="D355" i="15" s="1"/>
  <c r="G355" i="15" s="1"/>
  <c r="AN344" i="13"/>
  <c r="D339" i="15" s="1"/>
  <c r="G339" i="15" s="1"/>
  <c r="AN328" i="13"/>
  <c r="D323" i="15" s="1"/>
  <c r="G323" i="15" s="1"/>
  <c r="I323" i="15" s="1"/>
  <c r="AN312" i="13"/>
  <c r="D307" i="15" s="1"/>
  <c r="G307" i="15" s="1"/>
  <c r="I307" i="15" s="1"/>
  <c r="AN296" i="13"/>
  <c r="D291" i="15" s="1"/>
  <c r="G291" i="15" s="1"/>
  <c r="I291" i="15" s="1"/>
  <c r="AN280" i="13"/>
  <c r="D275" i="15" s="1"/>
  <c r="G275" i="15" s="1"/>
  <c r="I275" i="15" s="1"/>
  <c r="AN264" i="13"/>
  <c r="D259" i="15" s="1"/>
  <c r="G259" i="15" s="1"/>
  <c r="I259" i="15" s="1"/>
  <c r="AN248" i="13"/>
  <c r="D243" i="15" s="1"/>
  <c r="G243" i="15" s="1"/>
  <c r="AN232" i="13"/>
  <c r="D227" i="15" s="1"/>
  <c r="G227" i="15" s="1"/>
  <c r="AN216" i="13"/>
  <c r="D211" i="15" s="1"/>
  <c r="G211" i="15" s="1"/>
  <c r="AN200" i="13"/>
  <c r="D195" i="15" s="1"/>
  <c r="G195" i="15" s="1"/>
  <c r="AN184" i="13"/>
  <c r="D179" i="15" s="1"/>
  <c r="G179" i="15" s="1"/>
  <c r="AN168" i="13"/>
  <c r="D163" i="15" s="1"/>
  <c r="G163" i="15" s="1"/>
  <c r="I163" i="15" s="1"/>
  <c r="AN152" i="13"/>
  <c r="D147" i="15" s="1"/>
  <c r="G147" i="15" s="1"/>
  <c r="I147" i="15" s="1"/>
  <c r="AN136" i="13"/>
  <c r="D131" i="15" s="1"/>
  <c r="G131" i="15" s="1"/>
  <c r="I131" i="15" s="1"/>
  <c r="AN120" i="13"/>
  <c r="D115" i="15" s="1"/>
  <c r="G115" i="15" s="1"/>
  <c r="I115" i="15" s="1"/>
  <c r="AN104" i="13"/>
  <c r="D99" i="15" s="1"/>
  <c r="G99" i="15" s="1"/>
  <c r="I99" i="15" s="1"/>
  <c r="D3" i="6"/>
  <c r="D4" i="6"/>
  <c r="D5" i="6"/>
  <c r="D6" i="6"/>
  <c r="D7" i="6"/>
  <c r="D2" i="6"/>
  <c r="E115" i="11"/>
  <c r="E116" i="11"/>
  <c r="E117" i="11"/>
  <c r="E118" i="11"/>
  <c r="E119" i="11"/>
  <c r="E120" i="11"/>
  <c r="E121" i="11"/>
  <c r="E122" i="11"/>
  <c r="E123" i="11"/>
  <c r="E124" i="11"/>
  <c r="E125" i="11"/>
  <c r="E126" i="11"/>
  <c r="E127" i="11"/>
  <c r="E128" i="11"/>
  <c r="E129" i="11"/>
  <c r="E114" i="11"/>
  <c r="E99" i="11"/>
  <c r="E100" i="11"/>
  <c r="E101" i="11"/>
  <c r="E102" i="11"/>
  <c r="E103" i="11"/>
  <c r="E104" i="11"/>
  <c r="E105" i="11"/>
  <c r="E106" i="11"/>
  <c r="E107" i="11"/>
  <c r="E108" i="11"/>
  <c r="E109" i="11"/>
  <c r="E110" i="11"/>
  <c r="E111" i="11"/>
  <c r="E112" i="11"/>
  <c r="E113" i="11"/>
  <c r="E98" i="11"/>
  <c r="E94" i="11"/>
  <c r="E95" i="11"/>
  <c r="E96" i="11"/>
  <c r="E97" i="11"/>
  <c r="E83" i="11"/>
  <c r="E84" i="11"/>
  <c r="E85" i="11"/>
  <c r="E86" i="11"/>
  <c r="E87" i="11"/>
  <c r="E88" i="11"/>
  <c r="E89" i="11"/>
  <c r="E90" i="11"/>
  <c r="E91" i="11"/>
  <c r="E92" i="11"/>
  <c r="E93" i="11"/>
  <c r="E82" i="11"/>
  <c r="E67" i="11"/>
  <c r="E68" i="11"/>
  <c r="E69" i="11"/>
  <c r="E70" i="11"/>
  <c r="E71" i="11"/>
  <c r="E72" i="11"/>
  <c r="E73" i="11"/>
  <c r="E74" i="11"/>
  <c r="E75" i="11"/>
  <c r="E76" i="11"/>
  <c r="E77" i="11"/>
  <c r="E78" i="11"/>
  <c r="E79" i="11"/>
  <c r="E80" i="11"/>
  <c r="E81" i="11"/>
  <c r="E66" i="11"/>
  <c r="E51" i="11"/>
  <c r="E52" i="11"/>
  <c r="E53" i="11"/>
  <c r="E54" i="11"/>
  <c r="E55" i="11"/>
  <c r="E56" i="11"/>
  <c r="E57" i="11"/>
  <c r="E58" i="11"/>
  <c r="E59" i="11"/>
  <c r="E60" i="11"/>
  <c r="E61" i="11"/>
  <c r="E62" i="11"/>
  <c r="E63" i="11"/>
  <c r="E64" i="11"/>
  <c r="E65" i="11"/>
  <c r="E50" i="11"/>
  <c r="E35" i="11"/>
  <c r="E36" i="11"/>
  <c r="E37" i="11"/>
  <c r="E38" i="11"/>
  <c r="E39" i="11"/>
  <c r="E40" i="11"/>
  <c r="E41" i="11"/>
  <c r="E42" i="11"/>
  <c r="E43" i="11"/>
  <c r="E44" i="11"/>
  <c r="E45" i="11"/>
  <c r="E46" i="11"/>
  <c r="E47" i="11"/>
  <c r="E48" i="11"/>
  <c r="E49" i="11"/>
  <c r="E34" i="11"/>
  <c r="E19" i="11"/>
  <c r="E20" i="11"/>
  <c r="E21" i="11"/>
  <c r="E22" i="11"/>
  <c r="E23" i="11"/>
  <c r="E24" i="11"/>
  <c r="E25" i="11"/>
  <c r="E26" i="11"/>
  <c r="E27" i="11"/>
  <c r="E28" i="11"/>
  <c r="E29" i="11"/>
  <c r="E30" i="11"/>
  <c r="E31" i="11"/>
  <c r="E32" i="11"/>
  <c r="E33" i="11"/>
  <c r="E18" i="11"/>
  <c r="E3" i="11"/>
  <c r="E4" i="11"/>
  <c r="E5" i="11"/>
  <c r="E6" i="11"/>
  <c r="E7" i="11"/>
  <c r="E8" i="11"/>
  <c r="E9" i="11"/>
  <c r="E10" i="11"/>
  <c r="E11" i="11"/>
  <c r="E12" i="11"/>
  <c r="E13" i="11"/>
  <c r="E14" i="11"/>
  <c r="E15" i="11"/>
  <c r="E16" i="11"/>
  <c r="E17" i="11"/>
  <c r="E2" i="11"/>
  <c r="D60" i="6"/>
  <c r="D61" i="6"/>
  <c r="D62" i="6"/>
  <c r="D63" i="6"/>
  <c r="D64" i="6"/>
  <c r="D65" i="6"/>
  <c r="D66" i="6"/>
  <c r="D67" i="6"/>
  <c r="D68" i="6"/>
  <c r="D69" i="6"/>
  <c r="D59" i="6"/>
  <c r="D49" i="6"/>
  <c r="D50" i="6"/>
  <c r="D51" i="6"/>
  <c r="D52" i="6"/>
  <c r="D53" i="6"/>
  <c r="D54" i="6"/>
  <c r="D55" i="6"/>
  <c r="D56" i="6"/>
  <c r="D57" i="6"/>
  <c r="D58" i="6"/>
  <c r="D48" i="6"/>
  <c r="D38" i="6"/>
  <c r="D39" i="6"/>
  <c r="D40" i="6"/>
  <c r="D41" i="6"/>
  <c r="D42" i="6"/>
  <c r="D43" i="6"/>
  <c r="D44" i="6"/>
  <c r="D45" i="6"/>
  <c r="D46" i="6"/>
  <c r="D47" i="6"/>
  <c r="D37" i="6"/>
  <c r="D27" i="6"/>
  <c r="D28" i="6"/>
  <c r="D29" i="6"/>
  <c r="D30" i="6"/>
  <c r="D31" i="6"/>
  <c r="D32" i="6"/>
  <c r="D33" i="6"/>
  <c r="D34" i="6"/>
  <c r="D35" i="6"/>
  <c r="D36" i="6"/>
  <c r="D26" i="6"/>
  <c r="B3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2" i="4"/>
  <c r="D179" i="8"/>
  <c r="D180" i="8"/>
  <c r="D181" i="8"/>
  <c r="D182" i="8"/>
  <c r="D183" i="8"/>
  <c r="D184" i="8"/>
  <c r="D185" i="8"/>
  <c r="D186" i="8"/>
  <c r="D187" i="8"/>
  <c r="D188" i="8"/>
  <c r="D189" i="8"/>
  <c r="D190" i="8"/>
  <c r="D191" i="8"/>
  <c r="D192" i="8"/>
  <c r="D193" i="8"/>
  <c r="D178" i="8"/>
  <c r="D163" i="8"/>
  <c r="D164" i="8"/>
  <c r="D165" i="8"/>
  <c r="D166" i="8"/>
  <c r="D167" i="8"/>
  <c r="D168" i="8"/>
  <c r="D169" i="8"/>
  <c r="D170" i="8"/>
  <c r="D171" i="8"/>
  <c r="D172" i="8"/>
  <c r="D173" i="8"/>
  <c r="D174" i="8"/>
  <c r="D175" i="8"/>
  <c r="D176" i="8"/>
  <c r="D177" i="8"/>
  <c r="D162" i="8"/>
  <c r="D147" i="8"/>
  <c r="D148" i="8"/>
  <c r="D149" i="8"/>
  <c r="D150" i="8"/>
  <c r="D151" i="8"/>
  <c r="D152" i="8"/>
  <c r="D153" i="8"/>
  <c r="D154" i="8"/>
  <c r="D155" i="8"/>
  <c r="D156" i="8"/>
  <c r="D157" i="8"/>
  <c r="D158" i="8"/>
  <c r="D159" i="8"/>
  <c r="D160" i="8"/>
  <c r="D161" i="8"/>
  <c r="D146" i="8"/>
  <c r="D131" i="8"/>
  <c r="D132" i="8"/>
  <c r="D133" i="8"/>
  <c r="D134" i="8"/>
  <c r="D135" i="8"/>
  <c r="D136" i="8"/>
  <c r="D137" i="8"/>
  <c r="D138" i="8"/>
  <c r="D139" i="8"/>
  <c r="D140" i="8"/>
  <c r="D141" i="8"/>
  <c r="D142" i="8"/>
  <c r="D143" i="8"/>
  <c r="D144" i="8"/>
  <c r="D145" i="8"/>
  <c r="D130" i="8"/>
  <c r="D115" i="8"/>
  <c r="D116" i="8"/>
  <c r="D117" i="8"/>
  <c r="D118" i="8"/>
  <c r="D119" i="8"/>
  <c r="D120" i="8"/>
  <c r="D121" i="8"/>
  <c r="D122" i="8"/>
  <c r="D123" i="8"/>
  <c r="D124" i="8"/>
  <c r="D125" i="8"/>
  <c r="D126" i="8"/>
  <c r="D127" i="8"/>
  <c r="D128" i="8"/>
  <c r="D129" i="8"/>
  <c r="D114" i="8"/>
  <c r="D111" i="8"/>
  <c r="D112" i="8"/>
  <c r="D113" i="8"/>
  <c r="D99" i="8"/>
  <c r="D100" i="8"/>
  <c r="D101" i="8"/>
  <c r="D102" i="8"/>
  <c r="D103" i="8"/>
  <c r="D104" i="8"/>
  <c r="D105" i="8"/>
  <c r="D106" i="8"/>
  <c r="D107" i="8"/>
  <c r="D108" i="8"/>
  <c r="D109" i="8"/>
  <c r="D110" i="8"/>
  <c r="D98" i="8"/>
  <c r="D97" i="8"/>
  <c r="D81" i="8"/>
  <c r="D65" i="8"/>
  <c r="D35" i="8"/>
  <c r="D36" i="8"/>
  <c r="D37" i="8"/>
  <c r="D38" i="8"/>
  <c r="D39" i="8"/>
  <c r="D40" i="8"/>
  <c r="D41" i="8"/>
  <c r="D42" i="8"/>
  <c r="D43" i="8"/>
  <c r="D44" i="8"/>
  <c r="D45" i="8"/>
  <c r="D46" i="8"/>
  <c r="D47" i="8"/>
  <c r="D48" i="8"/>
  <c r="D49" i="8"/>
  <c r="D34" i="8"/>
  <c r="D19" i="8"/>
  <c r="D20" i="8"/>
  <c r="D21" i="8"/>
  <c r="D22" i="8"/>
  <c r="D23" i="8"/>
  <c r="D24" i="8"/>
  <c r="D25" i="8"/>
  <c r="D26" i="8"/>
  <c r="D27" i="8"/>
  <c r="D28" i="8"/>
  <c r="D29" i="8"/>
  <c r="D30" i="8"/>
  <c r="D31" i="8"/>
  <c r="D32" i="8"/>
  <c r="D33" i="8"/>
  <c r="D18" i="8"/>
  <c r="D3" i="8"/>
  <c r="D4" i="8"/>
  <c r="D5" i="8"/>
  <c r="D6" i="8"/>
  <c r="D7" i="8"/>
  <c r="D8" i="8"/>
  <c r="D9" i="8"/>
  <c r="D10" i="8"/>
  <c r="D11" i="8"/>
  <c r="D12" i="8"/>
  <c r="D13" i="8"/>
  <c r="D14" i="8"/>
  <c r="D15" i="8"/>
  <c r="D16" i="8"/>
  <c r="D17" i="8"/>
  <c r="D2" i="8"/>
  <c r="M60" i="3"/>
  <c r="N60" i="3"/>
  <c r="O60" i="3"/>
  <c r="P60" i="3"/>
  <c r="N59" i="3"/>
  <c r="O59" i="3"/>
  <c r="P59" i="3"/>
  <c r="N61" i="3"/>
  <c r="O61" i="3"/>
  <c r="P61" i="3"/>
  <c r="N62" i="3"/>
  <c r="O62" i="3"/>
  <c r="P62" i="3"/>
  <c r="N63" i="3"/>
  <c r="O63" i="3"/>
  <c r="P63" i="3"/>
  <c r="N64" i="3"/>
  <c r="O64" i="3"/>
  <c r="P64" i="3"/>
  <c r="N65" i="3"/>
  <c r="O65" i="3"/>
  <c r="P65" i="3"/>
  <c r="N66" i="3"/>
  <c r="O66" i="3"/>
  <c r="P66" i="3"/>
  <c r="M66" i="3"/>
  <c r="M65" i="3"/>
  <c r="M64" i="3"/>
  <c r="M63" i="3"/>
  <c r="M62" i="3"/>
  <c r="M61" i="3"/>
  <c r="M59" i="3"/>
  <c r="D51" i="8"/>
  <c r="D67" i="8"/>
  <c r="D83" i="8"/>
  <c r="D52" i="8"/>
  <c r="D68" i="8"/>
  <c r="D84" i="8"/>
  <c r="D53" i="8"/>
  <c r="D69" i="8"/>
  <c r="D85" i="8"/>
  <c r="D54" i="8"/>
  <c r="D70" i="8"/>
  <c r="D86" i="8"/>
  <c r="D55" i="8"/>
  <c r="D71" i="8"/>
  <c r="D87" i="8"/>
  <c r="D56" i="8"/>
  <c r="D72" i="8"/>
  <c r="D88" i="8"/>
  <c r="D57" i="8"/>
  <c r="D73" i="8"/>
  <c r="D89" i="8"/>
  <c r="D58" i="8"/>
  <c r="D74" i="8"/>
  <c r="D90" i="8"/>
  <c r="D59" i="8"/>
  <c r="D75" i="8"/>
  <c r="D91" i="8"/>
  <c r="D60" i="8"/>
  <c r="D76" i="8"/>
  <c r="D92" i="8"/>
  <c r="D61" i="8"/>
  <c r="D77" i="8"/>
  <c r="D93" i="8"/>
  <c r="D62" i="8"/>
  <c r="D78" i="8"/>
  <c r="D94" i="8"/>
  <c r="D63" i="8"/>
  <c r="D79" i="8"/>
  <c r="D95" i="8"/>
  <c r="D64" i="8"/>
  <c r="D80" i="8"/>
  <c r="D96" i="8"/>
  <c r="D66" i="8"/>
  <c r="D82" i="8"/>
  <c r="D50" i="8"/>
  <c r="G2" i="15" l="1"/>
  <c r="D8" i="6"/>
  <c r="D9" i="6"/>
  <c r="D10" i="6"/>
  <c r="D11" i="6"/>
  <c r="D12" i="6"/>
  <c r="D13" i="6"/>
  <c r="D14" i="6"/>
  <c r="D15" i="6"/>
  <c r="D16" i="6"/>
  <c r="D17" i="6"/>
  <c r="D18" i="6"/>
  <c r="D19" i="6"/>
  <c r="D20" i="6"/>
  <c r="D21" i="6"/>
  <c r="D22" i="6"/>
  <c r="D23" i="6"/>
  <c r="D24" i="6"/>
  <c r="D25" i="6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50" i="2"/>
  <c r="F17" i="2"/>
  <c r="F16" i="2"/>
  <c r="F3" i="2"/>
  <c r="F4" i="2"/>
  <c r="F5" i="2"/>
  <c r="F6" i="2"/>
  <c r="F7" i="2"/>
  <c r="F8" i="2"/>
  <c r="F9" i="2"/>
  <c r="F10" i="2"/>
  <c r="F11" i="2"/>
  <c r="F12" i="2"/>
  <c r="F13" i="2"/>
  <c r="F14" i="2"/>
  <c r="F15" i="2"/>
  <c r="F2" i="2"/>
  <c r="R27" i="3"/>
  <c r="T27" i="3" s="1"/>
  <c r="F97" i="2" s="1"/>
  <c r="R26" i="3"/>
  <c r="T26" i="3" s="1"/>
  <c r="F96" i="2" s="1"/>
  <c r="R25" i="3"/>
  <c r="T25" i="3" s="1"/>
  <c r="F95" i="2" s="1"/>
  <c r="R24" i="3"/>
  <c r="T24" i="3" s="1"/>
  <c r="F94" i="2" s="1"/>
  <c r="R23" i="3"/>
  <c r="T23" i="3" s="1"/>
  <c r="F93" i="2" s="1"/>
  <c r="R22" i="3"/>
  <c r="T22" i="3" s="1"/>
  <c r="F92" i="2" s="1"/>
  <c r="R21" i="3"/>
  <c r="F75" i="2" s="1"/>
  <c r="R20" i="3"/>
  <c r="T20" i="3" s="1"/>
  <c r="F90" i="2" s="1"/>
  <c r="R19" i="3"/>
  <c r="T19" i="3" s="1"/>
  <c r="F89" i="2" s="1"/>
  <c r="R18" i="3"/>
  <c r="T18" i="3" s="1"/>
  <c r="F88" i="2" s="1"/>
  <c r="R17" i="3"/>
  <c r="F71" i="2" s="1"/>
  <c r="R16" i="3"/>
  <c r="T16" i="3" s="1"/>
  <c r="F86" i="2" s="1"/>
  <c r="R15" i="3"/>
  <c r="T15" i="3" s="1"/>
  <c r="F85" i="2" s="1"/>
  <c r="R14" i="3"/>
  <c r="T14" i="3" s="1"/>
  <c r="F84" i="2" s="1"/>
  <c r="R13" i="3"/>
  <c r="F67" i="2" s="1"/>
  <c r="R12" i="3"/>
  <c r="T12" i="3" s="1"/>
  <c r="F82" i="2" s="1"/>
  <c r="H13" i="3"/>
  <c r="F19" i="2" s="1"/>
  <c r="H14" i="3"/>
  <c r="F20" i="2" s="1"/>
  <c r="H15" i="3"/>
  <c r="F21" i="2" s="1"/>
  <c r="H16" i="3"/>
  <c r="F22" i="2" s="1"/>
  <c r="H17" i="3"/>
  <c r="F23" i="2" s="1"/>
  <c r="H18" i="3"/>
  <c r="F24" i="2" s="1"/>
  <c r="H19" i="3"/>
  <c r="J19" i="3" s="1"/>
  <c r="F41" i="2" s="1"/>
  <c r="H20" i="3"/>
  <c r="F26" i="2" s="1"/>
  <c r="H21" i="3"/>
  <c r="J21" i="3" s="1"/>
  <c r="F43" i="2" s="1"/>
  <c r="H22" i="3"/>
  <c r="J22" i="3" s="1"/>
  <c r="F44" i="2" s="1"/>
  <c r="H23" i="3"/>
  <c r="J23" i="3" s="1"/>
  <c r="F45" i="2" s="1"/>
  <c r="H24" i="3"/>
  <c r="J24" i="3" s="1"/>
  <c r="F46" i="2" s="1"/>
  <c r="H25" i="3"/>
  <c r="J25" i="3" s="1"/>
  <c r="F47" i="2" s="1"/>
  <c r="H26" i="3"/>
  <c r="J26" i="3" s="1"/>
  <c r="F48" i="2" s="1"/>
  <c r="H27" i="3"/>
  <c r="J27" i="3" s="1"/>
  <c r="F49" i="2" s="1"/>
  <c r="H12" i="3"/>
  <c r="J12" i="3" s="1"/>
  <c r="F34" i="2" s="1"/>
  <c r="F30" i="2" l="1"/>
  <c r="F66" i="2"/>
  <c r="F81" i="2"/>
  <c r="F80" i="2"/>
  <c r="F79" i="2"/>
  <c r="F78" i="2"/>
  <c r="F29" i="2"/>
  <c r="F32" i="2"/>
  <c r="F31" i="2"/>
  <c r="F77" i="2"/>
  <c r="F76" i="2"/>
  <c r="F18" i="2"/>
  <c r="F33" i="2"/>
  <c r="J20" i="3"/>
  <c r="F42" i="2" s="1"/>
  <c r="T17" i="3"/>
  <c r="F87" i="2" s="1"/>
  <c r="J18" i="3"/>
  <c r="F40" i="2" s="1"/>
  <c r="J17" i="3"/>
  <c r="F39" i="2" s="1"/>
  <c r="J16" i="3"/>
  <c r="F38" i="2" s="1"/>
  <c r="F28" i="2"/>
  <c r="J15" i="3"/>
  <c r="F37" i="2" s="1"/>
  <c r="T21" i="3"/>
  <c r="F91" i="2" s="1"/>
  <c r="F27" i="2"/>
  <c r="J14" i="3"/>
  <c r="F36" i="2" s="1"/>
  <c r="F74" i="2"/>
  <c r="J13" i="3"/>
  <c r="F35" i="2" s="1"/>
  <c r="F25" i="2"/>
  <c r="F73" i="2"/>
  <c r="F72" i="2"/>
  <c r="T13" i="3"/>
  <c r="F83" i="2" s="1"/>
  <c r="F70" i="2"/>
  <c r="F69" i="2"/>
  <c r="F68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07E6F5C-1B9B-43C6-A96C-C32BC7F8FACF}" keepAlive="1" name="Consulta - CAPEX_Vehicles" description="Conexión a la consulta 'CAPEX_Vehicles' en el libro." type="5" refreshedVersion="7" background="1" saveData="1">
    <dbPr connection="Provider=Microsoft.Mashup.OleDb.1;Data Source=$Workbook$;Location=CAPEX_Vehicles;Extended Properties=&quot;&quot;" command="SELECT * FROM [CAPEX_Vehicles]"/>
  </connection>
  <connection id="2" xr16:uid="{4A361FC5-97CA-472D-B074-A61081E5FA14}" keepAlive="1" name="Consulta - Chassis" description="Conexión a la consulta 'Chassis' en el libro." type="5" refreshedVersion="0" background="1">
    <dbPr connection="Provider=Microsoft.Mashup.OleDb.1;Data Source=$Workbook$;Location=Chassis;Extended Properties=&quot;&quot;" command="SELECT * FROM [Chassis]"/>
  </connection>
  <connection id="3" xr16:uid="{BA3381D9-4A16-44D0-81E0-418CE9E84284}" keepAlive="1" name="Consulta - Components_Prices" description="Conexión a la consulta 'Components_Prices' en el libro." type="5" refreshedVersion="0" background="1">
    <dbPr connection="Provider=Microsoft.Mashup.OleDb.1;Data Source=$Workbook$;Location=Components_Prices;Extended Properties=&quot;&quot;" command="SELECT * FROM [Components_Prices]"/>
  </connection>
  <connection id="4" xr16:uid="{44D4C361-30D1-4CC3-A901-C9CF3F69EB83}" keepAlive="1" name="Consulta - Efficiencies" description="Conexión a la consulta 'Efficiencies' en el libro." type="5" refreshedVersion="0" background="1">
    <dbPr connection="Provider=Microsoft.Mashup.OleDb.1;Data Source=$Workbook$;Location=Efficiencies;Extended Properties=&quot;&quot;" command="SELECT * FROM [Efficiencies]"/>
  </connection>
  <connection id="5" xr16:uid="{7F662137-D458-4942-BF00-39A20F701197}" keepAlive="1" name="Consulta - Efficiencies (2)" description="Conexión a la consulta 'Efficiencies (2)' en el libro." type="5" refreshedVersion="7" background="1" saveData="1">
    <dbPr connection="Provider=Microsoft.Mashup.OleDb.1;Data Source=$Workbook$;Location=&quot;Efficiencies (2)&quot;;Extended Properties=&quot;&quot;" command="SELECT * FROM [Efficiencies (2)]"/>
  </connection>
  <connection id="6" xr16:uid="{20283C60-7A73-46A0-B15B-91AE83B85A5A}" keepAlive="1" name="Consulta - Electricity_Prices" description="Conexión a la consulta 'Electricity_Prices' en el libro." type="5" refreshedVersion="0" background="1">
    <dbPr connection="Provider=Microsoft.Mashup.OleDb.1;Data Source=$Workbook$;Location=Electricity_Prices;Extended Properties=&quot;&quot;" command="SELECT * FROM [Electricity_Prices]"/>
  </connection>
  <connection id="7" xr16:uid="{F08BAAAD-5F73-46E3-83BC-63444C67F187}" keepAlive="1" name="Consulta - Powetrain_Features" description="Conexión a la consulta 'Powetrain_Features' en el libro." type="5" refreshedVersion="0" background="1">
    <dbPr connection="Provider=Microsoft.Mashup.OleDb.1;Data Source=$Workbook$;Location=Powetrain_Features;Extended Properties=&quot;&quot;" command="SELECT * FROM [Powetrain_Features]"/>
  </connection>
</connections>
</file>

<file path=xl/sharedStrings.xml><?xml version="1.0" encoding="utf-8"?>
<sst xmlns="http://schemas.openxmlformats.org/spreadsheetml/2006/main" count="3265" uniqueCount="99">
  <si>
    <t>Technology</t>
  </si>
  <si>
    <t>VECTO_Group</t>
  </si>
  <si>
    <t>Year</t>
  </si>
  <si>
    <t>Scenario</t>
  </si>
  <si>
    <t>Component</t>
  </si>
  <si>
    <t>Value</t>
  </si>
  <si>
    <t>Diesel</t>
  </si>
  <si>
    <t>0</t>
  </si>
  <si>
    <t>Average</t>
  </si>
  <si>
    <t>CAPEX</t>
  </si>
  <si>
    <t>1</t>
  </si>
  <si>
    <t>2</t>
  </si>
  <si>
    <t>3</t>
  </si>
  <si>
    <t>4-UD</t>
  </si>
  <si>
    <t>4-RD</t>
  </si>
  <si>
    <t>4-LH</t>
  </si>
  <si>
    <t>5-RD</t>
  </si>
  <si>
    <t>5-LH</t>
  </si>
  <si>
    <t>9-RD</t>
  </si>
  <si>
    <t>9-LH</t>
  </si>
  <si>
    <t>10-RD</t>
  </si>
  <si>
    <t>10-LH</t>
  </si>
  <si>
    <t>11</t>
  </si>
  <si>
    <t>12</t>
  </si>
  <si>
    <t>16</t>
  </si>
  <si>
    <t>NG</t>
  </si>
  <si>
    <t>BG</t>
  </si>
  <si>
    <t>NG/Diesel Overcost</t>
  </si>
  <si>
    <t>Price_Eur</t>
  </si>
  <si>
    <t>CHASSIS</t>
  </si>
  <si>
    <t xml:space="preserve">CONVENTIONAL TECHNOLOGIES - CAPEX </t>
  </si>
  <si>
    <t>Price</t>
  </si>
  <si>
    <t>Energy battery</t>
  </si>
  <si>
    <t>Power battery</t>
  </si>
  <si>
    <t>Fuel cell stack</t>
  </si>
  <si>
    <t>H2_storage</t>
  </si>
  <si>
    <t>Electric drive</t>
  </si>
  <si>
    <t>Power electronics</t>
  </si>
  <si>
    <t>Efficiency</t>
  </si>
  <si>
    <t>-</t>
  </si>
  <si>
    <t>BET</t>
  </si>
  <si>
    <t>FCET</t>
  </si>
  <si>
    <t>DIESEL</t>
  </si>
  <si>
    <t>l/100 km</t>
  </si>
  <si>
    <t>CNG</t>
  </si>
  <si>
    <t>kg/100 km</t>
  </si>
  <si>
    <t>BEV</t>
  </si>
  <si>
    <t>kWh/km</t>
  </si>
  <si>
    <t>FCEV</t>
  </si>
  <si>
    <t>kg H2/100 km</t>
  </si>
  <si>
    <t>CNG/Diesel Efficiency loss</t>
  </si>
  <si>
    <t>FC POWER KW</t>
  </si>
  <si>
    <t>KWH BAT</t>
  </si>
  <si>
    <t>Near market</t>
  </si>
  <si>
    <t>Scientific</t>
  </si>
  <si>
    <t>Others</t>
  </si>
  <si>
    <t>All</t>
  </si>
  <si>
    <t>ICCT</t>
  </si>
  <si>
    <t>NATURE</t>
  </si>
  <si>
    <t>Battery</t>
  </si>
  <si>
    <t>FC</t>
  </si>
  <si>
    <t>Electric drive + PE</t>
  </si>
  <si>
    <t>CH2 Tank</t>
  </si>
  <si>
    <t>Nature</t>
  </si>
  <si>
    <t>ICCT_Central</t>
  </si>
  <si>
    <t>Feature</t>
  </si>
  <si>
    <t>Capacity</t>
  </si>
  <si>
    <t>H2_Tank</t>
  </si>
  <si>
    <t>FC_Power</t>
  </si>
  <si>
    <t>Battery_kWh</t>
  </si>
  <si>
    <t>Nota: con la eficiencia de hoy en día, para 500 km hace falta 750 kWh. Hay camiones así ya hoy en día. No se consideran los de regional (&lt;500 km)</t>
  </si>
  <si>
    <t>Power Battery</t>
  </si>
  <si>
    <t>Oil</t>
  </si>
  <si>
    <t>Gas</t>
  </si>
  <si>
    <t>High</t>
  </si>
  <si>
    <t>Low</t>
  </si>
  <si>
    <t>Electricity</t>
  </si>
  <si>
    <t>HVO</t>
  </si>
  <si>
    <t>USD/barrel</t>
  </si>
  <si>
    <t>USD/Mbtu</t>
  </si>
  <si>
    <t>USD/MWh</t>
  </si>
  <si>
    <t>USD/kWh</t>
  </si>
  <si>
    <t>Fuel</t>
  </si>
  <si>
    <t>Etiquetas de fila</t>
  </si>
  <si>
    <t>Total general</t>
  </si>
  <si>
    <t>Energy</t>
  </si>
  <si>
    <t>Energy_Taxes</t>
  </si>
  <si>
    <t>Distribution</t>
  </si>
  <si>
    <t>€/GJ</t>
  </si>
  <si>
    <t>EUR/MWh</t>
  </si>
  <si>
    <t>EUR/kWh</t>
  </si>
  <si>
    <t>EUR/litro</t>
  </si>
  <si>
    <t>EUR/kg</t>
  </si>
  <si>
    <t>Final_price</t>
  </si>
  <si>
    <t>Suma de Energy</t>
  </si>
  <si>
    <t>Suma de Energy_Taxes</t>
  </si>
  <si>
    <t>Suma de Distribution</t>
  </si>
  <si>
    <t>H2</t>
  </si>
  <si>
    <t>USD/kg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</si>
</sst>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0.79998168889431442"/>
        <bgColor indexed="64"/>
      </patternFill>
    </fill>
  </fills>
  <borders count="18">
    <border>
      <left/>
      <right/>
      <top/>
      <bottom/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45">
    <xf numFmtId="0" fontId="0" fillId="0" borderId="0" xfId="0"/>
    <xf numFmtId="9" fontId="0" fillId="0" borderId="0" xfId="0" applyNumberFormat="1"/>
    <xf numFmtId="1" fontId="0" fillId="0" borderId="0" xfId="0" applyNumberFormat="1"/>
    <xf numFmtId="0" fontId="0" fillId="2" borderId="1" xfId="0" applyNumberFormat="1" applyFont="1" applyFill="1" applyBorder="1"/>
    <xf numFmtId="0" fontId="0" fillId="0" borderId="1" xfId="0" applyNumberFormat="1" applyFont="1" applyBorder="1"/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3" borderId="5" xfId="0" applyFill="1" applyBorder="1"/>
    <xf numFmtId="0" fontId="0" fillId="3" borderId="3" xfId="0" applyFill="1" applyBorder="1"/>
    <xf numFmtId="0" fontId="0" fillId="3" borderId="6" xfId="0" applyFill="1" applyBorder="1"/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3" borderId="10" xfId="0" applyFill="1" applyBorder="1"/>
    <xf numFmtId="0" fontId="0" fillId="3" borderId="8" xfId="0" applyFill="1" applyBorder="1"/>
    <xf numFmtId="0" fontId="0" fillId="3" borderId="11" xfId="0" applyFill="1" applyBorder="1"/>
    <xf numFmtId="0" fontId="0" fillId="0" borderId="13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3" borderId="15" xfId="0" applyFill="1" applyBorder="1"/>
    <xf numFmtId="0" fontId="0" fillId="3" borderId="13" xfId="0" applyFill="1" applyBorder="1"/>
    <xf numFmtId="0" fontId="0" fillId="3" borderId="16" xfId="0" applyFill="1" applyBorder="1"/>
    <xf numFmtId="0" fontId="0" fillId="0" borderId="2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8" xfId="0" applyBorder="1"/>
    <xf numFmtId="0" fontId="0" fillId="0" borderId="0" xfId="0" applyAlignment="1">
      <alignment horizontal="center" vertical="center"/>
    </xf>
    <xf numFmtId="0" fontId="1" fillId="0" borderId="0" xfId="0" applyFont="1"/>
    <xf numFmtId="2" fontId="0" fillId="0" borderId="0" xfId="0" applyNumberFormat="1" applyAlignment="1">
      <alignment horizontal="center" vertical="center"/>
    </xf>
    <xf numFmtId="2" fontId="0" fillId="0" borderId="0" xfId="0" applyNumberFormat="1"/>
    <xf numFmtId="0" fontId="1" fillId="3" borderId="8" xfId="0" applyFont="1" applyFill="1" applyBorder="1"/>
    <xf numFmtId="0" fontId="0" fillId="3" borderId="17" xfId="0" applyFill="1" applyBorder="1"/>
    <xf numFmtId="0" fontId="1" fillId="3" borderId="17" xfId="0" applyFont="1" applyFill="1" applyBorder="1"/>
    <xf numFmtId="0" fontId="0" fillId="3" borderId="0" xfId="0" applyFill="1" applyBorder="1"/>
    <xf numFmtId="164" fontId="0" fillId="0" borderId="0" xfId="0" applyNumberFormat="1"/>
    <xf numFmtId="0" fontId="0" fillId="4" borderId="0" xfId="0" applyFill="1"/>
    <xf numFmtId="0" fontId="0" fillId="0" borderId="0" xfId="0" applyFill="1"/>
    <xf numFmtId="0" fontId="0" fillId="5" borderId="0" xfId="0" applyFill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0" fillId="5" borderId="0" xfId="0" applyNumberFormat="1" applyFill="1"/>
    <xf numFmtId="0" fontId="0" fillId="4" borderId="0" xfId="0" applyNumberFormat="1" applyFill="1"/>
    <xf numFmtId="2" fontId="0" fillId="3" borderId="10" xfId="0" applyNumberFormat="1" applyFill="1" applyBorder="1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CAPEX_Input!$M$58</c:f>
              <c:strCache>
                <c:ptCount val="1"/>
                <c:pt idx="0">
                  <c:v>2020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CAPEX_Input!$K$59:$L$66</c:f>
              <c:multiLvlStrCache>
                <c:ptCount val="8"/>
                <c:lvl>
                  <c:pt idx="0">
                    <c:v>ICCT</c:v>
                  </c:pt>
                  <c:pt idx="1">
                    <c:v>Nature</c:v>
                  </c:pt>
                  <c:pt idx="2">
                    <c:v>ICCT</c:v>
                  </c:pt>
                  <c:pt idx="3">
                    <c:v>Nature</c:v>
                  </c:pt>
                  <c:pt idx="4">
                    <c:v>ICCT</c:v>
                  </c:pt>
                  <c:pt idx="5">
                    <c:v>Nature</c:v>
                  </c:pt>
                  <c:pt idx="6">
                    <c:v>ICCT</c:v>
                  </c:pt>
                  <c:pt idx="7">
                    <c:v>Nature</c:v>
                  </c:pt>
                </c:lvl>
                <c:lvl>
                  <c:pt idx="0">
                    <c:v>Battery</c:v>
                  </c:pt>
                  <c:pt idx="2">
                    <c:v>FC</c:v>
                  </c:pt>
                  <c:pt idx="4">
                    <c:v>Electric drive + PE</c:v>
                  </c:pt>
                  <c:pt idx="6">
                    <c:v>CH2 Tank</c:v>
                  </c:pt>
                </c:lvl>
              </c:multiLvlStrCache>
            </c:multiLvlStrRef>
          </c:cat>
          <c:val>
            <c:numRef>
              <c:f>CAPEX_Input!$M$59:$M$66</c:f>
              <c:numCache>
                <c:formatCode>General</c:formatCode>
                <c:ptCount val="8"/>
                <c:pt idx="0">
                  <c:v>221</c:v>
                </c:pt>
                <c:pt idx="1">
                  <c:v>300</c:v>
                </c:pt>
                <c:pt idx="2">
                  <c:v>793</c:v>
                </c:pt>
                <c:pt idx="3">
                  <c:v>392</c:v>
                </c:pt>
                <c:pt idx="4">
                  <c:v>83</c:v>
                </c:pt>
                <c:pt idx="5">
                  <c:v>90</c:v>
                </c:pt>
                <c:pt idx="6">
                  <c:v>900</c:v>
                </c:pt>
                <c:pt idx="7" formatCode="0.00">
                  <c:v>26637.335999999996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8A-4098-801A-C586C28D62EB}"/>
            </c:ext>
          </c:extLst>
        </c:ser>
        <c:ser>
          <c:idx val="1"/>
          <c:order val="1"/>
          <c:tx>
            <c:strRef>
              <c:f>CAPEX_Input!$N$58</c:f>
              <c:strCache>
                <c:ptCount val="1"/>
                <c:pt idx="0">
                  <c:v>2030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CAPEX_Input!$K$59:$L$66</c:f>
              <c:multiLvlStrCache>
                <c:ptCount val="8"/>
                <c:lvl>
                  <c:pt idx="0">
                    <c:v>ICCT</c:v>
                  </c:pt>
                  <c:pt idx="1">
                    <c:v>Nature</c:v>
                  </c:pt>
                  <c:pt idx="2">
                    <c:v>ICCT</c:v>
                  </c:pt>
                  <c:pt idx="3">
                    <c:v>Nature</c:v>
                  </c:pt>
                  <c:pt idx="4">
                    <c:v>ICCT</c:v>
                  </c:pt>
                  <c:pt idx="5">
                    <c:v>Nature</c:v>
                  </c:pt>
                  <c:pt idx="6">
                    <c:v>ICCT</c:v>
                  </c:pt>
                  <c:pt idx="7">
                    <c:v>Nature</c:v>
                  </c:pt>
                </c:lvl>
                <c:lvl>
                  <c:pt idx="0">
                    <c:v>Battery</c:v>
                  </c:pt>
                  <c:pt idx="2">
                    <c:v>FC</c:v>
                  </c:pt>
                  <c:pt idx="4">
                    <c:v>Electric drive + PE</c:v>
                  </c:pt>
                  <c:pt idx="6">
                    <c:v>CH2 Tank</c:v>
                  </c:pt>
                </c:lvl>
              </c:multiLvlStrCache>
            </c:multiLvlStrRef>
          </c:cat>
          <c:val>
            <c:numRef>
              <c:f>CAPEX_Input!$N$59:$N$66</c:f>
              <c:numCache>
                <c:formatCode>General</c:formatCode>
                <c:ptCount val="8"/>
                <c:pt idx="0">
                  <c:v>118</c:v>
                </c:pt>
                <c:pt idx="1">
                  <c:v>174</c:v>
                </c:pt>
                <c:pt idx="2">
                  <c:v>289</c:v>
                </c:pt>
                <c:pt idx="3">
                  <c:v>204</c:v>
                </c:pt>
                <c:pt idx="4">
                  <c:v>47</c:v>
                </c:pt>
                <c:pt idx="5">
                  <c:v>83</c:v>
                </c:pt>
                <c:pt idx="6">
                  <c:v>525</c:v>
                </c:pt>
                <c:pt idx="7" formatCode="0.00">
                  <c:v>17758.223999999998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E8A-4098-801A-C586C28D62EB}"/>
            </c:ext>
          </c:extLst>
        </c:ser>
        <c:ser>
          <c:idx val="2"/>
          <c:order val="2"/>
          <c:tx>
            <c:strRef>
              <c:f>CAPEX_Input!$O$58</c:f>
              <c:strCache>
                <c:ptCount val="1"/>
                <c:pt idx="0">
                  <c:v>2040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CAPEX_Input!$K$59:$L$66</c:f>
              <c:multiLvlStrCache>
                <c:ptCount val="8"/>
                <c:lvl>
                  <c:pt idx="0">
                    <c:v>ICCT</c:v>
                  </c:pt>
                  <c:pt idx="1">
                    <c:v>Nature</c:v>
                  </c:pt>
                  <c:pt idx="2">
                    <c:v>ICCT</c:v>
                  </c:pt>
                  <c:pt idx="3">
                    <c:v>Nature</c:v>
                  </c:pt>
                  <c:pt idx="4">
                    <c:v>ICCT</c:v>
                  </c:pt>
                  <c:pt idx="5">
                    <c:v>Nature</c:v>
                  </c:pt>
                  <c:pt idx="6">
                    <c:v>ICCT</c:v>
                  </c:pt>
                  <c:pt idx="7">
                    <c:v>Nature</c:v>
                  </c:pt>
                </c:lvl>
                <c:lvl>
                  <c:pt idx="0">
                    <c:v>Battery</c:v>
                  </c:pt>
                  <c:pt idx="2">
                    <c:v>FC</c:v>
                  </c:pt>
                  <c:pt idx="4">
                    <c:v>Electric drive + PE</c:v>
                  </c:pt>
                  <c:pt idx="6">
                    <c:v>CH2 Tank</c:v>
                  </c:pt>
                </c:lvl>
              </c:multiLvlStrCache>
            </c:multiLvlStrRef>
          </c:cat>
          <c:val>
            <c:numRef>
              <c:f>CAPEX_Input!$O$59:$O$66</c:f>
              <c:numCache>
                <c:formatCode>General</c:formatCode>
                <c:ptCount val="8"/>
                <c:pt idx="0">
                  <c:v>95</c:v>
                </c:pt>
                <c:pt idx="1">
                  <c:v>126</c:v>
                </c:pt>
                <c:pt idx="2">
                  <c:v>232</c:v>
                </c:pt>
                <c:pt idx="3">
                  <c:v>138</c:v>
                </c:pt>
                <c:pt idx="4">
                  <c:v>42</c:v>
                </c:pt>
                <c:pt idx="5">
                  <c:v>81</c:v>
                </c:pt>
                <c:pt idx="6">
                  <c:v>450</c:v>
                </c:pt>
                <c:pt idx="7" formatCode="0.00">
                  <c:v>14428.556999999999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E8A-4098-801A-C586C28D62EB}"/>
            </c:ext>
          </c:extLst>
        </c:ser>
        <c:ser>
          <c:idx val="3"/>
          <c:order val="3"/>
          <c:tx>
            <c:strRef>
              <c:f>CAPEX_Input!$P$58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CAPEX_Input!$K$59:$L$66</c:f>
              <c:multiLvlStrCache>
                <c:ptCount val="8"/>
                <c:lvl>
                  <c:pt idx="0">
                    <c:v>ICCT</c:v>
                  </c:pt>
                  <c:pt idx="1">
                    <c:v>Nature</c:v>
                  </c:pt>
                  <c:pt idx="2">
                    <c:v>ICCT</c:v>
                  </c:pt>
                  <c:pt idx="3">
                    <c:v>Nature</c:v>
                  </c:pt>
                  <c:pt idx="4">
                    <c:v>ICCT</c:v>
                  </c:pt>
                  <c:pt idx="5">
                    <c:v>Nature</c:v>
                  </c:pt>
                  <c:pt idx="6">
                    <c:v>ICCT</c:v>
                  </c:pt>
                  <c:pt idx="7">
                    <c:v>Nature</c:v>
                  </c:pt>
                </c:lvl>
                <c:lvl>
                  <c:pt idx="0">
                    <c:v>Battery</c:v>
                  </c:pt>
                  <c:pt idx="2">
                    <c:v>FC</c:v>
                  </c:pt>
                  <c:pt idx="4">
                    <c:v>Electric drive + PE</c:v>
                  </c:pt>
                  <c:pt idx="6">
                    <c:v>CH2 Tank</c:v>
                  </c:pt>
                </c:lvl>
              </c:multiLvlStrCache>
            </c:multiLvlStrRef>
          </c:cat>
          <c:val>
            <c:numRef>
              <c:f>CAPEX_Input!$P$59:$P$66</c:f>
              <c:numCache>
                <c:formatCode>General</c:formatCode>
                <c:ptCount val="8"/>
                <c:pt idx="0">
                  <c:v>95</c:v>
                </c:pt>
                <c:pt idx="1">
                  <c:v>99</c:v>
                </c:pt>
                <c:pt idx="2">
                  <c:v>232</c:v>
                </c:pt>
                <c:pt idx="3">
                  <c:v>104</c:v>
                </c:pt>
                <c:pt idx="4">
                  <c:v>42</c:v>
                </c:pt>
                <c:pt idx="5">
                  <c:v>78</c:v>
                </c:pt>
                <c:pt idx="6">
                  <c:v>450</c:v>
                </c:pt>
                <c:pt idx="7" formatCode="0.00">
                  <c:v>12208.778999999999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E8A-4098-801A-C586C28D62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82831823"/>
        <c:axId val="1119261743"/>
      </c:barChart>
      <c:catAx>
        <c:axId val="12828318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119261743"/>
        <c:crosses val="autoZero"/>
        <c:auto val="1"/>
        <c:lblAlgn val="ctr"/>
        <c:lblOffset val="100"/>
        <c:noMultiLvlLbl val="0"/>
      </c:catAx>
      <c:valAx>
        <c:axId val="11192617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28283182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[Data_pesados_productCSV.xlsm]FuelPrices_!TablaDinámica3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FuelPrices_!$C$74</c:f>
              <c:strCache>
                <c:ptCount val="1"/>
                <c:pt idx="0">
                  <c:v>Suma de Energy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FuelPrices_!$B$75:$B$81</c:f>
              <c:strCache>
                <c:ptCount val="6"/>
                <c:pt idx="0">
                  <c:v>BG</c:v>
                </c:pt>
                <c:pt idx="1">
                  <c:v>Electricity</c:v>
                </c:pt>
                <c:pt idx="2">
                  <c:v>H2</c:v>
                </c:pt>
                <c:pt idx="3">
                  <c:v>HVO</c:v>
                </c:pt>
                <c:pt idx="4">
                  <c:v>NG</c:v>
                </c:pt>
                <c:pt idx="5">
                  <c:v>Oil</c:v>
                </c:pt>
              </c:strCache>
            </c:strRef>
          </c:cat>
          <c:val>
            <c:numRef>
              <c:f>FuelPrices_!$C$75:$C$81</c:f>
              <c:numCache>
                <c:formatCode>General</c:formatCode>
                <c:ptCount val="6"/>
                <c:pt idx="0">
                  <c:v>0.12</c:v>
                </c:pt>
                <c:pt idx="1">
                  <c:v>0.1</c:v>
                </c:pt>
                <c:pt idx="2">
                  <c:v>0.16246246246246249</c:v>
                </c:pt>
                <c:pt idx="3">
                  <c:v>5.0999999999999997E-2</c:v>
                </c:pt>
                <c:pt idx="4">
                  <c:v>2.6279863481228669E-2</c:v>
                </c:pt>
                <c:pt idx="5">
                  <c:v>4.6063137206731358E-2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918-4EBC-926F-8657380D5172}"/>
            </c:ext>
          </c:extLst>
        </c:ser>
        <c:ser>
          <c:idx val="1"/>
          <c:order val="1"/>
          <c:tx>
            <c:strRef>
              <c:f>FuelPrices_!$D$74</c:f>
              <c:strCache>
                <c:ptCount val="1"/>
                <c:pt idx="0">
                  <c:v>Suma de Distribution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FuelPrices_!$B$75:$B$81</c:f>
              <c:strCache>
                <c:ptCount val="6"/>
                <c:pt idx="0">
                  <c:v>BG</c:v>
                </c:pt>
                <c:pt idx="1">
                  <c:v>Electricity</c:v>
                </c:pt>
                <c:pt idx="2">
                  <c:v>H2</c:v>
                </c:pt>
                <c:pt idx="3">
                  <c:v>HVO</c:v>
                </c:pt>
                <c:pt idx="4">
                  <c:v>NG</c:v>
                </c:pt>
                <c:pt idx="5">
                  <c:v>Oil</c:v>
                </c:pt>
              </c:strCache>
            </c:strRef>
          </c:cat>
          <c:val>
            <c:numRef>
              <c:f>FuelPrices_!$D$75:$D$81</c:f>
              <c:numCache>
                <c:formatCode>General</c:formatCode>
                <c:ptCount val="6"/>
                <c:pt idx="0">
                  <c:v>4.1269841269841276E-2</c:v>
                </c:pt>
                <c:pt idx="1">
                  <c:v>0.05</c:v>
                </c:pt>
                <c:pt idx="2">
                  <c:v>0</c:v>
                </c:pt>
                <c:pt idx="3">
                  <c:v>1.4999999999999999E-2</c:v>
                </c:pt>
                <c:pt idx="4">
                  <c:v>4.1269841269841276E-2</c:v>
                </c:pt>
                <c:pt idx="5">
                  <c:v>1.4999999999999999E-2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918-4EBC-926F-8657380D5172}"/>
            </c:ext>
          </c:extLst>
        </c:ser>
        <c:ser>
          <c:idx val="2"/>
          <c:order val="2"/>
          <c:tx>
            <c:strRef>
              <c:f>FuelPrices_!$E$74</c:f>
              <c:strCache>
                <c:ptCount val="1"/>
                <c:pt idx="0">
                  <c:v>Suma de Energy_Taxes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FuelPrices_!$B$75:$B$81</c:f>
              <c:strCache>
                <c:ptCount val="6"/>
                <c:pt idx="0">
                  <c:v>BG</c:v>
                </c:pt>
                <c:pt idx="1">
                  <c:v>Electricity</c:v>
                </c:pt>
                <c:pt idx="2">
                  <c:v>H2</c:v>
                </c:pt>
                <c:pt idx="3">
                  <c:v>HVO</c:v>
                </c:pt>
                <c:pt idx="4">
                  <c:v>NG</c:v>
                </c:pt>
                <c:pt idx="5">
                  <c:v>Oil</c:v>
                </c:pt>
              </c:strCache>
            </c:strRef>
          </c:cat>
          <c:val>
            <c:numRef>
              <c:f>FuelPrices_!$E$75:$E$81</c:f>
              <c:numCache>
                <c:formatCode>General</c:formatCode>
                <c:ptCount val="6"/>
                <c:pt idx="0">
                  <c:v>5.4000000000000001E-4</c:v>
                </c:pt>
                <c:pt idx="1">
                  <c:v>0.01</c:v>
                </c:pt>
                <c:pt idx="2">
                  <c:v>5.4000000000000001E-4</c:v>
                </c:pt>
                <c:pt idx="3">
                  <c:v>5.4000000000000001E-4</c:v>
                </c:pt>
                <c:pt idx="4">
                  <c:v>3.8700000000000005E-2</c:v>
                </c:pt>
                <c:pt idx="5">
                  <c:v>3.8700000000000005E-2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18-4EBC-926F-8657380D51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30830112"/>
        <c:axId val="130830944"/>
      </c:barChart>
      <c:catAx>
        <c:axId val="130830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30830944"/>
        <c:crosses val="autoZero"/>
        <c:auto val="1"/>
        <c:lblAlgn val="ctr"/>
        <c:lblOffset val="100"/>
        <c:noMultiLvlLbl val="0"/>
      </c:catAx>
      <c:valAx>
        <c:axId val="1308309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308301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60990</xdr:colOff>
      <xdr:row>44</xdr:row>
      <xdr:rowOff>46544</xdr:rowOff>
    </xdr:from>
    <xdr:to>
      <xdr:col>30</xdr:col>
      <xdr:colOff>284149</xdr:colOff>
      <xdr:row>81</xdr:row>
      <xdr:rowOff>60832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1619250</xdr:colOff>
          <xdr:row>31</xdr:row>
          <xdr:rowOff>133350</xdr:rowOff>
        </xdr:from>
        <xdr:to>
          <xdr:col>11</xdr:col>
          <xdr:colOff>628650</xdr:colOff>
          <xdr:row>41</xdr:row>
          <xdr:rowOff>38100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Botón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255813</xdr:colOff>
      <xdr:row>83</xdr:row>
      <xdr:rowOff>16326</xdr:rowOff>
    </xdr:from>
    <xdr:to>
      <xdr:col>5</xdr:col>
      <xdr:colOff>68036</xdr:colOff>
      <xdr:row>104</xdr:row>
      <xdr:rowOff>95249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nuel Pérez Bravo" refreshedDate="45622.541174074075" createdVersion="7" refreshedVersion="7" minRefreshableVersion="3" recordCount="486" xr:uid="{B7A6B726-03C5-4CDC-9DE0-B2C2E403B63A}">
  <cacheSource type="worksheet">
    <worksheetSource ref="A1:G487" sheet="data_FuelPrices"/>
  </cacheSource>
  <cacheFields count="7">
    <cacheField name="Fuel" numFmtId="0">
      <sharedItems count="6">
        <s v="Oil"/>
        <s v="NG"/>
        <s v="Electricity"/>
        <s v="BG"/>
        <s v="HVO"/>
        <s v="H2"/>
      </sharedItems>
    </cacheField>
    <cacheField name="Scenario" numFmtId="0">
      <sharedItems count="3">
        <s v="High"/>
        <s v="Average"/>
        <s v="Low"/>
      </sharedItems>
    </cacheField>
    <cacheField name="Year" numFmtId="0">
      <sharedItems containsSemiMixedTypes="0" containsString="0" containsNumber="1" containsInteger="1" minValue="2024" maxValue="2050" count="27">
        <n v="2024"/>
        <n v="2025"/>
        <n v="2026"/>
        <n v="2027"/>
        <n v="2028"/>
        <n v="2029"/>
        <n v="2030"/>
        <n v="2031"/>
        <n v="2032"/>
        <n v="2033"/>
        <n v="2034"/>
        <n v="2035"/>
        <n v="2036"/>
        <n v="2037"/>
        <n v="2038"/>
        <n v="2039"/>
        <n v="2040"/>
        <n v="2041"/>
        <n v="2042"/>
        <n v="2043"/>
        <n v="2044"/>
        <n v="2045"/>
        <n v="2046"/>
        <n v="2047"/>
        <n v="2048"/>
        <n v="2049"/>
        <n v="2050"/>
      </sharedItems>
    </cacheField>
    <cacheField name="Energy" numFmtId="0">
      <sharedItems containsSemiMixedTypes="0" containsString="0" containsNumber="1" minValue="1.3651877133105802E-2" maxValue="0.33213213213213216"/>
    </cacheField>
    <cacheField name="Energy_Taxes" numFmtId="0">
      <sharedItems containsSemiMixedTypes="0" containsString="0" containsNumber="1" minValue="5.4000000000000001E-4" maxValue="3.8700000000000005E-2"/>
    </cacheField>
    <cacheField name="Distribution" numFmtId="0">
      <sharedItems containsSemiMixedTypes="0" containsString="0" containsNumber="1" minValue="0" maxValue="0.05"/>
    </cacheField>
    <cacheField name="Final_price" numFmtId="0">
      <sharedItems containsSemiMixedTypes="0" containsString="0" containsNumber="1" minValue="6.6539999999999988E-2" maxValue="0.3326721321321321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86">
  <r>
    <x v="0"/>
    <x v="0"/>
    <x v="0"/>
    <n v="5.0362363346026284E-2"/>
    <n v="3.8700000000000005E-2"/>
    <n v="1.4999999999999999E-2"/>
    <n v="0.1040623633460263"/>
  </r>
  <r>
    <x v="0"/>
    <x v="0"/>
    <x v="1"/>
    <n v="5.0055275764648077E-2"/>
    <n v="3.8700000000000005E-2"/>
    <n v="1.4999999999999999E-2"/>
    <n v="0.10375527576464809"/>
  </r>
  <r>
    <x v="0"/>
    <x v="0"/>
    <x v="2"/>
    <n v="4.974818818326987E-2"/>
    <n v="3.8700000000000005E-2"/>
    <n v="1.4999999999999999E-2"/>
    <n v="0.10344818818326988"/>
  </r>
  <r>
    <x v="0"/>
    <x v="0"/>
    <x v="3"/>
    <n v="4.9441100601891656E-2"/>
    <n v="3.8700000000000005E-2"/>
    <n v="1.4999999999999999E-2"/>
    <n v="0.10314110060189166"/>
  </r>
  <r>
    <x v="0"/>
    <x v="0"/>
    <x v="4"/>
    <n v="4.9134013020513449E-2"/>
    <n v="3.8700000000000005E-2"/>
    <n v="1.4999999999999999E-2"/>
    <n v="0.10283401302051345"/>
  </r>
  <r>
    <x v="0"/>
    <x v="0"/>
    <x v="5"/>
    <n v="4.8826925439135242E-2"/>
    <n v="3.8700000000000005E-2"/>
    <n v="1.4999999999999999E-2"/>
    <n v="0.10252692543913525"/>
  </r>
  <r>
    <x v="0"/>
    <x v="0"/>
    <x v="6"/>
    <n v="4.8519837857757028E-2"/>
    <n v="3.8700000000000005E-2"/>
    <n v="1.4999999999999999E-2"/>
    <n v="0.10221983785775703"/>
  </r>
  <r>
    <x v="0"/>
    <x v="0"/>
    <x v="7"/>
    <n v="4.8519837857757028E-2"/>
    <n v="3.8700000000000005E-2"/>
    <n v="1.4999999999999999E-2"/>
    <n v="0.10221983785775703"/>
  </r>
  <r>
    <x v="0"/>
    <x v="0"/>
    <x v="8"/>
    <n v="4.8397002825205745E-2"/>
    <n v="3.8700000000000005E-2"/>
    <n v="1.4999999999999999E-2"/>
    <n v="0.10209700282520574"/>
  </r>
  <r>
    <x v="0"/>
    <x v="0"/>
    <x v="9"/>
    <n v="4.8274167792654463E-2"/>
    <n v="3.8700000000000005E-2"/>
    <n v="1.4999999999999999E-2"/>
    <n v="0.10197416779265446"/>
  </r>
  <r>
    <x v="0"/>
    <x v="0"/>
    <x v="10"/>
    <n v="4.8151332760103187E-2"/>
    <n v="3.8700000000000005E-2"/>
    <n v="1.4999999999999999E-2"/>
    <n v="0.10185133276010319"/>
  </r>
  <r>
    <x v="0"/>
    <x v="0"/>
    <x v="11"/>
    <n v="4.8028497727551897E-2"/>
    <n v="3.8700000000000005E-2"/>
    <n v="1.4999999999999999E-2"/>
    <n v="0.10172849772755189"/>
  </r>
  <r>
    <x v="0"/>
    <x v="0"/>
    <x v="12"/>
    <n v="4.7905662695000614E-2"/>
    <n v="3.8700000000000005E-2"/>
    <n v="1.4999999999999999E-2"/>
    <n v="0.10160566269500061"/>
  </r>
  <r>
    <x v="0"/>
    <x v="0"/>
    <x v="13"/>
    <n v="4.7782827662449325E-2"/>
    <n v="3.8700000000000005E-2"/>
    <n v="1.4999999999999999E-2"/>
    <n v="0.10148282766244933"/>
  </r>
  <r>
    <x v="0"/>
    <x v="0"/>
    <x v="14"/>
    <n v="4.7659992629898042E-2"/>
    <n v="3.8700000000000005E-2"/>
    <n v="1.4999999999999999E-2"/>
    <n v="0.10135999262989805"/>
  </r>
  <r>
    <x v="0"/>
    <x v="0"/>
    <x v="15"/>
    <n v="4.7537157597346766E-2"/>
    <n v="3.8700000000000005E-2"/>
    <n v="1.4999999999999999E-2"/>
    <n v="0.10123715759734676"/>
  </r>
  <r>
    <x v="0"/>
    <x v="0"/>
    <x v="16"/>
    <n v="4.7291487532244193E-2"/>
    <n v="3.8700000000000005E-2"/>
    <n v="1.4999999999999999E-2"/>
    <n v="0.1009914875322442"/>
  </r>
  <r>
    <x v="0"/>
    <x v="0"/>
    <x v="17"/>
    <n v="4.7291487532244193E-2"/>
    <n v="3.8700000000000005E-2"/>
    <n v="1.4999999999999999E-2"/>
    <n v="0.1009914875322442"/>
  </r>
  <r>
    <x v="0"/>
    <x v="0"/>
    <x v="18"/>
    <n v="4.716865249969291E-2"/>
    <n v="3.8700000000000005E-2"/>
    <n v="1.4999999999999999E-2"/>
    <n v="0.10086865249969292"/>
  </r>
  <r>
    <x v="0"/>
    <x v="0"/>
    <x v="19"/>
    <n v="4.7045817467141621E-2"/>
    <n v="3.8700000000000005E-2"/>
    <n v="1.4999999999999999E-2"/>
    <n v="0.10074581746714163"/>
  </r>
  <r>
    <x v="0"/>
    <x v="0"/>
    <x v="20"/>
    <n v="4.6922982434590345E-2"/>
    <n v="3.8700000000000005E-2"/>
    <n v="1.4999999999999999E-2"/>
    <n v="0.10062298243459035"/>
  </r>
  <r>
    <x v="0"/>
    <x v="0"/>
    <x v="21"/>
    <n v="4.6800147402039062E-2"/>
    <n v="3.8700000000000005E-2"/>
    <n v="1.4999999999999999E-2"/>
    <n v="0.10050014740203907"/>
  </r>
  <r>
    <x v="0"/>
    <x v="0"/>
    <x v="22"/>
    <n v="4.6677312369487779E-2"/>
    <n v="3.8700000000000005E-2"/>
    <n v="1.4999999999999999E-2"/>
    <n v="0.10037731236948778"/>
  </r>
  <r>
    <x v="0"/>
    <x v="0"/>
    <x v="23"/>
    <n v="4.6554477336936489E-2"/>
    <n v="3.8700000000000005E-2"/>
    <n v="1.4999999999999999E-2"/>
    <n v="0.1002544773369365"/>
  </r>
  <r>
    <x v="0"/>
    <x v="0"/>
    <x v="24"/>
    <n v="4.6431642304385207E-2"/>
    <n v="3.8700000000000005E-2"/>
    <n v="1.4999999999999999E-2"/>
    <n v="0.10013164230438522"/>
  </r>
  <r>
    <x v="0"/>
    <x v="0"/>
    <x v="25"/>
    <n v="4.6308807271833931E-2"/>
    <n v="3.8700000000000005E-2"/>
    <n v="1.4999999999999999E-2"/>
    <n v="0.10000880727183394"/>
  </r>
  <r>
    <x v="0"/>
    <x v="0"/>
    <x v="26"/>
    <n v="4.6063137206731358E-2"/>
    <n v="3.8700000000000005E-2"/>
    <n v="1.4999999999999999E-2"/>
    <n v="9.976313720673137E-2"/>
  </r>
  <r>
    <x v="0"/>
    <x v="1"/>
    <x v="0"/>
    <n v="5.0362363346026284E-2"/>
    <n v="3.8700000000000005E-2"/>
    <n v="1.4999999999999999E-2"/>
    <n v="0.1040623633460263"/>
  </r>
  <r>
    <x v="0"/>
    <x v="1"/>
    <x v="1"/>
    <n v="4.9338738074765583E-2"/>
    <n v="3.8700000000000005E-2"/>
    <n v="1.4999999999999999E-2"/>
    <n v="0.10303873807476559"/>
  </r>
  <r>
    <x v="0"/>
    <x v="1"/>
    <x v="2"/>
    <n v="4.8315112803504895E-2"/>
    <n v="3.8700000000000005E-2"/>
    <n v="1.4999999999999999E-2"/>
    <n v="0.10201511280350491"/>
  </r>
  <r>
    <x v="0"/>
    <x v="1"/>
    <x v="3"/>
    <n v="4.7291487532244193E-2"/>
    <n v="3.8700000000000005E-2"/>
    <n v="1.4999999999999999E-2"/>
    <n v="0.1009914875322442"/>
  </r>
  <r>
    <x v="0"/>
    <x v="1"/>
    <x v="4"/>
    <n v="4.6267862260983492E-2"/>
    <n v="3.8700000000000005E-2"/>
    <n v="1.4999999999999999E-2"/>
    <n v="9.9967862260983489E-2"/>
  </r>
  <r>
    <x v="0"/>
    <x v="1"/>
    <x v="5"/>
    <n v="4.5244236989722804E-2"/>
    <n v="3.8700000000000005E-2"/>
    <n v="1.4999999999999999E-2"/>
    <n v="9.8944236989722809E-2"/>
  </r>
  <r>
    <x v="0"/>
    <x v="1"/>
    <x v="6"/>
    <n v="4.4220611718462102E-2"/>
    <n v="3.8700000000000005E-2"/>
    <n v="1.4999999999999999E-2"/>
    <n v="9.79206117184621E-2"/>
  </r>
  <r>
    <x v="0"/>
    <x v="1"/>
    <x v="7"/>
    <n v="4.4220611718462102E-2"/>
    <n v="3.8700000000000005E-2"/>
    <n v="1.4999999999999999E-2"/>
    <n v="9.79206117184621E-2"/>
  </r>
  <r>
    <x v="0"/>
    <x v="1"/>
    <x v="8"/>
    <n v="4.3667854071981323E-2"/>
    <n v="3.8700000000000005E-2"/>
    <n v="1.4999999999999999E-2"/>
    <n v="9.7367854071981327E-2"/>
  </r>
  <r>
    <x v="0"/>
    <x v="1"/>
    <x v="9"/>
    <n v="4.311509642550055E-2"/>
    <n v="3.8700000000000005E-2"/>
    <n v="1.4999999999999999E-2"/>
    <n v="9.6815096425500555E-2"/>
  </r>
  <r>
    <x v="0"/>
    <x v="1"/>
    <x v="10"/>
    <n v="4.256233877901977E-2"/>
    <n v="3.8700000000000005E-2"/>
    <n v="1.4999999999999999E-2"/>
    <n v="9.6262338779019782E-2"/>
  </r>
  <r>
    <x v="0"/>
    <x v="1"/>
    <x v="11"/>
    <n v="4.2009581132539005E-2"/>
    <n v="3.8700000000000005E-2"/>
    <n v="1.4999999999999999E-2"/>
    <n v="9.5709581132539009E-2"/>
  </r>
  <r>
    <x v="0"/>
    <x v="1"/>
    <x v="12"/>
    <n v="4.1456823486058225E-2"/>
    <n v="3.8700000000000005E-2"/>
    <n v="1.4999999999999999E-2"/>
    <n v="9.5156823486058237E-2"/>
  </r>
  <r>
    <x v="0"/>
    <x v="1"/>
    <x v="13"/>
    <n v="4.0904065839577446E-2"/>
    <n v="3.8700000000000005E-2"/>
    <n v="1.4999999999999999E-2"/>
    <n v="9.460406583957745E-2"/>
  </r>
  <r>
    <x v="0"/>
    <x v="1"/>
    <x v="14"/>
    <n v="4.0351308193096673E-2"/>
    <n v="3.8700000000000005E-2"/>
    <n v="1.4999999999999999E-2"/>
    <n v="9.4051308193096678E-2"/>
  </r>
  <r>
    <x v="0"/>
    <x v="1"/>
    <x v="15"/>
    <n v="3.9798550546615893E-2"/>
    <n v="3.8700000000000005E-2"/>
    <n v="1.4999999999999999E-2"/>
    <n v="9.3498550546615891E-2"/>
  </r>
  <r>
    <x v="0"/>
    <x v="1"/>
    <x v="16"/>
    <n v="3.8693035253654341E-2"/>
    <n v="3.8700000000000005E-2"/>
    <n v="1.4999999999999999E-2"/>
    <n v="9.2393035253654346E-2"/>
  </r>
  <r>
    <x v="0"/>
    <x v="1"/>
    <x v="17"/>
    <n v="3.8693035253654341E-2"/>
    <n v="3.8700000000000005E-2"/>
    <n v="1.4999999999999999E-2"/>
    <n v="9.2393035253654346E-2"/>
  </r>
  <r>
    <x v="0"/>
    <x v="1"/>
    <x v="18"/>
    <n v="3.8385947672276134E-2"/>
    <n v="3.8700000000000005E-2"/>
    <n v="1.4999999999999999E-2"/>
    <n v="9.2085947672276139E-2"/>
  </r>
  <r>
    <x v="0"/>
    <x v="1"/>
    <x v="19"/>
    <n v="3.807886009089792E-2"/>
    <n v="3.8700000000000005E-2"/>
    <n v="1.4999999999999999E-2"/>
    <n v="9.1778860090897932E-2"/>
  </r>
  <r>
    <x v="0"/>
    <x v="1"/>
    <x v="20"/>
    <n v="3.7771772509519713E-2"/>
    <n v="3.8700000000000005E-2"/>
    <n v="1.4999999999999999E-2"/>
    <n v="9.1471772509519725E-2"/>
  </r>
  <r>
    <x v="0"/>
    <x v="1"/>
    <x v="21"/>
    <n v="3.7464684928141506E-2"/>
    <n v="3.8700000000000005E-2"/>
    <n v="1.4999999999999999E-2"/>
    <n v="9.1164684928141518E-2"/>
  </r>
  <r>
    <x v="0"/>
    <x v="1"/>
    <x v="22"/>
    <n v="3.7157597346763299E-2"/>
    <n v="3.8700000000000005E-2"/>
    <n v="1.4999999999999999E-2"/>
    <n v="9.0857597346763311E-2"/>
  </r>
  <r>
    <x v="0"/>
    <x v="1"/>
    <x v="23"/>
    <n v="3.6850509765385085E-2"/>
    <n v="3.8700000000000005E-2"/>
    <n v="1.4999999999999999E-2"/>
    <n v="9.055050976538509E-2"/>
  </r>
  <r>
    <x v="0"/>
    <x v="1"/>
    <x v="24"/>
    <n v="3.6543422184006878E-2"/>
    <n v="3.8700000000000005E-2"/>
    <n v="1.4999999999999999E-2"/>
    <n v="9.0243422184006883E-2"/>
  </r>
  <r>
    <x v="0"/>
    <x v="1"/>
    <x v="25"/>
    <n v="3.6236334602628671E-2"/>
    <n v="3.8700000000000005E-2"/>
    <n v="1.4999999999999999E-2"/>
    <n v="8.9936334602628676E-2"/>
  </r>
  <r>
    <x v="0"/>
    <x v="1"/>
    <x v="26"/>
    <n v="3.562215943987225E-2"/>
    <n v="3.8700000000000005E-2"/>
    <n v="1.4999999999999999E-2"/>
    <n v="8.9322159439872248E-2"/>
  </r>
  <r>
    <x v="0"/>
    <x v="2"/>
    <x v="0"/>
    <n v="5.0362363346026284E-2"/>
    <n v="3.8700000000000005E-2"/>
    <n v="1.4999999999999999E-2"/>
    <n v="0.1040623633460263"/>
  </r>
  <r>
    <x v="0"/>
    <x v="2"/>
    <x v="1"/>
    <n v="4.6267862260983506E-2"/>
    <n v="3.8700000000000005E-2"/>
    <n v="1.4999999999999999E-2"/>
    <n v="9.9967862260983517E-2"/>
  </r>
  <r>
    <x v="0"/>
    <x v="2"/>
    <x v="2"/>
    <n v="4.2173361175940713E-2"/>
    <n v="3.8700000000000005E-2"/>
    <n v="1.4999999999999999E-2"/>
    <n v="9.5873361175940711E-2"/>
  </r>
  <r>
    <x v="0"/>
    <x v="2"/>
    <x v="3"/>
    <n v="3.807886009089792E-2"/>
    <n v="3.8700000000000005E-2"/>
    <n v="1.4999999999999999E-2"/>
    <n v="9.1778860090897932E-2"/>
  </r>
  <r>
    <x v="0"/>
    <x v="2"/>
    <x v="4"/>
    <n v="3.3984359005855135E-2"/>
    <n v="3.8700000000000005E-2"/>
    <n v="1.4999999999999999E-2"/>
    <n v="8.7684359005855139E-2"/>
  </r>
  <r>
    <x v="0"/>
    <x v="2"/>
    <x v="5"/>
    <n v="2.9889857920812345E-2"/>
    <n v="3.8700000000000005E-2"/>
    <n v="1.4999999999999999E-2"/>
    <n v="8.3589857920812347E-2"/>
  </r>
  <r>
    <x v="0"/>
    <x v="2"/>
    <x v="6"/>
    <n v="2.579535683576956E-2"/>
    <n v="3.8700000000000005E-2"/>
    <n v="1.4999999999999999E-2"/>
    <n v="7.9495356835769568E-2"/>
  </r>
  <r>
    <x v="0"/>
    <x v="2"/>
    <x v="7"/>
    <n v="2.579535683576956E-2"/>
    <n v="3.8700000000000005E-2"/>
    <n v="1.4999999999999999E-2"/>
    <n v="7.9495356835769568E-2"/>
  </r>
  <r>
    <x v="0"/>
    <x v="2"/>
    <x v="8"/>
    <n v="2.5058346640461856E-2"/>
    <n v="3.8700000000000005E-2"/>
    <n v="1.4999999999999999E-2"/>
    <n v="7.8758346640461857E-2"/>
  </r>
  <r>
    <x v="0"/>
    <x v="2"/>
    <x v="9"/>
    <n v="2.4321336445154159E-2"/>
    <n v="3.8700000000000005E-2"/>
    <n v="1.4999999999999999E-2"/>
    <n v="7.802133644515416E-2"/>
  </r>
  <r>
    <x v="0"/>
    <x v="2"/>
    <x v="10"/>
    <n v="2.3584326249846455E-2"/>
    <n v="3.8700000000000005E-2"/>
    <n v="1.4999999999999999E-2"/>
    <n v="7.7284326249846463E-2"/>
  </r>
  <r>
    <x v="0"/>
    <x v="2"/>
    <x v="11"/>
    <n v="2.2847316054538755E-2"/>
    <n v="3.8700000000000005E-2"/>
    <n v="1.4999999999999999E-2"/>
    <n v="7.6547316054538767E-2"/>
  </r>
  <r>
    <x v="0"/>
    <x v="2"/>
    <x v="12"/>
    <n v="2.2110305859231051E-2"/>
    <n v="3.8700000000000005E-2"/>
    <n v="1.4999999999999999E-2"/>
    <n v="7.5810305859231056E-2"/>
  </r>
  <r>
    <x v="0"/>
    <x v="2"/>
    <x v="13"/>
    <n v="2.1373295663923347E-2"/>
    <n v="3.8700000000000005E-2"/>
    <n v="1.4999999999999999E-2"/>
    <n v="7.5073295663923345E-2"/>
  </r>
  <r>
    <x v="0"/>
    <x v="2"/>
    <x v="14"/>
    <n v="2.063628546861565E-2"/>
    <n v="3.8700000000000005E-2"/>
    <n v="1.4999999999999999E-2"/>
    <n v="7.4336285468615648E-2"/>
  </r>
  <r>
    <x v="0"/>
    <x v="2"/>
    <x v="15"/>
    <n v="1.9899275273307947E-2"/>
    <n v="3.8700000000000005E-2"/>
    <n v="1.4999999999999999E-2"/>
    <n v="7.3599275273307951E-2"/>
  </r>
  <r>
    <x v="0"/>
    <x v="2"/>
    <x v="16"/>
    <n v="1.8425254882692543E-2"/>
    <n v="3.8700000000000005E-2"/>
    <n v="1.4999999999999999E-2"/>
    <n v="7.2125254882692544E-2"/>
  </r>
  <r>
    <x v="0"/>
    <x v="2"/>
    <x v="17"/>
    <n v="1.8425254882692543E-2"/>
    <n v="3.8700000000000005E-2"/>
    <n v="1.4999999999999999E-2"/>
    <n v="7.2125254882692544E-2"/>
  </r>
  <r>
    <x v="0"/>
    <x v="2"/>
    <x v="18"/>
    <n v="1.8118167301314336E-2"/>
    <n v="3.8700000000000005E-2"/>
    <n v="1.4999999999999999E-2"/>
    <n v="7.1818167301314337E-2"/>
  </r>
  <r>
    <x v="0"/>
    <x v="2"/>
    <x v="19"/>
    <n v="1.7811079719936125E-2"/>
    <n v="3.8700000000000005E-2"/>
    <n v="1.4999999999999999E-2"/>
    <n v="7.151107971993613E-2"/>
  </r>
  <r>
    <x v="0"/>
    <x v="2"/>
    <x v="20"/>
    <n v="1.7503992138557915E-2"/>
    <n v="3.8700000000000005E-2"/>
    <n v="1.4999999999999999E-2"/>
    <n v="7.1203992138557923E-2"/>
  </r>
  <r>
    <x v="0"/>
    <x v="2"/>
    <x v="21"/>
    <n v="1.7196904557179708E-2"/>
    <n v="3.8700000000000005E-2"/>
    <n v="1.4999999999999999E-2"/>
    <n v="7.0896904557179716E-2"/>
  </r>
  <r>
    <x v="0"/>
    <x v="2"/>
    <x v="22"/>
    <n v="1.6889816975801497E-2"/>
    <n v="3.8700000000000005E-2"/>
    <n v="1.4999999999999999E-2"/>
    <n v="7.0589816975801495E-2"/>
  </r>
  <r>
    <x v="0"/>
    <x v="2"/>
    <x v="23"/>
    <n v="1.658272939442329E-2"/>
    <n v="3.8700000000000005E-2"/>
    <n v="1.4999999999999999E-2"/>
    <n v="7.0282729394423288E-2"/>
  </r>
  <r>
    <x v="0"/>
    <x v="2"/>
    <x v="24"/>
    <n v="1.627564181304508E-2"/>
    <n v="3.8700000000000005E-2"/>
    <n v="1.4999999999999999E-2"/>
    <n v="6.9975641813045081E-2"/>
  </r>
  <r>
    <x v="0"/>
    <x v="2"/>
    <x v="25"/>
    <n v="1.5968554231666873E-2"/>
    <n v="3.8700000000000005E-2"/>
    <n v="1.4999999999999999E-2"/>
    <n v="6.9668554231666874E-2"/>
  </r>
  <r>
    <x v="0"/>
    <x v="2"/>
    <x v="26"/>
    <n v="1.5354379068910453E-2"/>
    <n v="3.8700000000000005E-2"/>
    <n v="1.4999999999999999E-2"/>
    <n v="6.905437906891046E-2"/>
  </r>
  <r>
    <x v="1"/>
    <x v="0"/>
    <x v="0"/>
    <n v="4.1296928327645047E-2"/>
    <n v="3.8700000000000005E-2"/>
    <n v="4.1269841269841276E-2"/>
    <n v="0.12126676959748632"/>
  </r>
  <r>
    <x v="1"/>
    <x v="0"/>
    <x v="1"/>
    <n v="3.811149032992036E-2"/>
    <n v="3.8700000000000005E-2"/>
    <n v="4.1269841269841276E-2"/>
    <n v="0.11808133159976164"/>
  </r>
  <r>
    <x v="1"/>
    <x v="0"/>
    <x v="2"/>
    <n v="3.4926052332195673E-2"/>
    <n v="3.8700000000000005E-2"/>
    <n v="4.1269841269841276E-2"/>
    <n v="0.11489589360203696"/>
  </r>
  <r>
    <x v="1"/>
    <x v="0"/>
    <x v="3"/>
    <n v="3.1740614334470993E-2"/>
    <n v="3.8700000000000005E-2"/>
    <n v="4.1269841269841276E-2"/>
    <n v="0.11171045560431227"/>
  </r>
  <r>
    <x v="1"/>
    <x v="0"/>
    <x v="4"/>
    <n v="2.8555176336746303E-2"/>
    <n v="3.8700000000000005E-2"/>
    <n v="4.1269841269841276E-2"/>
    <n v="0.10852501760658759"/>
  </r>
  <r>
    <x v="1"/>
    <x v="0"/>
    <x v="5"/>
    <n v="2.5369738339021616E-2"/>
    <n v="3.8700000000000005E-2"/>
    <n v="4.1269841269841276E-2"/>
    <n v="0.10533957960886289"/>
  </r>
  <r>
    <x v="1"/>
    <x v="0"/>
    <x v="6"/>
    <n v="2.2184300341296929E-2"/>
    <n v="3.8700000000000005E-2"/>
    <n v="4.1269841269841276E-2"/>
    <n v="0.10215414161113821"/>
  </r>
  <r>
    <x v="1"/>
    <x v="0"/>
    <x v="7"/>
    <n v="2.2184300341296929E-2"/>
    <n v="3.8700000000000005E-2"/>
    <n v="4.1269841269841276E-2"/>
    <n v="0.10215414161113821"/>
  </r>
  <r>
    <x v="1"/>
    <x v="0"/>
    <x v="8"/>
    <n v="2.2559726962457338E-2"/>
    <n v="3.8700000000000005E-2"/>
    <n v="4.1269841269841276E-2"/>
    <n v="0.10252956823229861"/>
  </r>
  <r>
    <x v="1"/>
    <x v="0"/>
    <x v="9"/>
    <n v="2.2935153583617748E-2"/>
    <n v="3.8700000000000005E-2"/>
    <n v="4.1269841269841276E-2"/>
    <n v="0.10290499485345903"/>
  </r>
  <r>
    <x v="1"/>
    <x v="0"/>
    <x v="10"/>
    <n v="2.3310580204778157E-2"/>
    <n v="3.8700000000000005E-2"/>
    <n v="4.1269841269841276E-2"/>
    <n v="0.10328042147461944"/>
  </r>
  <r>
    <x v="1"/>
    <x v="0"/>
    <x v="11"/>
    <n v="2.3686006825938567E-2"/>
    <n v="3.8700000000000005E-2"/>
    <n v="4.1269841269841276E-2"/>
    <n v="0.10365584809577985"/>
  </r>
  <r>
    <x v="1"/>
    <x v="0"/>
    <x v="12"/>
    <n v="2.4061433447098976E-2"/>
    <n v="3.8700000000000005E-2"/>
    <n v="4.1269841269841276E-2"/>
    <n v="0.10403127471694025"/>
  </r>
  <r>
    <x v="1"/>
    <x v="0"/>
    <x v="13"/>
    <n v="2.4436860068259385E-2"/>
    <n v="3.8700000000000005E-2"/>
    <n v="4.1269841269841276E-2"/>
    <n v="0.10440670133810066"/>
  </r>
  <r>
    <x v="1"/>
    <x v="0"/>
    <x v="14"/>
    <n v="2.4812286689419795E-2"/>
    <n v="3.8700000000000005E-2"/>
    <n v="4.1269841269841276E-2"/>
    <n v="0.10478212795926108"/>
  </r>
  <r>
    <x v="1"/>
    <x v="0"/>
    <x v="15"/>
    <n v="2.5187713310580204E-2"/>
    <n v="3.8700000000000005E-2"/>
    <n v="4.1269841269841276E-2"/>
    <n v="0.10515755458042149"/>
  </r>
  <r>
    <x v="1"/>
    <x v="0"/>
    <x v="16"/>
    <n v="2.5938566552901023E-2"/>
    <n v="3.8700000000000005E-2"/>
    <n v="4.1269841269841276E-2"/>
    <n v="0.1059084078227423"/>
  </r>
  <r>
    <x v="1"/>
    <x v="0"/>
    <x v="17"/>
    <n v="2.5938566552901023E-2"/>
    <n v="3.8700000000000005E-2"/>
    <n v="4.1269841269841276E-2"/>
    <n v="0.1059084078227423"/>
  </r>
  <r>
    <x v="1"/>
    <x v="0"/>
    <x v="18"/>
    <n v="2.5972696245733787E-2"/>
    <n v="3.8700000000000005E-2"/>
    <n v="4.1269841269841276E-2"/>
    <n v="0.10594253751557507"/>
  </r>
  <r>
    <x v="1"/>
    <x v="0"/>
    <x v="19"/>
    <n v="2.6006825938566552E-2"/>
    <n v="3.8700000000000005E-2"/>
    <n v="4.1269841269841276E-2"/>
    <n v="0.10597666720840783"/>
  </r>
  <r>
    <x v="1"/>
    <x v="0"/>
    <x v="20"/>
    <n v="2.6040955631399316E-2"/>
    <n v="3.8700000000000005E-2"/>
    <n v="4.1269841269841276E-2"/>
    <n v="0.1060107969012406"/>
  </r>
  <r>
    <x v="1"/>
    <x v="0"/>
    <x v="21"/>
    <n v="2.607508532423208E-2"/>
    <n v="3.8700000000000005E-2"/>
    <n v="4.1269841269841276E-2"/>
    <n v="0.10604492659407336"/>
  </r>
  <r>
    <x v="1"/>
    <x v="0"/>
    <x v="22"/>
    <n v="2.6109215017064848E-2"/>
    <n v="3.8700000000000005E-2"/>
    <n v="4.1269841269841276E-2"/>
    <n v="0.10607905628690613"/>
  </r>
  <r>
    <x v="1"/>
    <x v="0"/>
    <x v="23"/>
    <n v="2.6143344709897612E-2"/>
    <n v="3.8700000000000005E-2"/>
    <n v="4.1269841269841276E-2"/>
    <n v="0.10611318597973889"/>
  </r>
  <r>
    <x v="1"/>
    <x v="0"/>
    <x v="24"/>
    <n v="2.6177474402730376E-2"/>
    <n v="3.8700000000000005E-2"/>
    <n v="4.1269841269841276E-2"/>
    <n v="0.10614731567257166"/>
  </r>
  <r>
    <x v="1"/>
    <x v="0"/>
    <x v="25"/>
    <n v="2.621160409556314E-2"/>
    <n v="3.8700000000000005E-2"/>
    <n v="4.1269841269841276E-2"/>
    <n v="0.10618144536540443"/>
  </r>
  <r>
    <x v="1"/>
    <x v="0"/>
    <x v="26"/>
    <n v="2.6279863481228669E-2"/>
    <n v="3.8700000000000005E-2"/>
    <n v="4.1269841269841276E-2"/>
    <n v="0.10624970475106994"/>
  </r>
  <r>
    <x v="1"/>
    <x v="1"/>
    <x v="0"/>
    <n v="4.1296928327645047E-2"/>
    <n v="3.8700000000000005E-2"/>
    <n v="4.1269841269841276E-2"/>
    <n v="0.12126676959748632"/>
  </r>
  <r>
    <x v="1"/>
    <x v="1"/>
    <x v="1"/>
    <n v="3.7827076222980656E-2"/>
    <n v="3.8700000000000005E-2"/>
    <n v="4.1269841269841276E-2"/>
    <n v="0.11779691749282194"/>
  </r>
  <r>
    <x v="1"/>
    <x v="1"/>
    <x v="2"/>
    <n v="3.4357224118316265E-2"/>
    <n v="3.8700000000000005E-2"/>
    <n v="4.1269841269841276E-2"/>
    <n v="0.11432706538815755"/>
  </r>
  <r>
    <x v="1"/>
    <x v="1"/>
    <x v="3"/>
    <n v="3.0887372013651878E-2"/>
    <n v="3.8700000000000005E-2"/>
    <n v="4.1269841269841276E-2"/>
    <n v="0.11085721328349316"/>
  </r>
  <r>
    <x v="1"/>
    <x v="1"/>
    <x v="4"/>
    <n v="2.7417519908987484E-2"/>
    <n v="3.8700000000000005E-2"/>
    <n v="4.1269841269841276E-2"/>
    <n v="0.10738736117882876"/>
  </r>
  <r>
    <x v="1"/>
    <x v="1"/>
    <x v="5"/>
    <n v="2.3947667804323093E-2"/>
    <n v="3.8700000000000005E-2"/>
    <n v="4.1269841269841276E-2"/>
    <n v="0.10391750907416437"/>
  </r>
  <r>
    <x v="1"/>
    <x v="1"/>
    <x v="6"/>
    <n v="2.0477815699658702E-2"/>
    <n v="3.8700000000000005E-2"/>
    <n v="4.1269841269841276E-2"/>
    <n v="0.10044765696949998"/>
  </r>
  <r>
    <x v="1"/>
    <x v="1"/>
    <x v="7"/>
    <n v="2.0477815699658702E-2"/>
    <n v="3.8700000000000005E-2"/>
    <n v="4.1269841269841276E-2"/>
    <n v="0.10044765696949998"/>
  </r>
  <r>
    <x v="1"/>
    <x v="1"/>
    <x v="8"/>
    <n v="2.0204778156996585E-2"/>
    <n v="3.8700000000000005E-2"/>
    <n v="4.1269841269841276E-2"/>
    <n v="0.10017461942683786"/>
  </r>
  <r>
    <x v="1"/>
    <x v="1"/>
    <x v="9"/>
    <n v="1.9931740614334472E-2"/>
    <n v="3.8700000000000005E-2"/>
    <n v="4.1269841269841276E-2"/>
    <n v="9.990158188417575E-2"/>
  </r>
  <r>
    <x v="1"/>
    <x v="1"/>
    <x v="10"/>
    <n v="1.9658703071672355E-2"/>
    <n v="3.8700000000000005E-2"/>
    <n v="4.1269841269841276E-2"/>
    <n v="9.9628544341513636E-2"/>
  </r>
  <r>
    <x v="1"/>
    <x v="1"/>
    <x v="11"/>
    <n v="1.9385665529010238E-2"/>
    <n v="3.8700000000000005E-2"/>
    <n v="4.1269841269841276E-2"/>
    <n v="9.9355506798851523E-2"/>
  </r>
  <r>
    <x v="1"/>
    <x v="1"/>
    <x v="12"/>
    <n v="1.9112627986348121E-2"/>
    <n v="3.8700000000000005E-2"/>
    <n v="4.1269841269841276E-2"/>
    <n v="9.9082469256189409E-2"/>
  </r>
  <r>
    <x v="1"/>
    <x v="1"/>
    <x v="13"/>
    <n v="1.8839590443686008E-2"/>
    <n v="3.8700000000000005E-2"/>
    <n v="4.1269841269841276E-2"/>
    <n v="9.8809431713527296E-2"/>
  </r>
  <r>
    <x v="1"/>
    <x v="1"/>
    <x v="14"/>
    <n v="1.8566552901023891E-2"/>
    <n v="3.8700000000000005E-2"/>
    <n v="4.1269841269841276E-2"/>
    <n v="9.8536394170865169E-2"/>
  </r>
  <r>
    <x v="1"/>
    <x v="1"/>
    <x v="15"/>
    <n v="1.8293515358361778E-2"/>
    <n v="3.8700000000000005E-2"/>
    <n v="4.1269841269841276E-2"/>
    <n v="9.8263356628203055E-2"/>
  </r>
  <r>
    <x v="1"/>
    <x v="1"/>
    <x v="16"/>
    <n v="1.7747440273037544E-2"/>
    <n v="3.8700000000000005E-2"/>
    <n v="4.1269841269841276E-2"/>
    <n v="9.7717281542878828E-2"/>
  </r>
  <r>
    <x v="1"/>
    <x v="1"/>
    <x v="17"/>
    <n v="1.7747440273037544E-2"/>
    <n v="3.8700000000000005E-2"/>
    <n v="4.1269841269841276E-2"/>
    <n v="9.7717281542878828E-2"/>
  </r>
  <r>
    <x v="1"/>
    <x v="1"/>
    <x v="18"/>
    <n v="1.7747440273037544E-2"/>
    <n v="3.8700000000000005E-2"/>
    <n v="4.1269841269841276E-2"/>
    <n v="9.7717281542878828E-2"/>
  </r>
  <r>
    <x v="1"/>
    <x v="1"/>
    <x v="19"/>
    <n v="1.7747440273037544E-2"/>
    <n v="3.8700000000000005E-2"/>
    <n v="4.1269841269841276E-2"/>
    <n v="9.7717281542878828E-2"/>
  </r>
  <r>
    <x v="1"/>
    <x v="1"/>
    <x v="20"/>
    <n v="1.7747440273037544E-2"/>
    <n v="3.8700000000000005E-2"/>
    <n v="4.1269841269841276E-2"/>
    <n v="9.7717281542878828E-2"/>
  </r>
  <r>
    <x v="1"/>
    <x v="1"/>
    <x v="21"/>
    <n v="1.7747440273037544E-2"/>
    <n v="3.8700000000000005E-2"/>
    <n v="4.1269841269841276E-2"/>
    <n v="9.7717281542878828E-2"/>
  </r>
  <r>
    <x v="1"/>
    <x v="1"/>
    <x v="22"/>
    <n v="1.7747440273037544E-2"/>
    <n v="3.8700000000000005E-2"/>
    <n v="4.1269841269841276E-2"/>
    <n v="9.7717281542878828E-2"/>
  </r>
  <r>
    <x v="1"/>
    <x v="1"/>
    <x v="23"/>
    <n v="1.7747440273037544E-2"/>
    <n v="3.8700000000000005E-2"/>
    <n v="4.1269841269841276E-2"/>
    <n v="9.7717281542878828E-2"/>
  </r>
  <r>
    <x v="1"/>
    <x v="1"/>
    <x v="24"/>
    <n v="1.7747440273037544E-2"/>
    <n v="3.8700000000000005E-2"/>
    <n v="4.1269841269841276E-2"/>
    <n v="9.7717281542878828E-2"/>
  </r>
  <r>
    <x v="1"/>
    <x v="1"/>
    <x v="25"/>
    <n v="1.7747440273037544E-2"/>
    <n v="3.8700000000000005E-2"/>
    <n v="4.1269841269841276E-2"/>
    <n v="9.7717281542878828E-2"/>
  </r>
  <r>
    <x v="1"/>
    <x v="1"/>
    <x v="26"/>
    <n v="1.7747440273037544E-2"/>
    <n v="3.8700000000000005E-2"/>
    <n v="4.1269841269841276E-2"/>
    <n v="9.7717281542878828E-2"/>
  </r>
  <r>
    <x v="1"/>
    <x v="2"/>
    <x v="0"/>
    <n v="4.1296928327645047E-2"/>
    <n v="3.8700000000000005E-2"/>
    <n v="4.1269841269841276E-2"/>
    <n v="0.12126676959748632"/>
  </r>
  <r>
    <x v="1"/>
    <x v="2"/>
    <x v="1"/>
    <n v="3.6916951080773606E-2"/>
    <n v="3.8700000000000005E-2"/>
    <n v="4.1269841269841276E-2"/>
    <n v="0.11688679235061489"/>
  </r>
  <r>
    <x v="1"/>
    <x v="2"/>
    <x v="2"/>
    <n v="3.2536973833902159E-2"/>
    <n v="3.8700000000000005E-2"/>
    <n v="4.1269841269841276E-2"/>
    <n v="0.11250681510374344"/>
  </r>
  <r>
    <x v="1"/>
    <x v="2"/>
    <x v="3"/>
    <n v="2.8156996587030716E-2"/>
    <n v="3.8700000000000005E-2"/>
    <n v="4.1269841269841276E-2"/>
    <n v="0.10812683785687199"/>
  </r>
  <r>
    <x v="1"/>
    <x v="2"/>
    <x v="4"/>
    <n v="2.3777019340159272E-2"/>
    <n v="3.8700000000000005E-2"/>
    <n v="4.1269841269841276E-2"/>
    <n v="0.10374686061000055"/>
  </r>
  <r>
    <x v="1"/>
    <x v="2"/>
    <x v="5"/>
    <n v="1.9397042093287829E-2"/>
    <n v="3.8700000000000005E-2"/>
    <n v="4.1269841269841276E-2"/>
    <n v="9.9366883363129113E-2"/>
  </r>
  <r>
    <x v="1"/>
    <x v="2"/>
    <x v="6"/>
    <n v="1.5017064846416383E-2"/>
    <n v="3.8700000000000005E-2"/>
    <n v="4.1269841269841276E-2"/>
    <n v="9.4986906116257666E-2"/>
  </r>
  <r>
    <x v="1"/>
    <x v="2"/>
    <x v="7"/>
    <n v="1.5017064846416383E-2"/>
    <n v="3.8700000000000005E-2"/>
    <n v="4.1269841269841276E-2"/>
    <n v="9.4986906116257666E-2"/>
  </r>
  <r>
    <x v="1"/>
    <x v="2"/>
    <x v="8"/>
    <n v="1.4914675767918089E-2"/>
    <n v="3.8700000000000005E-2"/>
    <n v="4.1269841269841276E-2"/>
    <n v="9.4884517037759367E-2"/>
  </r>
  <r>
    <x v="1"/>
    <x v="2"/>
    <x v="9"/>
    <n v="1.4812286689419795E-2"/>
    <n v="3.8700000000000005E-2"/>
    <n v="4.1269841269841276E-2"/>
    <n v="9.4782127959261081E-2"/>
  </r>
  <r>
    <x v="1"/>
    <x v="2"/>
    <x v="10"/>
    <n v="1.4709897610921504E-2"/>
    <n v="3.8700000000000005E-2"/>
    <n v="4.1269841269841276E-2"/>
    <n v="9.4679738880762782E-2"/>
  </r>
  <r>
    <x v="1"/>
    <x v="2"/>
    <x v="11"/>
    <n v="1.460750853242321E-2"/>
    <n v="3.8700000000000005E-2"/>
    <n v="4.1269841269841276E-2"/>
    <n v="9.4577349802264482E-2"/>
  </r>
  <r>
    <x v="1"/>
    <x v="2"/>
    <x v="12"/>
    <n v="1.4505119453924915E-2"/>
    <n v="3.8700000000000005E-2"/>
    <n v="4.1269841269841276E-2"/>
    <n v="9.4474960723766196E-2"/>
  </r>
  <r>
    <x v="1"/>
    <x v="2"/>
    <x v="13"/>
    <n v="1.4402730375426621E-2"/>
    <n v="3.8700000000000005E-2"/>
    <n v="4.1269841269841276E-2"/>
    <n v="9.4372571645267911E-2"/>
  </r>
  <r>
    <x v="1"/>
    <x v="2"/>
    <x v="14"/>
    <n v="1.4300341296928327E-2"/>
    <n v="3.8700000000000005E-2"/>
    <n v="4.1269841269841276E-2"/>
    <n v="9.4270182566769611E-2"/>
  </r>
  <r>
    <x v="1"/>
    <x v="2"/>
    <x v="15"/>
    <n v="1.4197952218430034E-2"/>
    <n v="3.8700000000000005E-2"/>
    <n v="4.1269841269841276E-2"/>
    <n v="9.4167793488271312E-2"/>
  </r>
  <r>
    <x v="1"/>
    <x v="2"/>
    <x v="16"/>
    <n v="1.3993174061433446E-2"/>
    <n v="3.8700000000000005E-2"/>
    <n v="4.1269841269841276E-2"/>
    <n v="9.3963015331274727E-2"/>
  </r>
  <r>
    <x v="1"/>
    <x v="2"/>
    <x v="17"/>
    <n v="1.3993174061433446E-2"/>
    <n v="3.8700000000000005E-2"/>
    <n v="4.1269841269841276E-2"/>
    <n v="9.3963015331274727E-2"/>
  </r>
  <r>
    <x v="1"/>
    <x v="2"/>
    <x v="18"/>
    <n v="1.3959044368600682E-2"/>
    <n v="3.8700000000000005E-2"/>
    <n v="4.1269841269841276E-2"/>
    <n v="9.3928885638441956E-2"/>
  </r>
  <r>
    <x v="1"/>
    <x v="2"/>
    <x v="19"/>
    <n v="1.3924914675767919E-2"/>
    <n v="3.8700000000000005E-2"/>
    <n v="4.1269841269841276E-2"/>
    <n v="9.3894755945609198E-2"/>
  </r>
  <r>
    <x v="1"/>
    <x v="2"/>
    <x v="20"/>
    <n v="1.3890784982935151E-2"/>
    <n v="3.8700000000000005E-2"/>
    <n v="4.1269841269841276E-2"/>
    <n v="9.3860626252776441E-2"/>
  </r>
  <r>
    <x v="1"/>
    <x v="2"/>
    <x v="21"/>
    <n v="1.3856655290102387E-2"/>
    <n v="3.8700000000000005E-2"/>
    <n v="4.1269841269841276E-2"/>
    <n v="9.382649655994367E-2"/>
  </r>
  <r>
    <x v="1"/>
    <x v="2"/>
    <x v="22"/>
    <n v="1.3822525597269625E-2"/>
    <n v="3.8700000000000005E-2"/>
    <n v="4.1269841269841276E-2"/>
    <n v="9.3792366867110899E-2"/>
  </r>
  <r>
    <x v="1"/>
    <x v="2"/>
    <x v="23"/>
    <n v="1.3788395904436861E-2"/>
    <n v="3.8700000000000005E-2"/>
    <n v="4.1269841269841276E-2"/>
    <n v="9.3758237174278142E-2"/>
  </r>
  <r>
    <x v="1"/>
    <x v="2"/>
    <x v="24"/>
    <n v="1.3754266211604096E-2"/>
    <n v="3.8700000000000005E-2"/>
    <n v="4.1269841269841276E-2"/>
    <n v="9.3724107481445385E-2"/>
  </r>
  <r>
    <x v="1"/>
    <x v="2"/>
    <x v="25"/>
    <n v="1.3720136518771329E-2"/>
    <n v="3.8700000000000005E-2"/>
    <n v="4.1269841269841276E-2"/>
    <n v="9.3689977788612613E-2"/>
  </r>
  <r>
    <x v="1"/>
    <x v="2"/>
    <x v="26"/>
    <n v="1.3651877133105802E-2"/>
    <n v="3.8700000000000005E-2"/>
    <n v="4.1269841269841276E-2"/>
    <n v="9.3621718402947085E-2"/>
  </r>
  <r>
    <x v="2"/>
    <x v="0"/>
    <x v="0"/>
    <n v="0.184"/>
    <n v="0.01"/>
    <n v="0.05"/>
    <n v="0.24399999999999999"/>
  </r>
  <r>
    <x v="2"/>
    <x v="0"/>
    <x v="1"/>
    <n v="0.2"/>
    <n v="0.01"/>
    <n v="0.05"/>
    <n v="0.26"/>
  </r>
  <r>
    <x v="2"/>
    <x v="0"/>
    <x v="2"/>
    <n v="0.184"/>
    <n v="0.01"/>
    <n v="0.05"/>
    <n v="0.24399999999999999"/>
  </r>
  <r>
    <x v="2"/>
    <x v="0"/>
    <x v="3"/>
    <n v="0.16800000000000001"/>
    <n v="0.01"/>
    <n v="0.05"/>
    <n v="0.22800000000000004"/>
  </r>
  <r>
    <x v="2"/>
    <x v="0"/>
    <x v="4"/>
    <n v="0.152"/>
    <n v="0.01"/>
    <n v="0.05"/>
    <n v="0.21200000000000002"/>
  </r>
  <r>
    <x v="2"/>
    <x v="0"/>
    <x v="5"/>
    <n v="0.13600000000000001"/>
    <n v="0.01"/>
    <n v="0.05"/>
    <n v="0.19600000000000001"/>
  </r>
  <r>
    <x v="2"/>
    <x v="0"/>
    <x v="6"/>
    <n v="0.12"/>
    <n v="0.01"/>
    <n v="0.05"/>
    <n v="0.18"/>
  </r>
  <r>
    <x v="2"/>
    <x v="0"/>
    <x v="7"/>
    <n v="0.122"/>
    <n v="0.01"/>
    <n v="0.05"/>
    <n v="0.182"/>
  </r>
  <r>
    <x v="2"/>
    <x v="0"/>
    <x v="8"/>
    <n v="0.124"/>
    <n v="0.01"/>
    <n v="0.05"/>
    <n v="0.184"/>
  </r>
  <r>
    <x v="2"/>
    <x v="0"/>
    <x v="9"/>
    <n v="0.126"/>
    <n v="0.01"/>
    <n v="0.05"/>
    <n v="0.186"/>
  </r>
  <r>
    <x v="2"/>
    <x v="0"/>
    <x v="10"/>
    <n v="0.128"/>
    <n v="0.01"/>
    <n v="0.05"/>
    <n v="0.188"/>
  </r>
  <r>
    <x v="2"/>
    <x v="0"/>
    <x v="11"/>
    <n v="0.11"/>
    <n v="0.01"/>
    <n v="0.05"/>
    <n v="0.16999999999999998"/>
  </r>
  <r>
    <x v="2"/>
    <x v="0"/>
    <x v="12"/>
    <n v="0.112"/>
    <n v="0.01"/>
    <n v="0.05"/>
    <n v="0.17199999999999999"/>
  </r>
  <r>
    <x v="2"/>
    <x v="0"/>
    <x v="13"/>
    <n v="0.114"/>
    <n v="0.01"/>
    <n v="0.05"/>
    <n v="0.17399999999999999"/>
  </r>
  <r>
    <x v="2"/>
    <x v="0"/>
    <x v="14"/>
    <n v="0.11600000000000001"/>
    <n v="0.01"/>
    <n v="0.05"/>
    <n v="0.17599999999999999"/>
  </r>
  <r>
    <x v="2"/>
    <x v="0"/>
    <x v="15"/>
    <n v="0.11799999999999999"/>
    <n v="0.01"/>
    <n v="0.05"/>
    <n v="0.17799999999999999"/>
  </r>
  <r>
    <x v="2"/>
    <x v="0"/>
    <x v="16"/>
    <n v="0.1"/>
    <n v="0.01"/>
    <n v="0.05"/>
    <n v="0.16"/>
  </r>
  <r>
    <x v="2"/>
    <x v="0"/>
    <x v="17"/>
    <n v="0.1"/>
    <n v="0.01"/>
    <n v="0.05"/>
    <n v="0.16"/>
  </r>
  <r>
    <x v="2"/>
    <x v="0"/>
    <x v="18"/>
    <n v="0.1"/>
    <n v="0.01"/>
    <n v="0.05"/>
    <n v="0.16"/>
  </r>
  <r>
    <x v="2"/>
    <x v="0"/>
    <x v="19"/>
    <n v="0.1"/>
    <n v="0.01"/>
    <n v="0.05"/>
    <n v="0.16"/>
  </r>
  <r>
    <x v="2"/>
    <x v="0"/>
    <x v="20"/>
    <n v="0.1"/>
    <n v="0.01"/>
    <n v="0.05"/>
    <n v="0.16"/>
  </r>
  <r>
    <x v="2"/>
    <x v="0"/>
    <x v="21"/>
    <n v="0.1"/>
    <n v="0.01"/>
    <n v="0.05"/>
    <n v="0.16"/>
  </r>
  <r>
    <x v="2"/>
    <x v="0"/>
    <x v="22"/>
    <n v="0.1"/>
    <n v="0.01"/>
    <n v="0.05"/>
    <n v="0.16"/>
  </r>
  <r>
    <x v="2"/>
    <x v="0"/>
    <x v="23"/>
    <n v="0.1"/>
    <n v="0.01"/>
    <n v="0.05"/>
    <n v="0.16"/>
  </r>
  <r>
    <x v="2"/>
    <x v="0"/>
    <x v="24"/>
    <n v="0.1"/>
    <n v="0.01"/>
    <n v="0.05"/>
    <n v="0.16"/>
  </r>
  <r>
    <x v="2"/>
    <x v="0"/>
    <x v="25"/>
    <n v="0.1"/>
    <n v="0.01"/>
    <n v="0.05"/>
    <n v="0.16"/>
  </r>
  <r>
    <x v="2"/>
    <x v="0"/>
    <x v="26"/>
    <n v="0.1"/>
    <n v="0.01"/>
    <n v="0.05"/>
    <n v="0.16"/>
  </r>
  <r>
    <x v="2"/>
    <x v="1"/>
    <x v="0"/>
    <n v="0.127"/>
    <n v="0.01"/>
    <n v="0.05"/>
    <n v="0.187"/>
  </r>
  <r>
    <x v="2"/>
    <x v="1"/>
    <x v="1"/>
    <n v="0.14000000000000001"/>
    <n v="0.01"/>
    <n v="0.05"/>
    <n v="0.2"/>
  </r>
  <r>
    <x v="2"/>
    <x v="1"/>
    <x v="2"/>
    <n v="0.127"/>
    <n v="0.01"/>
    <n v="0.05"/>
    <n v="0.187"/>
  </r>
  <r>
    <x v="2"/>
    <x v="1"/>
    <x v="3"/>
    <n v="0.114"/>
    <n v="0.01"/>
    <n v="0.05"/>
    <n v="0.17399999999999999"/>
  </r>
  <r>
    <x v="2"/>
    <x v="1"/>
    <x v="4"/>
    <n v="0.10100000000000001"/>
    <n v="0.01"/>
    <n v="0.05"/>
    <n v="0.161"/>
  </r>
  <r>
    <x v="2"/>
    <x v="1"/>
    <x v="5"/>
    <n v="8.7999999999999995E-2"/>
    <n v="0.01"/>
    <n v="0.05"/>
    <n v="0.14799999999999999"/>
  </r>
  <r>
    <x v="2"/>
    <x v="1"/>
    <x v="6"/>
    <n v="7.4999999999999997E-2"/>
    <n v="0.01"/>
    <n v="0.05"/>
    <n v="0.13500000000000001"/>
  </r>
  <r>
    <x v="2"/>
    <x v="1"/>
    <x v="7"/>
    <n v="7.4999999999999997E-2"/>
    <n v="0.01"/>
    <n v="0.05"/>
    <n v="0.13500000000000001"/>
  </r>
  <r>
    <x v="2"/>
    <x v="1"/>
    <x v="8"/>
    <n v="7.4999999999999997E-2"/>
    <n v="0.01"/>
    <n v="0.05"/>
    <n v="0.13500000000000001"/>
  </r>
  <r>
    <x v="2"/>
    <x v="1"/>
    <x v="9"/>
    <n v="7.4999999999999997E-2"/>
    <n v="0.01"/>
    <n v="0.05"/>
    <n v="0.13500000000000001"/>
  </r>
  <r>
    <x v="2"/>
    <x v="1"/>
    <x v="10"/>
    <n v="7.4999999999999997E-2"/>
    <n v="0.01"/>
    <n v="0.05"/>
    <n v="0.13500000000000001"/>
  </r>
  <r>
    <x v="2"/>
    <x v="1"/>
    <x v="11"/>
    <n v="7.4999999999999997E-2"/>
    <n v="0.01"/>
    <n v="0.05"/>
    <n v="0.13500000000000001"/>
  </r>
  <r>
    <x v="2"/>
    <x v="1"/>
    <x v="12"/>
    <n v="7.4999999999999997E-2"/>
    <n v="0.01"/>
    <n v="0.05"/>
    <n v="0.13500000000000001"/>
  </r>
  <r>
    <x v="2"/>
    <x v="1"/>
    <x v="13"/>
    <n v="7.4999999999999997E-2"/>
    <n v="0.01"/>
    <n v="0.05"/>
    <n v="0.13500000000000001"/>
  </r>
  <r>
    <x v="2"/>
    <x v="1"/>
    <x v="14"/>
    <n v="7.4999999999999997E-2"/>
    <n v="0.01"/>
    <n v="0.05"/>
    <n v="0.13500000000000001"/>
  </r>
  <r>
    <x v="2"/>
    <x v="1"/>
    <x v="15"/>
    <n v="7.4999999999999997E-2"/>
    <n v="0.01"/>
    <n v="0.05"/>
    <n v="0.13500000000000001"/>
  </r>
  <r>
    <x v="2"/>
    <x v="1"/>
    <x v="16"/>
    <n v="7.4999999999999997E-2"/>
    <n v="0.01"/>
    <n v="0.05"/>
    <n v="0.13500000000000001"/>
  </r>
  <r>
    <x v="2"/>
    <x v="1"/>
    <x v="17"/>
    <n v="7.4999999999999997E-2"/>
    <n v="0.01"/>
    <n v="0.05"/>
    <n v="0.13500000000000001"/>
  </r>
  <r>
    <x v="2"/>
    <x v="1"/>
    <x v="18"/>
    <n v="7.4999999999999997E-2"/>
    <n v="0.01"/>
    <n v="0.05"/>
    <n v="0.13500000000000001"/>
  </r>
  <r>
    <x v="2"/>
    <x v="1"/>
    <x v="19"/>
    <n v="7.4999999999999997E-2"/>
    <n v="0.01"/>
    <n v="0.05"/>
    <n v="0.13500000000000001"/>
  </r>
  <r>
    <x v="2"/>
    <x v="1"/>
    <x v="20"/>
    <n v="7.4999999999999997E-2"/>
    <n v="0.01"/>
    <n v="0.05"/>
    <n v="0.13500000000000001"/>
  </r>
  <r>
    <x v="2"/>
    <x v="1"/>
    <x v="21"/>
    <n v="7.4999999999999997E-2"/>
    <n v="0.01"/>
    <n v="0.05"/>
    <n v="0.13500000000000001"/>
  </r>
  <r>
    <x v="2"/>
    <x v="1"/>
    <x v="22"/>
    <n v="7.4999999999999997E-2"/>
    <n v="0.01"/>
    <n v="0.05"/>
    <n v="0.13500000000000001"/>
  </r>
  <r>
    <x v="2"/>
    <x v="1"/>
    <x v="23"/>
    <n v="7.4999999999999997E-2"/>
    <n v="0.01"/>
    <n v="0.05"/>
    <n v="0.13500000000000001"/>
  </r>
  <r>
    <x v="2"/>
    <x v="1"/>
    <x v="24"/>
    <n v="7.4999999999999997E-2"/>
    <n v="0.01"/>
    <n v="0.05"/>
    <n v="0.13500000000000001"/>
  </r>
  <r>
    <x v="2"/>
    <x v="1"/>
    <x v="25"/>
    <n v="7.4999999999999997E-2"/>
    <n v="0.01"/>
    <n v="0.05"/>
    <n v="0.13500000000000001"/>
  </r>
  <r>
    <x v="2"/>
    <x v="1"/>
    <x v="26"/>
    <n v="7.4999999999999997E-2"/>
    <n v="0.01"/>
    <n v="0.05"/>
    <n v="0.13500000000000001"/>
  </r>
  <r>
    <x v="2"/>
    <x v="2"/>
    <x v="0"/>
    <n v="0.112"/>
    <n v="0.01"/>
    <n v="0.05"/>
    <n v="0.17199999999999999"/>
  </r>
  <r>
    <x v="2"/>
    <x v="2"/>
    <x v="1"/>
    <n v="0.125"/>
    <n v="0.01"/>
    <n v="0.05"/>
    <n v="0.185"/>
  </r>
  <r>
    <x v="2"/>
    <x v="2"/>
    <x v="2"/>
    <n v="0.112"/>
    <n v="0.01"/>
    <n v="0.05"/>
    <n v="0.17199999999999999"/>
  </r>
  <r>
    <x v="2"/>
    <x v="2"/>
    <x v="3"/>
    <n v="9.9000000000000005E-2"/>
    <n v="0.01"/>
    <n v="0.05"/>
    <n v="0.159"/>
  </r>
  <r>
    <x v="2"/>
    <x v="2"/>
    <x v="4"/>
    <n v="8.5999999999999993E-2"/>
    <n v="0.01"/>
    <n v="0.05"/>
    <n v="0.14599999999999999"/>
  </r>
  <r>
    <x v="2"/>
    <x v="2"/>
    <x v="5"/>
    <n v="7.2999999999999995E-2"/>
    <n v="0.01"/>
    <n v="0.05"/>
    <n v="0.13300000000000001"/>
  </r>
  <r>
    <x v="2"/>
    <x v="2"/>
    <x v="6"/>
    <n v="0.06"/>
    <n v="0.01"/>
    <n v="0.05"/>
    <n v="0.12"/>
  </r>
  <r>
    <x v="2"/>
    <x v="2"/>
    <x v="7"/>
    <n v="0.06"/>
    <n v="0.01"/>
    <n v="0.05"/>
    <n v="0.12"/>
  </r>
  <r>
    <x v="2"/>
    <x v="2"/>
    <x v="8"/>
    <n v="0.06"/>
    <n v="0.01"/>
    <n v="0.05"/>
    <n v="0.12"/>
  </r>
  <r>
    <x v="2"/>
    <x v="2"/>
    <x v="9"/>
    <n v="0.06"/>
    <n v="0.01"/>
    <n v="0.05"/>
    <n v="0.12"/>
  </r>
  <r>
    <x v="2"/>
    <x v="2"/>
    <x v="10"/>
    <n v="0.06"/>
    <n v="0.01"/>
    <n v="0.05"/>
    <n v="0.12"/>
  </r>
  <r>
    <x v="2"/>
    <x v="2"/>
    <x v="11"/>
    <n v="0.06"/>
    <n v="0.01"/>
    <n v="0.05"/>
    <n v="0.12"/>
  </r>
  <r>
    <x v="2"/>
    <x v="2"/>
    <x v="12"/>
    <n v="0.06"/>
    <n v="0.01"/>
    <n v="0.05"/>
    <n v="0.12"/>
  </r>
  <r>
    <x v="2"/>
    <x v="2"/>
    <x v="13"/>
    <n v="0.06"/>
    <n v="0.01"/>
    <n v="0.05"/>
    <n v="0.12"/>
  </r>
  <r>
    <x v="2"/>
    <x v="2"/>
    <x v="14"/>
    <n v="0.06"/>
    <n v="0.01"/>
    <n v="0.05"/>
    <n v="0.12"/>
  </r>
  <r>
    <x v="2"/>
    <x v="2"/>
    <x v="15"/>
    <n v="0.06"/>
    <n v="0.01"/>
    <n v="0.05"/>
    <n v="0.12"/>
  </r>
  <r>
    <x v="2"/>
    <x v="2"/>
    <x v="16"/>
    <n v="0.06"/>
    <n v="0.01"/>
    <n v="0.05"/>
    <n v="0.12"/>
  </r>
  <r>
    <x v="2"/>
    <x v="2"/>
    <x v="17"/>
    <n v="6.3E-2"/>
    <n v="0.01"/>
    <n v="0.05"/>
    <n v="0.123"/>
  </r>
  <r>
    <x v="2"/>
    <x v="2"/>
    <x v="18"/>
    <n v="6.6000000000000003E-2"/>
    <n v="0.01"/>
    <n v="0.05"/>
    <n v="0.126"/>
  </r>
  <r>
    <x v="2"/>
    <x v="2"/>
    <x v="19"/>
    <n v="6.9000000000000006E-2"/>
    <n v="0.01"/>
    <n v="0.05"/>
    <n v="0.129"/>
  </r>
  <r>
    <x v="2"/>
    <x v="2"/>
    <x v="20"/>
    <n v="7.1999999999999995E-2"/>
    <n v="0.01"/>
    <n v="0.05"/>
    <n v="0.13200000000000001"/>
  </r>
  <r>
    <x v="2"/>
    <x v="2"/>
    <x v="21"/>
    <n v="7.4999999999999997E-2"/>
    <n v="0.01"/>
    <n v="0.05"/>
    <n v="0.13500000000000001"/>
  </r>
  <r>
    <x v="2"/>
    <x v="2"/>
    <x v="22"/>
    <n v="7.4999999999999997E-2"/>
    <n v="0.01"/>
    <n v="0.05"/>
    <n v="0.13500000000000001"/>
  </r>
  <r>
    <x v="2"/>
    <x v="2"/>
    <x v="23"/>
    <n v="7.4999999999999997E-2"/>
    <n v="0.01"/>
    <n v="0.05"/>
    <n v="0.13500000000000001"/>
  </r>
  <r>
    <x v="2"/>
    <x v="2"/>
    <x v="24"/>
    <n v="7.4999999999999997E-2"/>
    <n v="0.01"/>
    <n v="0.05"/>
    <n v="0.13500000000000001"/>
  </r>
  <r>
    <x v="2"/>
    <x v="2"/>
    <x v="25"/>
    <n v="7.4999999999999997E-2"/>
    <n v="0.01"/>
    <n v="0.05"/>
    <n v="0.13500000000000001"/>
  </r>
  <r>
    <x v="2"/>
    <x v="2"/>
    <x v="26"/>
    <n v="7.4999999999999997E-2"/>
    <n v="0.01"/>
    <n v="0.05"/>
    <n v="0.13500000000000001"/>
  </r>
  <r>
    <x v="3"/>
    <x v="0"/>
    <x v="0"/>
    <n v="7.0000000000000007E-2"/>
    <n v="5.4000000000000001E-4"/>
    <n v="4.1269841269841276E-2"/>
    <n v="0.11180984126984128"/>
  </r>
  <r>
    <x v="3"/>
    <x v="0"/>
    <x v="1"/>
    <n v="7.8333333333333324E-2"/>
    <n v="5.4000000000000001E-4"/>
    <n v="4.1269841269841276E-2"/>
    <n v="0.1201431746031746"/>
  </r>
  <r>
    <x v="3"/>
    <x v="0"/>
    <x v="2"/>
    <n v="8.6666666666666656E-2"/>
    <n v="5.4000000000000001E-4"/>
    <n v="4.1269841269841276E-2"/>
    <n v="0.12847650793650794"/>
  </r>
  <r>
    <x v="3"/>
    <x v="0"/>
    <x v="3"/>
    <n v="9.5000000000000001E-2"/>
    <n v="5.4000000000000001E-4"/>
    <n v="4.1269841269841276E-2"/>
    <n v="0.13680984126984128"/>
  </r>
  <r>
    <x v="3"/>
    <x v="0"/>
    <x v="4"/>
    <n v="0.10333333333333333"/>
    <n v="5.4000000000000001E-4"/>
    <n v="4.1269841269841276E-2"/>
    <n v="0.14514317460317461"/>
  </r>
  <r>
    <x v="3"/>
    <x v="0"/>
    <x v="5"/>
    <n v="0.11166666666666668"/>
    <n v="5.4000000000000001E-4"/>
    <n v="4.1269841269841276E-2"/>
    <n v="0.15347650793650797"/>
  </r>
  <r>
    <x v="3"/>
    <x v="0"/>
    <x v="6"/>
    <n v="0.12"/>
    <n v="5.4000000000000001E-4"/>
    <n v="4.1269841269841276E-2"/>
    <n v="0.16180984126984127"/>
  </r>
  <r>
    <x v="3"/>
    <x v="0"/>
    <x v="7"/>
    <n v="0.12"/>
    <n v="5.4000000000000001E-4"/>
    <n v="4.1269841269841276E-2"/>
    <n v="0.16180984126984127"/>
  </r>
  <r>
    <x v="3"/>
    <x v="0"/>
    <x v="8"/>
    <n v="0.12"/>
    <n v="5.4000000000000001E-4"/>
    <n v="4.1269841269841276E-2"/>
    <n v="0.16180984126984127"/>
  </r>
  <r>
    <x v="3"/>
    <x v="0"/>
    <x v="9"/>
    <n v="0.12"/>
    <n v="5.4000000000000001E-4"/>
    <n v="4.1269841269841276E-2"/>
    <n v="0.16180984126984127"/>
  </r>
  <r>
    <x v="3"/>
    <x v="0"/>
    <x v="10"/>
    <n v="0.12"/>
    <n v="5.4000000000000001E-4"/>
    <n v="4.1269841269841276E-2"/>
    <n v="0.16180984126984127"/>
  </r>
  <r>
    <x v="3"/>
    <x v="0"/>
    <x v="11"/>
    <n v="0.12"/>
    <n v="5.4000000000000001E-4"/>
    <n v="4.1269841269841276E-2"/>
    <n v="0.16180984126984127"/>
  </r>
  <r>
    <x v="3"/>
    <x v="0"/>
    <x v="12"/>
    <n v="0.12"/>
    <n v="5.4000000000000001E-4"/>
    <n v="4.1269841269841276E-2"/>
    <n v="0.16180984126984127"/>
  </r>
  <r>
    <x v="3"/>
    <x v="0"/>
    <x v="13"/>
    <n v="0.12"/>
    <n v="5.4000000000000001E-4"/>
    <n v="4.1269841269841276E-2"/>
    <n v="0.16180984126984127"/>
  </r>
  <r>
    <x v="3"/>
    <x v="0"/>
    <x v="14"/>
    <n v="0.12"/>
    <n v="5.4000000000000001E-4"/>
    <n v="4.1269841269841276E-2"/>
    <n v="0.16180984126984127"/>
  </r>
  <r>
    <x v="3"/>
    <x v="0"/>
    <x v="15"/>
    <n v="0.12"/>
    <n v="5.4000000000000001E-4"/>
    <n v="4.1269841269841276E-2"/>
    <n v="0.16180984126984127"/>
  </r>
  <r>
    <x v="3"/>
    <x v="0"/>
    <x v="16"/>
    <n v="0.12"/>
    <n v="5.4000000000000001E-4"/>
    <n v="4.1269841269841276E-2"/>
    <n v="0.16180984126984127"/>
  </r>
  <r>
    <x v="3"/>
    <x v="0"/>
    <x v="17"/>
    <n v="0.12"/>
    <n v="5.4000000000000001E-4"/>
    <n v="4.1269841269841276E-2"/>
    <n v="0.16180984126984127"/>
  </r>
  <r>
    <x v="3"/>
    <x v="0"/>
    <x v="18"/>
    <n v="0.12"/>
    <n v="5.4000000000000001E-4"/>
    <n v="4.1269841269841276E-2"/>
    <n v="0.16180984126984127"/>
  </r>
  <r>
    <x v="3"/>
    <x v="0"/>
    <x v="19"/>
    <n v="0.12"/>
    <n v="5.4000000000000001E-4"/>
    <n v="4.1269841269841276E-2"/>
    <n v="0.16180984126984127"/>
  </r>
  <r>
    <x v="3"/>
    <x v="0"/>
    <x v="20"/>
    <n v="0.12"/>
    <n v="5.4000000000000001E-4"/>
    <n v="4.1269841269841276E-2"/>
    <n v="0.16180984126984127"/>
  </r>
  <r>
    <x v="3"/>
    <x v="0"/>
    <x v="21"/>
    <n v="0.12"/>
    <n v="5.4000000000000001E-4"/>
    <n v="4.1269841269841276E-2"/>
    <n v="0.16180984126984127"/>
  </r>
  <r>
    <x v="3"/>
    <x v="0"/>
    <x v="22"/>
    <n v="0.12"/>
    <n v="5.4000000000000001E-4"/>
    <n v="4.1269841269841276E-2"/>
    <n v="0.16180984126984127"/>
  </r>
  <r>
    <x v="3"/>
    <x v="0"/>
    <x v="23"/>
    <n v="0.12"/>
    <n v="5.4000000000000001E-4"/>
    <n v="4.1269841269841276E-2"/>
    <n v="0.16180984126984127"/>
  </r>
  <r>
    <x v="3"/>
    <x v="0"/>
    <x v="24"/>
    <n v="0.12"/>
    <n v="5.4000000000000001E-4"/>
    <n v="4.1269841269841276E-2"/>
    <n v="0.16180984126984127"/>
  </r>
  <r>
    <x v="3"/>
    <x v="0"/>
    <x v="25"/>
    <n v="0.12"/>
    <n v="5.4000000000000001E-4"/>
    <n v="4.1269841269841276E-2"/>
    <n v="0.16180984126984127"/>
  </r>
  <r>
    <x v="3"/>
    <x v="0"/>
    <x v="26"/>
    <n v="0.12"/>
    <n v="5.4000000000000001E-4"/>
    <n v="4.1269841269841276E-2"/>
    <n v="0.16180984126984127"/>
  </r>
  <r>
    <x v="3"/>
    <x v="1"/>
    <x v="0"/>
    <n v="7.0000000000000007E-2"/>
    <n v="5.4000000000000001E-4"/>
    <n v="4.1269841269841276E-2"/>
    <n v="0.11180984126984128"/>
  </r>
  <r>
    <x v="3"/>
    <x v="1"/>
    <x v="1"/>
    <n v="7.3333333333333334E-2"/>
    <n v="5.4000000000000001E-4"/>
    <n v="4.1269841269841276E-2"/>
    <n v="0.11514317460317461"/>
  </r>
  <r>
    <x v="3"/>
    <x v="1"/>
    <x v="2"/>
    <n v="7.6666666666666675E-2"/>
    <n v="5.4000000000000001E-4"/>
    <n v="4.1269841269841276E-2"/>
    <n v="0.11847650793650795"/>
  </r>
  <r>
    <x v="3"/>
    <x v="1"/>
    <x v="3"/>
    <n v="0.08"/>
    <n v="5.4000000000000001E-4"/>
    <n v="4.1269841269841276E-2"/>
    <n v="0.12180984126984128"/>
  </r>
  <r>
    <x v="3"/>
    <x v="1"/>
    <x v="4"/>
    <n v="8.3333333333333329E-2"/>
    <n v="5.4000000000000001E-4"/>
    <n v="4.1269841269841276E-2"/>
    <n v="0.12514317460317459"/>
  </r>
  <r>
    <x v="3"/>
    <x v="1"/>
    <x v="5"/>
    <n v="8.666666666666667E-2"/>
    <n v="5.4000000000000001E-4"/>
    <n v="4.1269841269841276E-2"/>
    <n v="0.12847650793650794"/>
  </r>
  <r>
    <x v="3"/>
    <x v="1"/>
    <x v="6"/>
    <n v="0.09"/>
    <n v="5.4000000000000001E-4"/>
    <n v="4.1269841269841276E-2"/>
    <n v="0.13180984126984127"/>
  </r>
  <r>
    <x v="3"/>
    <x v="1"/>
    <x v="7"/>
    <n v="0.09"/>
    <n v="5.4000000000000001E-4"/>
    <n v="4.1269841269841276E-2"/>
    <n v="0.13180984126984127"/>
  </r>
  <r>
    <x v="3"/>
    <x v="1"/>
    <x v="8"/>
    <n v="0.09"/>
    <n v="5.4000000000000001E-4"/>
    <n v="4.1269841269841276E-2"/>
    <n v="0.13180984126984127"/>
  </r>
  <r>
    <x v="3"/>
    <x v="1"/>
    <x v="9"/>
    <n v="0.09"/>
    <n v="5.4000000000000001E-4"/>
    <n v="4.1269841269841276E-2"/>
    <n v="0.13180984126984127"/>
  </r>
  <r>
    <x v="3"/>
    <x v="1"/>
    <x v="10"/>
    <n v="0.09"/>
    <n v="5.4000000000000001E-4"/>
    <n v="4.1269841269841276E-2"/>
    <n v="0.13180984126984127"/>
  </r>
  <r>
    <x v="3"/>
    <x v="1"/>
    <x v="11"/>
    <n v="0.09"/>
    <n v="5.4000000000000001E-4"/>
    <n v="4.1269841269841276E-2"/>
    <n v="0.13180984126984127"/>
  </r>
  <r>
    <x v="3"/>
    <x v="1"/>
    <x v="12"/>
    <n v="0.09"/>
    <n v="5.4000000000000001E-4"/>
    <n v="4.1269841269841276E-2"/>
    <n v="0.13180984126984127"/>
  </r>
  <r>
    <x v="3"/>
    <x v="1"/>
    <x v="13"/>
    <n v="0.09"/>
    <n v="5.4000000000000001E-4"/>
    <n v="4.1269841269841276E-2"/>
    <n v="0.13180984126984127"/>
  </r>
  <r>
    <x v="3"/>
    <x v="1"/>
    <x v="14"/>
    <n v="0.09"/>
    <n v="5.4000000000000001E-4"/>
    <n v="4.1269841269841276E-2"/>
    <n v="0.13180984126984127"/>
  </r>
  <r>
    <x v="3"/>
    <x v="1"/>
    <x v="15"/>
    <n v="0.09"/>
    <n v="5.4000000000000001E-4"/>
    <n v="4.1269841269841276E-2"/>
    <n v="0.13180984126984127"/>
  </r>
  <r>
    <x v="3"/>
    <x v="1"/>
    <x v="16"/>
    <n v="0.09"/>
    <n v="5.4000000000000001E-4"/>
    <n v="4.1269841269841276E-2"/>
    <n v="0.13180984126984127"/>
  </r>
  <r>
    <x v="3"/>
    <x v="1"/>
    <x v="17"/>
    <n v="0.09"/>
    <n v="5.4000000000000001E-4"/>
    <n v="4.1269841269841276E-2"/>
    <n v="0.13180984126984127"/>
  </r>
  <r>
    <x v="3"/>
    <x v="1"/>
    <x v="18"/>
    <n v="0.09"/>
    <n v="5.4000000000000001E-4"/>
    <n v="4.1269841269841276E-2"/>
    <n v="0.13180984126984127"/>
  </r>
  <r>
    <x v="3"/>
    <x v="1"/>
    <x v="19"/>
    <n v="0.09"/>
    <n v="5.4000000000000001E-4"/>
    <n v="4.1269841269841276E-2"/>
    <n v="0.13180984126984127"/>
  </r>
  <r>
    <x v="3"/>
    <x v="1"/>
    <x v="20"/>
    <n v="0.09"/>
    <n v="5.4000000000000001E-4"/>
    <n v="4.1269841269841276E-2"/>
    <n v="0.13180984126984127"/>
  </r>
  <r>
    <x v="3"/>
    <x v="1"/>
    <x v="21"/>
    <n v="0.09"/>
    <n v="5.4000000000000001E-4"/>
    <n v="4.1269841269841276E-2"/>
    <n v="0.13180984126984127"/>
  </r>
  <r>
    <x v="3"/>
    <x v="1"/>
    <x v="22"/>
    <n v="0.09"/>
    <n v="5.4000000000000001E-4"/>
    <n v="4.1269841269841276E-2"/>
    <n v="0.13180984126984127"/>
  </r>
  <r>
    <x v="3"/>
    <x v="1"/>
    <x v="23"/>
    <n v="0.09"/>
    <n v="5.4000000000000001E-4"/>
    <n v="4.1269841269841276E-2"/>
    <n v="0.13180984126984127"/>
  </r>
  <r>
    <x v="3"/>
    <x v="1"/>
    <x v="24"/>
    <n v="0.09"/>
    <n v="5.4000000000000001E-4"/>
    <n v="4.1269841269841276E-2"/>
    <n v="0.13180984126984127"/>
  </r>
  <r>
    <x v="3"/>
    <x v="1"/>
    <x v="25"/>
    <n v="0.09"/>
    <n v="5.4000000000000001E-4"/>
    <n v="4.1269841269841276E-2"/>
    <n v="0.13180984126984127"/>
  </r>
  <r>
    <x v="3"/>
    <x v="1"/>
    <x v="26"/>
    <n v="0.09"/>
    <n v="5.4000000000000001E-4"/>
    <n v="4.1269841269841276E-2"/>
    <n v="0.13180984126984127"/>
  </r>
  <r>
    <x v="3"/>
    <x v="2"/>
    <x v="0"/>
    <n v="7.0000000000000007E-2"/>
    <n v="5.4000000000000001E-4"/>
    <n v="4.1269841269841276E-2"/>
    <n v="0.11180984126984128"/>
  </r>
  <r>
    <x v="3"/>
    <x v="2"/>
    <x v="1"/>
    <n v="6.5000000000000002E-2"/>
    <n v="5.4000000000000001E-4"/>
    <n v="4.1269841269841276E-2"/>
    <n v="0.10680984126984128"/>
  </r>
  <r>
    <x v="3"/>
    <x v="2"/>
    <x v="2"/>
    <n v="0.06"/>
    <n v="5.4000000000000001E-4"/>
    <n v="4.1269841269841276E-2"/>
    <n v="0.10180984126984127"/>
  </r>
  <r>
    <x v="3"/>
    <x v="2"/>
    <x v="3"/>
    <n v="5.5E-2"/>
    <n v="5.4000000000000001E-4"/>
    <n v="4.1269841269841276E-2"/>
    <n v="9.6809841269841268E-2"/>
  </r>
  <r>
    <x v="3"/>
    <x v="2"/>
    <x v="4"/>
    <n v="0.05"/>
    <n v="5.4000000000000001E-4"/>
    <n v="4.1269841269841276E-2"/>
    <n v="9.1809841269841277E-2"/>
  </r>
  <r>
    <x v="3"/>
    <x v="2"/>
    <x v="5"/>
    <n v="4.4999999999999998E-2"/>
    <n v="5.4000000000000001E-4"/>
    <n v="4.1269841269841276E-2"/>
    <n v="8.6809841269841273E-2"/>
  </r>
  <r>
    <x v="3"/>
    <x v="2"/>
    <x v="6"/>
    <n v="0.04"/>
    <n v="5.4000000000000001E-4"/>
    <n v="4.1269841269841276E-2"/>
    <n v="8.1809841269841282E-2"/>
  </r>
  <r>
    <x v="3"/>
    <x v="2"/>
    <x v="7"/>
    <n v="0.04"/>
    <n v="5.4000000000000001E-4"/>
    <n v="4.1269841269841276E-2"/>
    <n v="8.1809841269841282E-2"/>
  </r>
  <r>
    <x v="3"/>
    <x v="2"/>
    <x v="8"/>
    <n v="0.04"/>
    <n v="5.4000000000000001E-4"/>
    <n v="4.1269841269841276E-2"/>
    <n v="8.1809841269841282E-2"/>
  </r>
  <r>
    <x v="3"/>
    <x v="2"/>
    <x v="9"/>
    <n v="0.04"/>
    <n v="5.4000000000000001E-4"/>
    <n v="4.1269841269841276E-2"/>
    <n v="8.1809841269841282E-2"/>
  </r>
  <r>
    <x v="3"/>
    <x v="2"/>
    <x v="10"/>
    <n v="0.04"/>
    <n v="5.4000000000000001E-4"/>
    <n v="4.1269841269841276E-2"/>
    <n v="8.1809841269841282E-2"/>
  </r>
  <r>
    <x v="3"/>
    <x v="2"/>
    <x v="11"/>
    <n v="0.04"/>
    <n v="5.4000000000000001E-4"/>
    <n v="4.1269841269841276E-2"/>
    <n v="8.1809841269841282E-2"/>
  </r>
  <r>
    <x v="3"/>
    <x v="2"/>
    <x v="12"/>
    <n v="0.04"/>
    <n v="5.4000000000000001E-4"/>
    <n v="4.1269841269841276E-2"/>
    <n v="8.1809841269841282E-2"/>
  </r>
  <r>
    <x v="3"/>
    <x v="2"/>
    <x v="13"/>
    <n v="0.04"/>
    <n v="5.4000000000000001E-4"/>
    <n v="4.1269841269841276E-2"/>
    <n v="8.1809841269841282E-2"/>
  </r>
  <r>
    <x v="3"/>
    <x v="2"/>
    <x v="14"/>
    <n v="0.04"/>
    <n v="5.4000000000000001E-4"/>
    <n v="4.1269841269841276E-2"/>
    <n v="8.1809841269841282E-2"/>
  </r>
  <r>
    <x v="3"/>
    <x v="2"/>
    <x v="15"/>
    <n v="0.04"/>
    <n v="5.4000000000000001E-4"/>
    <n v="4.1269841269841276E-2"/>
    <n v="8.1809841269841282E-2"/>
  </r>
  <r>
    <x v="3"/>
    <x v="2"/>
    <x v="16"/>
    <n v="0.04"/>
    <n v="5.4000000000000001E-4"/>
    <n v="4.1269841269841276E-2"/>
    <n v="8.1809841269841282E-2"/>
  </r>
  <r>
    <x v="3"/>
    <x v="2"/>
    <x v="17"/>
    <n v="0.04"/>
    <n v="5.4000000000000001E-4"/>
    <n v="4.1269841269841276E-2"/>
    <n v="8.1809841269841282E-2"/>
  </r>
  <r>
    <x v="3"/>
    <x v="2"/>
    <x v="18"/>
    <n v="0.04"/>
    <n v="5.4000000000000001E-4"/>
    <n v="4.1269841269841276E-2"/>
    <n v="8.1809841269841282E-2"/>
  </r>
  <r>
    <x v="3"/>
    <x v="2"/>
    <x v="19"/>
    <n v="0.04"/>
    <n v="5.4000000000000001E-4"/>
    <n v="4.1269841269841276E-2"/>
    <n v="8.1809841269841282E-2"/>
  </r>
  <r>
    <x v="3"/>
    <x v="2"/>
    <x v="20"/>
    <n v="0.04"/>
    <n v="5.4000000000000001E-4"/>
    <n v="4.1269841269841276E-2"/>
    <n v="8.1809841269841282E-2"/>
  </r>
  <r>
    <x v="3"/>
    <x v="2"/>
    <x v="21"/>
    <n v="0.04"/>
    <n v="5.4000000000000001E-4"/>
    <n v="4.1269841269841276E-2"/>
    <n v="8.1809841269841282E-2"/>
  </r>
  <r>
    <x v="3"/>
    <x v="2"/>
    <x v="22"/>
    <n v="0.04"/>
    <n v="5.4000000000000001E-4"/>
    <n v="4.1269841269841276E-2"/>
    <n v="8.1809841269841282E-2"/>
  </r>
  <r>
    <x v="3"/>
    <x v="2"/>
    <x v="23"/>
    <n v="0.04"/>
    <n v="5.4000000000000001E-4"/>
    <n v="4.1269841269841276E-2"/>
    <n v="8.1809841269841282E-2"/>
  </r>
  <r>
    <x v="3"/>
    <x v="2"/>
    <x v="24"/>
    <n v="0.04"/>
    <n v="5.4000000000000001E-4"/>
    <n v="4.1269841269841276E-2"/>
    <n v="8.1809841269841282E-2"/>
  </r>
  <r>
    <x v="3"/>
    <x v="2"/>
    <x v="25"/>
    <n v="0.04"/>
    <n v="5.4000000000000001E-4"/>
    <n v="4.1269841269841276E-2"/>
    <n v="8.1809841269841282E-2"/>
  </r>
  <r>
    <x v="3"/>
    <x v="2"/>
    <x v="26"/>
    <n v="0.04"/>
    <n v="5.4000000000000001E-4"/>
    <n v="4.1269841269841276E-2"/>
    <n v="8.1809841269841282E-2"/>
  </r>
  <r>
    <x v="4"/>
    <x v="0"/>
    <x v="0"/>
    <n v="7.8E-2"/>
    <n v="5.4000000000000001E-4"/>
    <n v="1.4999999999999999E-2"/>
    <n v="9.3539999999999998E-2"/>
  </r>
  <r>
    <x v="4"/>
    <x v="0"/>
    <x v="1"/>
    <n v="7.3499999999999996E-2"/>
    <n v="5.4000000000000001E-4"/>
    <n v="1.4999999999999999E-2"/>
    <n v="8.9039999999999994E-2"/>
  </r>
  <r>
    <x v="4"/>
    <x v="0"/>
    <x v="2"/>
    <n v="6.9000000000000006E-2"/>
    <n v="5.4000000000000001E-4"/>
    <n v="1.4999999999999999E-2"/>
    <n v="8.4540000000000004E-2"/>
  </r>
  <r>
    <x v="4"/>
    <x v="0"/>
    <x v="3"/>
    <n v="6.4500000000000002E-2"/>
    <n v="5.4000000000000001E-4"/>
    <n v="1.4999999999999999E-2"/>
    <n v="8.004E-2"/>
  </r>
  <r>
    <x v="4"/>
    <x v="0"/>
    <x v="4"/>
    <n v="0.06"/>
    <n v="5.4000000000000001E-4"/>
    <n v="1.4999999999999999E-2"/>
    <n v="7.5539999999999996E-2"/>
  </r>
  <r>
    <x v="4"/>
    <x v="0"/>
    <x v="5"/>
    <n v="5.5500000000000001E-2"/>
    <n v="5.4000000000000001E-4"/>
    <n v="1.4999999999999999E-2"/>
    <n v="7.1039999999999992E-2"/>
  </r>
  <r>
    <x v="4"/>
    <x v="0"/>
    <x v="6"/>
    <n v="5.0999999999999997E-2"/>
    <n v="5.4000000000000001E-4"/>
    <n v="1.4999999999999999E-2"/>
    <n v="6.6539999999999988E-2"/>
  </r>
  <r>
    <x v="4"/>
    <x v="0"/>
    <x v="7"/>
    <n v="5.0999999999999997E-2"/>
    <n v="5.4000000000000001E-4"/>
    <n v="1.4999999999999999E-2"/>
    <n v="6.6539999999999988E-2"/>
  </r>
  <r>
    <x v="4"/>
    <x v="0"/>
    <x v="8"/>
    <n v="5.0999999999999997E-2"/>
    <n v="5.4000000000000001E-4"/>
    <n v="1.4999999999999999E-2"/>
    <n v="6.6539999999999988E-2"/>
  </r>
  <r>
    <x v="4"/>
    <x v="0"/>
    <x v="9"/>
    <n v="5.0999999999999997E-2"/>
    <n v="5.4000000000000001E-4"/>
    <n v="1.4999999999999999E-2"/>
    <n v="6.6539999999999988E-2"/>
  </r>
  <r>
    <x v="4"/>
    <x v="0"/>
    <x v="10"/>
    <n v="5.0999999999999997E-2"/>
    <n v="5.4000000000000001E-4"/>
    <n v="1.4999999999999999E-2"/>
    <n v="6.6539999999999988E-2"/>
  </r>
  <r>
    <x v="4"/>
    <x v="0"/>
    <x v="11"/>
    <n v="5.0999999999999997E-2"/>
    <n v="5.4000000000000001E-4"/>
    <n v="1.4999999999999999E-2"/>
    <n v="6.6539999999999988E-2"/>
  </r>
  <r>
    <x v="4"/>
    <x v="0"/>
    <x v="12"/>
    <n v="5.0999999999999997E-2"/>
    <n v="5.4000000000000001E-4"/>
    <n v="1.4999999999999999E-2"/>
    <n v="6.6539999999999988E-2"/>
  </r>
  <r>
    <x v="4"/>
    <x v="0"/>
    <x v="13"/>
    <n v="5.0999999999999997E-2"/>
    <n v="5.4000000000000001E-4"/>
    <n v="1.4999999999999999E-2"/>
    <n v="6.6539999999999988E-2"/>
  </r>
  <r>
    <x v="4"/>
    <x v="0"/>
    <x v="14"/>
    <n v="5.0999999999999997E-2"/>
    <n v="5.4000000000000001E-4"/>
    <n v="1.4999999999999999E-2"/>
    <n v="6.6539999999999988E-2"/>
  </r>
  <r>
    <x v="4"/>
    <x v="0"/>
    <x v="15"/>
    <n v="5.0999999999999997E-2"/>
    <n v="5.4000000000000001E-4"/>
    <n v="1.4999999999999999E-2"/>
    <n v="6.6539999999999988E-2"/>
  </r>
  <r>
    <x v="4"/>
    <x v="0"/>
    <x v="16"/>
    <n v="5.0999999999999997E-2"/>
    <n v="5.4000000000000001E-4"/>
    <n v="1.4999999999999999E-2"/>
    <n v="6.6539999999999988E-2"/>
  </r>
  <r>
    <x v="4"/>
    <x v="0"/>
    <x v="17"/>
    <n v="5.0999999999999997E-2"/>
    <n v="5.4000000000000001E-4"/>
    <n v="1.4999999999999999E-2"/>
    <n v="6.6539999999999988E-2"/>
  </r>
  <r>
    <x v="4"/>
    <x v="0"/>
    <x v="18"/>
    <n v="5.0999999999999997E-2"/>
    <n v="5.4000000000000001E-4"/>
    <n v="1.4999999999999999E-2"/>
    <n v="6.6539999999999988E-2"/>
  </r>
  <r>
    <x v="4"/>
    <x v="0"/>
    <x v="19"/>
    <n v="5.0999999999999997E-2"/>
    <n v="5.4000000000000001E-4"/>
    <n v="1.4999999999999999E-2"/>
    <n v="6.6539999999999988E-2"/>
  </r>
  <r>
    <x v="4"/>
    <x v="0"/>
    <x v="20"/>
    <n v="5.0999999999999997E-2"/>
    <n v="5.4000000000000001E-4"/>
    <n v="1.4999999999999999E-2"/>
    <n v="6.6539999999999988E-2"/>
  </r>
  <r>
    <x v="4"/>
    <x v="0"/>
    <x v="21"/>
    <n v="5.0999999999999997E-2"/>
    <n v="5.4000000000000001E-4"/>
    <n v="1.4999999999999999E-2"/>
    <n v="6.6539999999999988E-2"/>
  </r>
  <r>
    <x v="4"/>
    <x v="0"/>
    <x v="22"/>
    <n v="5.0999999999999997E-2"/>
    <n v="5.4000000000000001E-4"/>
    <n v="1.4999999999999999E-2"/>
    <n v="6.6539999999999988E-2"/>
  </r>
  <r>
    <x v="4"/>
    <x v="0"/>
    <x v="23"/>
    <n v="5.0999999999999997E-2"/>
    <n v="5.4000000000000001E-4"/>
    <n v="1.4999999999999999E-2"/>
    <n v="6.6539999999999988E-2"/>
  </r>
  <r>
    <x v="4"/>
    <x v="0"/>
    <x v="24"/>
    <n v="5.0999999999999997E-2"/>
    <n v="5.4000000000000001E-4"/>
    <n v="1.4999999999999999E-2"/>
    <n v="6.6539999999999988E-2"/>
  </r>
  <r>
    <x v="4"/>
    <x v="0"/>
    <x v="25"/>
    <n v="5.0999999999999997E-2"/>
    <n v="5.4000000000000001E-4"/>
    <n v="1.4999999999999999E-2"/>
    <n v="6.6539999999999988E-2"/>
  </r>
  <r>
    <x v="4"/>
    <x v="0"/>
    <x v="26"/>
    <n v="5.0999999999999997E-2"/>
    <n v="5.4000000000000001E-4"/>
    <n v="1.4999999999999999E-2"/>
    <n v="6.6539999999999988E-2"/>
  </r>
  <r>
    <x v="4"/>
    <x v="1"/>
    <x v="0"/>
    <n v="7.8E-2"/>
    <n v="5.4000000000000001E-4"/>
    <n v="1.4999999999999999E-2"/>
    <n v="9.3539999999999998E-2"/>
  </r>
  <r>
    <x v="4"/>
    <x v="1"/>
    <x v="1"/>
    <n v="7.8E-2"/>
    <n v="5.4000000000000001E-4"/>
    <n v="1.4999999999999999E-2"/>
    <n v="9.3539999999999998E-2"/>
  </r>
  <r>
    <x v="4"/>
    <x v="1"/>
    <x v="2"/>
    <n v="7.8E-2"/>
    <n v="5.4000000000000001E-4"/>
    <n v="1.4999999999999999E-2"/>
    <n v="9.3539999999999998E-2"/>
  </r>
  <r>
    <x v="4"/>
    <x v="1"/>
    <x v="3"/>
    <n v="7.8E-2"/>
    <n v="5.4000000000000001E-4"/>
    <n v="1.4999999999999999E-2"/>
    <n v="9.3539999999999998E-2"/>
  </r>
  <r>
    <x v="4"/>
    <x v="1"/>
    <x v="4"/>
    <n v="7.8E-2"/>
    <n v="5.4000000000000001E-4"/>
    <n v="1.4999999999999999E-2"/>
    <n v="9.3539999999999998E-2"/>
  </r>
  <r>
    <x v="4"/>
    <x v="1"/>
    <x v="5"/>
    <n v="7.8E-2"/>
    <n v="5.4000000000000001E-4"/>
    <n v="1.4999999999999999E-2"/>
    <n v="9.3539999999999998E-2"/>
  </r>
  <r>
    <x v="4"/>
    <x v="1"/>
    <x v="6"/>
    <n v="7.8E-2"/>
    <n v="5.4000000000000001E-4"/>
    <n v="1.4999999999999999E-2"/>
    <n v="9.3539999999999998E-2"/>
  </r>
  <r>
    <x v="4"/>
    <x v="1"/>
    <x v="7"/>
    <n v="7.8E-2"/>
    <n v="5.4000000000000001E-4"/>
    <n v="1.4999999999999999E-2"/>
    <n v="9.3539999999999998E-2"/>
  </r>
  <r>
    <x v="4"/>
    <x v="1"/>
    <x v="8"/>
    <n v="7.8E-2"/>
    <n v="5.4000000000000001E-4"/>
    <n v="1.4999999999999999E-2"/>
    <n v="9.3539999999999998E-2"/>
  </r>
  <r>
    <x v="4"/>
    <x v="1"/>
    <x v="9"/>
    <n v="7.8E-2"/>
    <n v="5.4000000000000001E-4"/>
    <n v="1.4999999999999999E-2"/>
    <n v="9.3539999999999998E-2"/>
  </r>
  <r>
    <x v="4"/>
    <x v="1"/>
    <x v="10"/>
    <n v="7.8E-2"/>
    <n v="5.4000000000000001E-4"/>
    <n v="1.4999999999999999E-2"/>
    <n v="9.3539999999999998E-2"/>
  </r>
  <r>
    <x v="4"/>
    <x v="1"/>
    <x v="11"/>
    <n v="7.8E-2"/>
    <n v="5.4000000000000001E-4"/>
    <n v="1.4999999999999999E-2"/>
    <n v="9.3539999999999998E-2"/>
  </r>
  <r>
    <x v="4"/>
    <x v="1"/>
    <x v="12"/>
    <n v="7.8E-2"/>
    <n v="5.4000000000000001E-4"/>
    <n v="1.4999999999999999E-2"/>
    <n v="9.3539999999999998E-2"/>
  </r>
  <r>
    <x v="4"/>
    <x v="1"/>
    <x v="13"/>
    <n v="7.8E-2"/>
    <n v="5.4000000000000001E-4"/>
    <n v="1.4999999999999999E-2"/>
    <n v="9.3539999999999998E-2"/>
  </r>
  <r>
    <x v="4"/>
    <x v="1"/>
    <x v="14"/>
    <n v="7.8E-2"/>
    <n v="5.4000000000000001E-4"/>
    <n v="1.4999999999999999E-2"/>
    <n v="9.3539999999999998E-2"/>
  </r>
  <r>
    <x v="4"/>
    <x v="1"/>
    <x v="15"/>
    <n v="7.8E-2"/>
    <n v="5.4000000000000001E-4"/>
    <n v="1.4999999999999999E-2"/>
    <n v="9.3539999999999998E-2"/>
  </r>
  <r>
    <x v="4"/>
    <x v="1"/>
    <x v="16"/>
    <n v="7.8E-2"/>
    <n v="5.4000000000000001E-4"/>
    <n v="1.4999999999999999E-2"/>
    <n v="9.3539999999999998E-2"/>
  </r>
  <r>
    <x v="4"/>
    <x v="1"/>
    <x v="17"/>
    <n v="7.8E-2"/>
    <n v="5.4000000000000001E-4"/>
    <n v="1.4999999999999999E-2"/>
    <n v="9.3539999999999998E-2"/>
  </r>
  <r>
    <x v="4"/>
    <x v="1"/>
    <x v="18"/>
    <n v="7.8E-2"/>
    <n v="5.4000000000000001E-4"/>
    <n v="1.4999999999999999E-2"/>
    <n v="9.3539999999999998E-2"/>
  </r>
  <r>
    <x v="4"/>
    <x v="1"/>
    <x v="19"/>
    <n v="7.8E-2"/>
    <n v="5.4000000000000001E-4"/>
    <n v="1.4999999999999999E-2"/>
    <n v="9.3539999999999998E-2"/>
  </r>
  <r>
    <x v="4"/>
    <x v="1"/>
    <x v="20"/>
    <n v="7.8E-2"/>
    <n v="5.4000000000000001E-4"/>
    <n v="1.4999999999999999E-2"/>
    <n v="9.3539999999999998E-2"/>
  </r>
  <r>
    <x v="4"/>
    <x v="1"/>
    <x v="21"/>
    <n v="7.8E-2"/>
    <n v="5.4000000000000001E-4"/>
    <n v="1.4999999999999999E-2"/>
    <n v="9.3539999999999998E-2"/>
  </r>
  <r>
    <x v="4"/>
    <x v="1"/>
    <x v="22"/>
    <n v="7.8E-2"/>
    <n v="5.4000000000000001E-4"/>
    <n v="1.4999999999999999E-2"/>
    <n v="9.3539999999999998E-2"/>
  </r>
  <r>
    <x v="4"/>
    <x v="1"/>
    <x v="23"/>
    <n v="7.8E-2"/>
    <n v="5.4000000000000001E-4"/>
    <n v="1.4999999999999999E-2"/>
    <n v="9.3539999999999998E-2"/>
  </r>
  <r>
    <x v="4"/>
    <x v="1"/>
    <x v="24"/>
    <n v="7.8E-2"/>
    <n v="5.4000000000000001E-4"/>
    <n v="1.4999999999999999E-2"/>
    <n v="9.3539999999999998E-2"/>
  </r>
  <r>
    <x v="4"/>
    <x v="1"/>
    <x v="25"/>
    <n v="7.8E-2"/>
    <n v="5.4000000000000001E-4"/>
    <n v="1.4999999999999999E-2"/>
    <n v="9.3539999999999998E-2"/>
  </r>
  <r>
    <x v="4"/>
    <x v="1"/>
    <x v="26"/>
    <n v="7.8E-2"/>
    <n v="5.4000000000000001E-4"/>
    <n v="1.4999999999999999E-2"/>
    <n v="9.3539999999999998E-2"/>
  </r>
  <r>
    <x v="4"/>
    <x v="2"/>
    <x v="0"/>
    <n v="7.8E-2"/>
    <n v="5.4000000000000001E-4"/>
    <n v="1.4999999999999999E-2"/>
    <n v="9.3539999999999998E-2"/>
  </r>
  <r>
    <x v="4"/>
    <x v="2"/>
    <x v="1"/>
    <n v="8.0166666666666678E-2"/>
    <n v="5.4000000000000001E-4"/>
    <n v="1.4999999999999999E-2"/>
    <n v="9.5706666666666676E-2"/>
  </r>
  <r>
    <x v="4"/>
    <x v="2"/>
    <x v="2"/>
    <n v="8.2333333333333328E-2"/>
    <n v="5.4000000000000001E-4"/>
    <n v="1.4999999999999999E-2"/>
    <n v="9.7873333333333326E-2"/>
  </r>
  <r>
    <x v="4"/>
    <x v="2"/>
    <x v="3"/>
    <n v="8.4500000000000006E-2"/>
    <n v="5.4000000000000001E-4"/>
    <n v="1.4999999999999999E-2"/>
    <n v="0.10004"/>
  </r>
  <r>
    <x v="4"/>
    <x v="2"/>
    <x v="4"/>
    <n v="8.666666666666667E-2"/>
    <n v="5.4000000000000001E-4"/>
    <n v="1.4999999999999999E-2"/>
    <n v="0.10220666666666667"/>
  </r>
  <r>
    <x v="4"/>
    <x v="2"/>
    <x v="5"/>
    <n v="8.8833333333333334E-2"/>
    <n v="5.4000000000000001E-4"/>
    <n v="1.4999999999999999E-2"/>
    <n v="0.10437333333333333"/>
  </r>
  <r>
    <x v="4"/>
    <x v="2"/>
    <x v="6"/>
    <n v="9.0999999999999998E-2"/>
    <n v="5.4000000000000001E-4"/>
    <n v="1.4999999999999999E-2"/>
    <n v="0.10654"/>
  </r>
  <r>
    <x v="4"/>
    <x v="2"/>
    <x v="7"/>
    <n v="9.0999999999999998E-2"/>
    <n v="5.4000000000000001E-4"/>
    <n v="1.4999999999999999E-2"/>
    <n v="0.10654"/>
  </r>
  <r>
    <x v="4"/>
    <x v="2"/>
    <x v="8"/>
    <n v="9.0999999999999998E-2"/>
    <n v="5.4000000000000001E-4"/>
    <n v="1.4999999999999999E-2"/>
    <n v="0.10654"/>
  </r>
  <r>
    <x v="4"/>
    <x v="2"/>
    <x v="9"/>
    <n v="9.0999999999999998E-2"/>
    <n v="5.4000000000000001E-4"/>
    <n v="1.4999999999999999E-2"/>
    <n v="0.10654"/>
  </r>
  <r>
    <x v="4"/>
    <x v="2"/>
    <x v="10"/>
    <n v="9.0999999999999998E-2"/>
    <n v="5.4000000000000001E-4"/>
    <n v="1.4999999999999999E-2"/>
    <n v="0.10654"/>
  </r>
  <r>
    <x v="4"/>
    <x v="2"/>
    <x v="11"/>
    <n v="9.0999999999999998E-2"/>
    <n v="5.4000000000000001E-4"/>
    <n v="1.4999999999999999E-2"/>
    <n v="0.10654"/>
  </r>
  <r>
    <x v="4"/>
    <x v="2"/>
    <x v="12"/>
    <n v="9.0999999999999998E-2"/>
    <n v="5.4000000000000001E-4"/>
    <n v="1.4999999999999999E-2"/>
    <n v="0.10654"/>
  </r>
  <r>
    <x v="4"/>
    <x v="2"/>
    <x v="13"/>
    <n v="9.0999999999999998E-2"/>
    <n v="5.4000000000000001E-4"/>
    <n v="1.4999999999999999E-2"/>
    <n v="0.10654"/>
  </r>
  <r>
    <x v="4"/>
    <x v="2"/>
    <x v="14"/>
    <n v="9.0999999999999998E-2"/>
    <n v="5.4000000000000001E-4"/>
    <n v="1.4999999999999999E-2"/>
    <n v="0.10654"/>
  </r>
  <r>
    <x v="4"/>
    <x v="2"/>
    <x v="15"/>
    <n v="9.0999999999999998E-2"/>
    <n v="5.4000000000000001E-4"/>
    <n v="1.4999999999999999E-2"/>
    <n v="0.10654"/>
  </r>
  <r>
    <x v="4"/>
    <x v="2"/>
    <x v="16"/>
    <n v="9.0999999999999998E-2"/>
    <n v="5.4000000000000001E-4"/>
    <n v="1.4999999999999999E-2"/>
    <n v="0.10654"/>
  </r>
  <r>
    <x v="4"/>
    <x v="2"/>
    <x v="17"/>
    <n v="9.0999999999999998E-2"/>
    <n v="5.4000000000000001E-4"/>
    <n v="1.4999999999999999E-2"/>
    <n v="0.10654"/>
  </r>
  <r>
    <x v="4"/>
    <x v="2"/>
    <x v="18"/>
    <n v="9.0999999999999998E-2"/>
    <n v="5.4000000000000001E-4"/>
    <n v="1.4999999999999999E-2"/>
    <n v="0.10654"/>
  </r>
  <r>
    <x v="4"/>
    <x v="2"/>
    <x v="19"/>
    <n v="9.0999999999999998E-2"/>
    <n v="5.4000000000000001E-4"/>
    <n v="1.4999999999999999E-2"/>
    <n v="0.10654"/>
  </r>
  <r>
    <x v="4"/>
    <x v="2"/>
    <x v="20"/>
    <n v="9.0999999999999998E-2"/>
    <n v="5.4000000000000001E-4"/>
    <n v="1.4999999999999999E-2"/>
    <n v="0.10654"/>
  </r>
  <r>
    <x v="4"/>
    <x v="2"/>
    <x v="21"/>
    <n v="9.0999999999999998E-2"/>
    <n v="5.4000000000000001E-4"/>
    <n v="1.4999999999999999E-2"/>
    <n v="0.10654"/>
  </r>
  <r>
    <x v="4"/>
    <x v="2"/>
    <x v="22"/>
    <n v="9.0999999999999998E-2"/>
    <n v="5.4000000000000001E-4"/>
    <n v="1.4999999999999999E-2"/>
    <n v="0.10654"/>
  </r>
  <r>
    <x v="4"/>
    <x v="2"/>
    <x v="23"/>
    <n v="9.0999999999999998E-2"/>
    <n v="5.4000000000000001E-4"/>
    <n v="1.4999999999999999E-2"/>
    <n v="0.10654"/>
  </r>
  <r>
    <x v="4"/>
    <x v="2"/>
    <x v="24"/>
    <n v="9.0999999999999998E-2"/>
    <n v="5.4000000000000001E-4"/>
    <n v="1.4999999999999999E-2"/>
    <n v="0.10654"/>
  </r>
  <r>
    <x v="4"/>
    <x v="2"/>
    <x v="25"/>
    <n v="9.0999999999999998E-2"/>
    <n v="5.4000000000000001E-4"/>
    <n v="1.4999999999999999E-2"/>
    <n v="0.10654"/>
  </r>
  <r>
    <x v="4"/>
    <x v="2"/>
    <x v="26"/>
    <n v="9.0999999999999998E-2"/>
    <n v="5.4000000000000001E-4"/>
    <n v="1.4999999999999999E-2"/>
    <n v="0.10654"/>
  </r>
  <r>
    <x v="5"/>
    <x v="0"/>
    <x v="0"/>
    <n v="0.30900900900900902"/>
    <n v="5.4000000000000001E-4"/>
    <n v="0"/>
    <n v="0.309549009009009"/>
  </r>
  <r>
    <x v="5"/>
    <x v="0"/>
    <x v="1"/>
    <n v="0.33213213213213216"/>
    <n v="5.4000000000000001E-4"/>
    <n v="0"/>
    <n v="0.33267213213213215"/>
  </r>
  <r>
    <x v="5"/>
    <x v="0"/>
    <x v="2"/>
    <n v="0.30630630630630629"/>
    <n v="5.4000000000000001E-4"/>
    <n v="0"/>
    <n v="0.30684630630630627"/>
  </r>
  <r>
    <x v="5"/>
    <x v="0"/>
    <x v="3"/>
    <n v="0.2801801801801802"/>
    <n v="5.4000000000000001E-4"/>
    <n v="0"/>
    <n v="0.28072018018018019"/>
  </r>
  <r>
    <x v="5"/>
    <x v="0"/>
    <x v="4"/>
    <n v="0.25435435435435438"/>
    <n v="5.4000000000000001E-4"/>
    <n v="0"/>
    <n v="0.25489435435435437"/>
  </r>
  <r>
    <x v="5"/>
    <x v="0"/>
    <x v="5"/>
    <n v="0.22852852852852856"/>
    <n v="5.4000000000000001E-4"/>
    <n v="0"/>
    <n v="0.22906852852852858"/>
  </r>
  <r>
    <x v="5"/>
    <x v="0"/>
    <x v="6"/>
    <n v="0.20270270270270271"/>
    <n v="5.4000000000000001E-4"/>
    <n v="0"/>
    <n v="0.20324270270270273"/>
  </r>
  <r>
    <x v="5"/>
    <x v="0"/>
    <x v="7"/>
    <n v="0.20510510510510513"/>
    <n v="5.4000000000000001E-4"/>
    <n v="0"/>
    <n v="0.20564510510510514"/>
  </r>
  <r>
    <x v="5"/>
    <x v="0"/>
    <x v="8"/>
    <n v="0.20780780780780783"/>
    <n v="5.4000000000000001E-4"/>
    <n v="0"/>
    <n v="0.20834780780780784"/>
  </r>
  <r>
    <x v="5"/>
    <x v="0"/>
    <x v="9"/>
    <n v="0.21021021021021022"/>
    <n v="5.4000000000000001E-4"/>
    <n v="0"/>
    <n v="0.21075021021021023"/>
  </r>
  <r>
    <x v="5"/>
    <x v="0"/>
    <x v="10"/>
    <n v="0.21291291291291292"/>
    <n v="5.4000000000000001E-4"/>
    <n v="0"/>
    <n v="0.21345291291291293"/>
  </r>
  <r>
    <x v="5"/>
    <x v="0"/>
    <x v="11"/>
    <n v="0.1843843843843844"/>
    <n v="5.4000000000000001E-4"/>
    <n v="0"/>
    <n v="0.18492438438438441"/>
  </r>
  <r>
    <x v="5"/>
    <x v="0"/>
    <x v="12"/>
    <n v="0.18708708708708713"/>
    <n v="5.4000000000000001E-4"/>
    <n v="0"/>
    <n v="0.18762708708708714"/>
  </r>
  <r>
    <x v="5"/>
    <x v="0"/>
    <x v="13"/>
    <n v="0.18948948948948949"/>
    <n v="5.4000000000000001E-4"/>
    <n v="0"/>
    <n v="0.1900294894894895"/>
  </r>
  <r>
    <x v="5"/>
    <x v="0"/>
    <x v="14"/>
    <n v="0.19219219219219222"/>
    <n v="5.4000000000000001E-4"/>
    <n v="0"/>
    <n v="0.19273219219219223"/>
  </r>
  <r>
    <x v="5"/>
    <x v="0"/>
    <x v="15"/>
    <n v="0.19489489489489492"/>
    <n v="5.4000000000000001E-4"/>
    <n v="0"/>
    <n v="0.19543489489489493"/>
  </r>
  <r>
    <x v="5"/>
    <x v="0"/>
    <x v="16"/>
    <n v="0.16666666666666669"/>
    <n v="5.4000000000000001E-4"/>
    <n v="0"/>
    <n v="0.1672066666666667"/>
  </r>
  <r>
    <x v="5"/>
    <x v="0"/>
    <x v="17"/>
    <n v="0.16606606606606608"/>
    <n v="5.4000000000000001E-4"/>
    <n v="0"/>
    <n v="0.16660606606606609"/>
  </r>
  <r>
    <x v="5"/>
    <x v="0"/>
    <x v="18"/>
    <n v="0.16576576576576577"/>
    <n v="5.4000000000000001E-4"/>
    <n v="0"/>
    <n v="0.16630576576576578"/>
  </r>
  <r>
    <x v="5"/>
    <x v="0"/>
    <x v="19"/>
    <n v="0.16516516516516519"/>
    <n v="5.4000000000000001E-4"/>
    <n v="0"/>
    <n v="0.1657051651651652"/>
  </r>
  <r>
    <x v="5"/>
    <x v="0"/>
    <x v="20"/>
    <n v="0.16486486486486487"/>
    <n v="5.4000000000000001E-4"/>
    <n v="0"/>
    <n v="0.16540486486486489"/>
  </r>
  <r>
    <x v="5"/>
    <x v="0"/>
    <x v="21"/>
    <n v="0.16456456456456459"/>
    <n v="5.4000000000000001E-4"/>
    <n v="0"/>
    <n v="0.1651045645645646"/>
  </r>
  <r>
    <x v="5"/>
    <x v="0"/>
    <x v="22"/>
    <n v="0.16396396396396398"/>
    <n v="5.4000000000000001E-4"/>
    <n v="0"/>
    <n v="0.164503963963964"/>
  </r>
  <r>
    <x v="5"/>
    <x v="0"/>
    <x v="23"/>
    <n v="0.16366366366366369"/>
    <n v="5.4000000000000001E-4"/>
    <n v="0"/>
    <n v="0.16420366366366371"/>
  </r>
  <r>
    <x v="5"/>
    <x v="0"/>
    <x v="24"/>
    <n v="0.16306306306306306"/>
    <n v="5.4000000000000001E-4"/>
    <n v="0"/>
    <n v="0.16360306306306308"/>
  </r>
  <r>
    <x v="5"/>
    <x v="0"/>
    <x v="25"/>
    <n v="0.16276276276276277"/>
    <n v="5.4000000000000001E-4"/>
    <n v="0"/>
    <n v="0.16330276276276279"/>
  </r>
  <r>
    <x v="5"/>
    <x v="0"/>
    <x v="26"/>
    <n v="0.16246246246246249"/>
    <n v="5.4000000000000001E-4"/>
    <n v="0"/>
    <n v="0.1630024624624625"/>
  </r>
  <r>
    <x v="5"/>
    <x v="1"/>
    <x v="0"/>
    <n v="0.22042042042042043"/>
    <n v="5.4000000000000001E-4"/>
    <n v="0"/>
    <n v="0.22096042042042044"/>
  </r>
  <r>
    <x v="5"/>
    <x v="1"/>
    <x v="1"/>
    <n v="0.23933933933933935"/>
    <n v="5.4000000000000001E-4"/>
    <n v="0"/>
    <n v="0.23987933933933936"/>
  </r>
  <r>
    <x v="5"/>
    <x v="1"/>
    <x v="2"/>
    <n v="0.21771771771771772"/>
    <n v="5.4000000000000001E-4"/>
    <n v="0"/>
    <n v="0.21825771771771774"/>
  </r>
  <r>
    <x v="5"/>
    <x v="1"/>
    <x v="3"/>
    <n v="0.19639639639639642"/>
    <n v="5.4000000000000001E-4"/>
    <n v="0"/>
    <n v="0.19693639639639643"/>
  </r>
  <r>
    <x v="5"/>
    <x v="1"/>
    <x v="4"/>
    <n v="0.17507507507507508"/>
    <n v="5.4000000000000001E-4"/>
    <n v="0"/>
    <n v="0.17561507507507509"/>
  </r>
  <r>
    <x v="5"/>
    <x v="1"/>
    <x v="5"/>
    <n v="0.15405405405405406"/>
    <n v="5.4000000000000001E-4"/>
    <n v="0"/>
    <n v="0.15459405405405408"/>
  </r>
  <r>
    <x v="5"/>
    <x v="1"/>
    <x v="6"/>
    <n v="0.13303303303303304"/>
    <n v="5.4000000000000001E-4"/>
    <n v="0"/>
    <n v="0.13357303303303306"/>
  </r>
  <r>
    <x v="5"/>
    <x v="1"/>
    <x v="7"/>
    <n v="0.13243243243243244"/>
    <n v="5.4000000000000001E-4"/>
    <n v="0"/>
    <n v="0.13297243243243245"/>
  </r>
  <r>
    <x v="5"/>
    <x v="1"/>
    <x v="8"/>
    <n v="0.13183183183183184"/>
    <n v="5.4000000000000001E-4"/>
    <n v="0"/>
    <n v="0.13237183183183185"/>
  </r>
  <r>
    <x v="5"/>
    <x v="1"/>
    <x v="9"/>
    <n v="0.13123123123123123"/>
    <n v="5.4000000000000001E-4"/>
    <n v="0"/>
    <n v="0.13177123123123125"/>
  </r>
  <r>
    <x v="5"/>
    <x v="1"/>
    <x v="10"/>
    <n v="0.13063063063063063"/>
    <n v="5.4000000000000001E-4"/>
    <n v="0"/>
    <n v="0.13117063063063064"/>
  </r>
  <r>
    <x v="5"/>
    <x v="1"/>
    <x v="11"/>
    <n v="0.13003003003003005"/>
    <n v="5.4000000000000001E-4"/>
    <n v="0"/>
    <n v="0.13057003003003007"/>
  </r>
  <r>
    <x v="5"/>
    <x v="1"/>
    <x v="12"/>
    <n v="0.12972972972972974"/>
    <n v="5.4000000000000001E-4"/>
    <n v="0"/>
    <n v="0.13026972972972975"/>
  </r>
  <r>
    <x v="5"/>
    <x v="1"/>
    <x v="13"/>
    <n v="0.12912912912912913"/>
    <n v="5.4000000000000001E-4"/>
    <n v="0"/>
    <n v="0.12966912912912915"/>
  </r>
  <r>
    <x v="5"/>
    <x v="1"/>
    <x v="14"/>
    <n v="0.12882882882882885"/>
    <n v="5.4000000000000001E-4"/>
    <n v="0"/>
    <n v="0.12936882882882886"/>
  </r>
  <r>
    <x v="5"/>
    <x v="1"/>
    <x v="15"/>
    <n v="0.12822822822822821"/>
    <n v="5.4000000000000001E-4"/>
    <n v="0"/>
    <n v="0.12876822822822823"/>
  </r>
  <r>
    <x v="5"/>
    <x v="1"/>
    <x v="16"/>
    <n v="0.12792792792792793"/>
    <n v="5.4000000000000001E-4"/>
    <n v="0"/>
    <n v="0.12846792792792794"/>
  </r>
  <r>
    <x v="5"/>
    <x v="1"/>
    <x v="17"/>
    <n v="0.12732732732732735"/>
    <n v="5.4000000000000001E-4"/>
    <n v="0"/>
    <n v="0.12786732732732736"/>
  </r>
  <r>
    <x v="5"/>
    <x v="1"/>
    <x v="18"/>
    <n v="0.12702702702702706"/>
    <n v="5.4000000000000001E-4"/>
    <n v="0"/>
    <n v="0.12756702702702707"/>
  </r>
  <r>
    <x v="5"/>
    <x v="1"/>
    <x v="19"/>
    <n v="0.12642642642642643"/>
    <n v="5.4000000000000001E-4"/>
    <n v="0"/>
    <n v="0.12696642642642644"/>
  </r>
  <r>
    <x v="5"/>
    <x v="1"/>
    <x v="20"/>
    <n v="0.12612612612612614"/>
    <n v="5.4000000000000001E-4"/>
    <n v="0"/>
    <n v="0.12666612612612616"/>
  </r>
  <r>
    <x v="5"/>
    <x v="1"/>
    <x v="21"/>
    <n v="0.12552552552552554"/>
    <n v="5.4000000000000001E-4"/>
    <n v="0"/>
    <n v="0.12606552552552555"/>
  </r>
  <r>
    <x v="5"/>
    <x v="1"/>
    <x v="22"/>
    <n v="0.12522522522522522"/>
    <n v="5.4000000000000001E-4"/>
    <n v="0"/>
    <n v="0.12576522522522524"/>
  </r>
  <r>
    <x v="5"/>
    <x v="1"/>
    <x v="23"/>
    <n v="0.12492492492492493"/>
    <n v="5.4000000000000001E-4"/>
    <n v="0"/>
    <n v="0.12546492492492495"/>
  </r>
  <r>
    <x v="5"/>
    <x v="1"/>
    <x v="24"/>
    <n v="0.12432432432432433"/>
    <n v="5.4000000000000001E-4"/>
    <n v="0"/>
    <n v="0.12486432432432433"/>
  </r>
  <r>
    <x v="5"/>
    <x v="1"/>
    <x v="25"/>
    <n v="0.12402402402402403"/>
    <n v="5.4000000000000001E-4"/>
    <n v="0"/>
    <n v="0.12456402402402403"/>
  </r>
  <r>
    <x v="5"/>
    <x v="1"/>
    <x v="26"/>
    <n v="0.12372372372372374"/>
    <n v="5.4000000000000001E-4"/>
    <n v="0"/>
    <n v="0.12426372372372374"/>
  </r>
  <r>
    <x v="5"/>
    <x v="2"/>
    <x v="0"/>
    <n v="0.19729729729729734"/>
    <n v="5.4000000000000001E-4"/>
    <n v="0"/>
    <n v="0.19783729729729735"/>
  </r>
  <r>
    <x v="5"/>
    <x v="2"/>
    <x v="1"/>
    <n v="0.21591591591591594"/>
    <n v="5.4000000000000001E-4"/>
    <n v="0"/>
    <n v="0.21645591591591595"/>
  </r>
  <r>
    <x v="5"/>
    <x v="2"/>
    <x v="2"/>
    <n v="0.19459459459459463"/>
    <n v="5.4000000000000001E-4"/>
    <n v="0"/>
    <n v="0.19513459459459465"/>
  </r>
  <r>
    <x v="5"/>
    <x v="2"/>
    <x v="3"/>
    <n v="0.17327327327327327"/>
    <n v="5.4000000000000001E-4"/>
    <n v="0"/>
    <n v="0.17381327327327328"/>
  </r>
  <r>
    <x v="5"/>
    <x v="2"/>
    <x v="4"/>
    <n v="0.15195195195195196"/>
    <n v="5.4000000000000001E-4"/>
    <n v="0"/>
    <n v="0.15249195195195198"/>
  </r>
  <r>
    <x v="5"/>
    <x v="2"/>
    <x v="5"/>
    <n v="0.13093093093093094"/>
    <n v="5.4000000000000001E-4"/>
    <n v="0"/>
    <n v="0.13147093093093096"/>
  </r>
  <r>
    <x v="5"/>
    <x v="2"/>
    <x v="6"/>
    <n v="0.10960960960960961"/>
    <n v="5.4000000000000001E-4"/>
    <n v="0"/>
    <n v="0.11014960960960961"/>
  </r>
  <r>
    <x v="5"/>
    <x v="2"/>
    <x v="7"/>
    <n v="0.10900900900900902"/>
    <n v="5.4000000000000001E-4"/>
    <n v="0"/>
    <n v="0.10954900900900902"/>
  </r>
  <r>
    <x v="5"/>
    <x v="2"/>
    <x v="8"/>
    <n v="0.10840840840840842"/>
    <n v="5.4000000000000001E-4"/>
    <n v="0"/>
    <n v="0.10894840840840841"/>
  </r>
  <r>
    <x v="5"/>
    <x v="2"/>
    <x v="9"/>
    <n v="0.10810810810810811"/>
    <n v="5.4000000000000001E-4"/>
    <n v="0"/>
    <n v="0.10864810810810811"/>
  </r>
  <r>
    <x v="5"/>
    <x v="2"/>
    <x v="10"/>
    <n v="0.10750750750750752"/>
    <n v="5.4000000000000001E-4"/>
    <n v="0"/>
    <n v="0.10804750750750752"/>
  </r>
  <r>
    <x v="5"/>
    <x v="2"/>
    <x v="11"/>
    <n v="0.10690690690690692"/>
    <n v="5.4000000000000001E-4"/>
    <n v="0"/>
    <n v="0.10744690690690692"/>
  </r>
  <r>
    <x v="5"/>
    <x v="2"/>
    <x v="12"/>
    <n v="0.10630630630630632"/>
    <n v="5.4000000000000001E-4"/>
    <n v="0"/>
    <n v="0.10684630630630632"/>
  </r>
  <r>
    <x v="5"/>
    <x v="2"/>
    <x v="13"/>
    <n v="0.10600600600600601"/>
    <n v="5.4000000000000001E-4"/>
    <n v="0"/>
    <n v="0.10654600600600601"/>
  </r>
  <r>
    <x v="5"/>
    <x v="2"/>
    <x v="14"/>
    <n v="0.10540540540540541"/>
    <n v="5.4000000000000001E-4"/>
    <n v="0"/>
    <n v="0.10594540540540541"/>
  </r>
  <r>
    <x v="5"/>
    <x v="2"/>
    <x v="15"/>
    <n v="0.10510510510510511"/>
    <n v="5.4000000000000001E-4"/>
    <n v="0"/>
    <n v="0.10564510510510511"/>
  </r>
  <r>
    <x v="5"/>
    <x v="2"/>
    <x v="16"/>
    <n v="0.10450450450450452"/>
    <n v="5.4000000000000001E-4"/>
    <n v="0"/>
    <n v="0.10504450450450452"/>
  </r>
  <r>
    <x v="5"/>
    <x v="2"/>
    <x v="17"/>
    <n v="0.10870870870870872"/>
    <n v="5.4000000000000001E-4"/>
    <n v="0"/>
    <n v="0.10924870870870872"/>
  </r>
  <r>
    <x v="5"/>
    <x v="2"/>
    <x v="18"/>
    <n v="0.11291291291291292"/>
    <n v="5.4000000000000001E-4"/>
    <n v="0"/>
    <n v="0.11345291291291291"/>
  </r>
  <r>
    <x v="5"/>
    <x v="2"/>
    <x v="19"/>
    <n v="0.11711711711711713"/>
    <n v="5.4000000000000001E-4"/>
    <n v="0"/>
    <n v="0.11765711711711713"/>
  </r>
  <r>
    <x v="5"/>
    <x v="2"/>
    <x v="20"/>
    <n v="0.12132132132132133"/>
    <n v="5.4000000000000001E-4"/>
    <n v="0"/>
    <n v="0.12186132132132133"/>
  </r>
  <r>
    <x v="5"/>
    <x v="2"/>
    <x v="21"/>
    <n v="0.12552552552552554"/>
    <n v="5.4000000000000001E-4"/>
    <n v="0"/>
    <n v="0.12606552552552555"/>
  </r>
  <r>
    <x v="5"/>
    <x v="2"/>
    <x v="22"/>
    <n v="0.12522522522522522"/>
    <n v="5.4000000000000001E-4"/>
    <n v="0"/>
    <n v="0.12576522522522524"/>
  </r>
  <r>
    <x v="5"/>
    <x v="2"/>
    <x v="23"/>
    <n v="0.12492492492492493"/>
    <n v="5.4000000000000001E-4"/>
    <n v="0"/>
    <n v="0.12546492492492495"/>
  </r>
  <r>
    <x v="5"/>
    <x v="2"/>
    <x v="24"/>
    <n v="0.12432432432432433"/>
    <n v="5.4000000000000001E-4"/>
    <n v="0"/>
    <n v="0.12486432432432433"/>
  </r>
  <r>
    <x v="5"/>
    <x v="2"/>
    <x v="25"/>
    <n v="0.12402402402402403"/>
    <n v="5.4000000000000001E-4"/>
    <n v="0"/>
    <n v="0.12456402402402403"/>
  </r>
  <r>
    <x v="5"/>
    <x v="2"/>
    <x v="26"/>
    <n v="0.12372372372372374"/>
    <n v="5.4000000000000001E-4"/>
    <n v="0"/>
    <n v="0.1242637237237237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B06ECEB-7CE8-4D03-8A47-FB1BA404F2E8}" name="TablaDinámica3" cacheId="0" applyNumberFormats="0" applyBorderFormats="0" applyFontFormats="0" applyPatternFormats="0" applyAlignmentFormats="0" applyWidthHeightFormats="1" dataCaption="Valores" updatedVersion="7" minRefreshableVersion="3" useAutoFormatting="1" itemPrintTitles="1" createdVersion="7" indent="0" outline="1" outlineData="1" multipleFieldFilters="0" chartFormat="1">
  <location ref="B74:E81" firstHeaderRow="0" firstDataRow="1" firstDataCol="1" rowPageCount="2" colPageCount="1"/>
  <pivotFields count="7">
    <pivotField axis="axisRow" showAll="0">
      <items count="7">
        <item x="3"/>
        <item x="2"/>
        <item x="5"/>
        <item x="4"/>
        <item x="1"/>
        <item x="0"/>
        <item t="default"/>
      </items>
    </pivotField>
    <pivotField axis="axisPage" showAll="0">
      <items count="4">
        <item x="1"/>
        <item x="0"/>
        <item x="2"/>
        <item t="default"/>
      </items>
    </pivotField>
    <pivotField axis="axisPage" showAll="0">
      <items count="2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t="default"/>
      </items>
    </pivotField>
    <pivotField dataField="1" showAll="0"/>
    <pivotField dataField="1" showAll="0"/>
    <pivotField dataField="1" showAll="0"/>
    <pivotField showAll="0"/>
  </pivotFields>
  <rowFields count="1">
    <field x="0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2" item="26" hier="-1"/>
    <pageField fld="1" item="1" hier="-1"/>
  </pageFields>
  <dataFields count="3">
    <dataField name="Suma de Energy" fld="3" baseField="0" baseItem="0"/>
    <dataField name="Suma de Distribution" fld="5" baseField="0" baseItem="0"/>
    <dataField name="Suma de Energy_Taxes" fld="4" baseField="0" baseItem="0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3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A8858B-14C1-4FD9-A3BC-89DB03ED794B}">
  <sheetPr codeName="Hoja1"/>
  <dimension ref="B7:AD153"/>
  <sheetViews>
    <sheetView tabSelected="1" topLeftCell="A30" zoomScale="85" zoomScaleNormal="85" workbookViewId="0">
      <selection activeCell="I45" sqref="I45"/>
    </sheetView>
  </sheetViews>
  <sheetFormatPr baseColWidth="10" defaultRowHeight="15" x14ac:dyDescent="0.25"/>
  <cols>
    <col min="1" max="1" width="12" bestFit="1" customWidth="1"/>
    <col min="3" max="3" width="30.28515625" customWidth="1"/>
    <col min="5" max="5" width="12" bestFit="1" customWidth="1"/>
    <col min="7" max="7" width="27" customWidth="1"/>
    <col min="9" max="9" width="11.85546875" bestFit="1" customWidth="1"/>
    <col min="10" max="10" width="21.42578125" customWidth="1"/>
    <col min="11" max="11" width="20.7109375" customWidth="1"/>
    <col min="13" max="13" width="21.5703125" customWidth="1"/>
  </cols>
  <sheetData>
    <row r="7" spans="3:20" x14ac:dyDescent="0.25">
      <c r="C7" s="42" t="s">
        <v>30</v>
      </c>
      <c r="D7" s="42"/>
      <c r="E7" s="42"/>
      <c r="F7" s="42"/>
      <c r="G7" s="42"/>
      <c r="H7" s="42"/>
      <c r="I7" s="42"/>
      <c r="J7" s="42"/>
    </row>
    <row r="9" spans="3:20" x14ac:dyDescent="0.25">
      <c r="H9" t="s">
        <v>27</v>
      </c>
      <c r="I9" s="1">
        <v>0.1</v>
      </c>
    </row>
    <row r="12" spans="3:20" x14ac:dyDescent="0.25">
      <c r="C12" t="s">
        <v>7</v>
      </c>
      <c r="D12" s="2">
        <v>2022</v>
      </c>
      <c r="E12" s="2" t="s">
        <v>6</v>
      </c>
      <c r="F12" s="2">
        <v>49900</v>
      </c>
      <c r="G12" s="2" t="s">
        <v>25</v>
      </c>
      <c r="H12" s="2">
        <f t="shared" ref="H12:H27" si="0">F12*(1+$I$9)</f>
        <v>54890.000000000007</v>
      </c>
      <c r="I12" s="2" t="s">
        <v>26</v>
      </c>
      <c r="J12" s="2">
        <f>H12</f>
        <v>54890.000000000007</v>
      </c>
      <c r="M12" t="s">
        <v>7</v>
      </c>
      <c r="N12">
        <v>2040</v>
      </c>
      <c r="O12" t="s">
        <v>6</v>
      </c>
      <c r="P12">
        <v>49900</v>
      </c>
      <c r="Q12" t="s">
        <v>25</v>
      </c>
      <c r="R12" s="2">
        <f t="shared" ref="R12:R27" si="1">P12*(1+$I$9)</f>
        <v>54890.000000000007</v>
      </c>
      <c r="S12" s="2" t="s">
        <v>26</v>
      </c>
      <c r="T12" s="2">
        <f t="shared" ref="T12:T27" si="2">R12</f>
        <v>54890.000000000007</v>
      </c>
    </row>
    <row r="13" spans="3:20" x14ac:dyDescent="0.25">
      <c r="C13" t="s">
        <v>10</v>
      </c>
      <c r="D13" s="2">
        <v>2022</v>
      </c>
      <c r="E13" s="2" t="s">
        <v>6</v>
      </c>
      <c r="F13" s="2">
        <v>49900</v>
      </c>
      <c r="G13" s="2" t="s">
        <v>25</v>
      </c>
      <c r="H13" s="2">
        <f t="shared" si="0"/>
        <v>54890.000000000007</v>
      </c>
      <c r="I13" s="2" t="s">
        <v>26</v>
      </c>
      <c r="J13" s="2">
        <f t="shared" ref="J13:J27" si="3">H13</f>
        <v>54890.000000000007</v>
      </c>
      <c r="M13" t="s">
        <v>10</v>
      </c>
      <c r="N13">
        <v>2040</v>
      </c>
      <c r="O13" t="s">
        <v>6</v>
      </c>
      <c r="P13">
        <v>49900</v>
      </c>
      <c r="Q13" t="s">
        <v>25</v>
      </c>
      <c r="R13" s="2">
        <f t="shared" si="1"/>
        <v>54890.000000000007</v>
      </c>
      <c r="S13" s="2" t="s">
        <v>26</v>
      </c>
      <c r="T13" s="2">
        <f t="shared" si="2"/>
        <v>54890.000000000007</v>
      </c>
    </row>
    <row r="14" spans="3:20" x14ac:dyDescent="0.25">
      <c r="C14" t="s">
        <v>11</v>
      </c>
      <c r="D14" s="2">
        <v>2022</v>
      </c>
      <c r="E14" s="2" t="s">
        <v>6</v>
      </c>
      <c r="F14" s="2">
        <v>72572</v>
      </c>
      <c r="G14" s="2" t="s">
        <v>25</v>
      </c>
      <c r="H14" s="2">
        <f t="shared" si="0"/>
        <v>79829.200000000012</v>
      </c>
      <c r="I14" s="2" t="s">
        <v>26</v>
      </c>
      <c r="J14" s="2">
        <f t="shared" si="3"/>
        <v>79829.200000000012</v>
      </c>
      <c r="M14" t="s">
        <v>11</v>
      </c>
      <c r="N14">
        <v>2040</v>
      </c>
      <c r="O14" t="s">
        <v>6</v>
      </c>
      <c r="P14">
        <v>72572</v>
      </c>
      <c r="Q14" t="s">
        <v>25</v>
      </c>
      <c r="R14" s="2">
        <f t="shared" si="1"/>
        <v>79829.200000000012</v>
      </c>
      <c r="S14" s="2" t="s">
        <v>26</v>
      </c>
      <c r="T14" s="2">
        <f t="shared" si="2"/>
        <v>79829.200000000012</v>
      </c>
    </row>
    <row r="15" spans="3:20" x14ac:dyDescent="0.25">
      <c r="C15" t="s">
        <v>12</v>
      </c>
      <c r="D15" s="2">
        <v>2022</v>
      </c>
      <c r="E15" s="2" t="s">
        <v>6</v>
      </c>
      <c r="F15" s="2">
        <v>78155</v>
      </c>
      <c r="G15" s="2" t="s">
        <v>25</v>
      </c>
      <c r="H15" s="2">
        <f t="shared" si="0"/>
        <v>85970.5</v>
      </c>
      <c r="I15" s="2" t="s">
        <v>26</v>
      </c>
      <c r="J15" s="2">
        <f t="shared" si="3"/>
        <v>85970.5</v>
      </c>
      <c r="M15" t="s">
        <v>12</v>
      </c>
      <c r="N15">
        <v>2040</v>
      </c>
      <c r="O15" t="s">
        <v>6</v>
      </c>
      <c r="P15">
        <v>78155</v>
      </c>
      <c r="Q15" t="s">
        <v>25</v>
      </c>
      <c r="R15" s="2">
        <f t="shared" si="1"/>
        <v>85970.5</v>
      </c>
      <c r="S15" s="2" t="s">
        <v>26</v>
      </c>
      <c r="T15" s="2">
        <f t="shared" si="2"/>
        <v>85970.5</v>
      </c>
    </row>
    <row r="16" spans="3:20" x14ac:dyDescent="0.25">
      <c r="C16" t="s">
        <v>13</v>
      </c>
      <c r="D16" s="2">
        <v>2022</v>
      </c>
      <c r="E16" s="2" t="s">
        <v>6</v>
      </c>
      <c r="F16" s="2">
        <v>78155</v>
      </c>
      <c r="G16" s="2" t="s">
        <v>25</v>
      </c>
      <c r="H16" s="2">
        <f t="shared" si="0"/>
        <v>85970.5</v>
      </c>
      <c r="I16" s="2" t="s">
        <v>26</v>
      </c>
      <c r="J16" s="2">
        <f t="shared" si="3"/>
        <v>85970.5</v>
      </c>
      <c r="M16" t="s">
        <v>13</v>
      </c>
      <c r="N16">
        <v>2040</v>
      </c>
      <c r="O16" t="s">
        <v>6</v>
      </c>
      <c r="P16">
        <v>78155</v>
      </c>
      <c r="Q16" t="s">
        <v>25</v>
      </c>
      <c r="R16" s="2">
        <f t="shared" si="1"/>
        <v>85970.5</v>
      </c>
      <c r="S16" s="2" t="s">
        <v>26</v>
      </c>
      <c r="T16" s="2">
        <f t="shared" si="2"/>
        <v>85970.5</v>
      </c>
    </row>
    <row r="17" spans="3:20" x14ac:dyDescent="0.25">
      <c r="C17" t="s">
        <v>14</v>
      </c>
      <c r="D17" s="2">
        <v>2022</v>
      </c>
      <c r="E17" s="2" t="s">
        <v>6</v>
      </c>
      <c r="F17" s="2">
        <v>83738</v>
      </c>
      <c r="G17" s="2" t="s">
        <v>25</v>
      </c>
      <c r="H17" s="2">
        <f t="shared" si="0"/>
        <v>92111.8</v>
      </c>
      <c r="I17" s="2" t="s">
        <v>26</v>
      </c>
      <c r="J17" s="2">
        <f t="shared" si="3"/>
        <v>92111.8</v>
      </c>
      <c r="M17" t="s">
        <v>14</v>
      </c>
      <c r="N17">
        <v>2040</v>
      </c>
      <c r="O17" t="s">
        <v>6</v>
      </c>
      <c r="P17">
        <v>83738</v>
      </c>
      <c r="Q17" t="s">
        <v>25</v>
      </c>
      <c r="R17" s="2">
        <f t="shared" si="1"/>
        <v>92111.8</v>
      </c>
      <c r="S17" s="2" t="s">
        <v>26</v>
      </c>
      <c r="T17" s="2">
        <f t="shared" si="2"/>
        <v>92111.8</v>
      </c>
    </row>
    <row r="18" spans="3:20" x14ac:dyDescent="0.25">
      <c r="C18" t="s">
        <v>15</v>
      </c>
      <c r="D18" s="2">
        <v>2022</v>
      </c>
      <c r="E18" s="2" t="s">
        <v>6</v>
      </c>
      <c r="F18" s="2">
        <v>110423</v>
      </c>
      <c r="G18" s="2" t="s">
        <v>25</v>
      </c>
      <c r="H18" s="2">
        <f t="shared" si="0"/>
        <v>121465.3</v>
      </c>
      <c r="I18" s="2" t="s">
        <v>26</v>
      </c>
      <c r="J18" s="2">
        <f t="shared" si="3"/>
        <v>121465.3</v>
      </c>
      <c r="M18" t="s">
        <v>15</v>
      </c>
      <c r="N18">
        <v>2040</v>
      </c>
      <c r="O18" t="s">
        <v>6</v>
      </c>
      <c r="P18">
        <v>110423</v>
      </c>
      <c r="Q18" t="s">
        <v>25</v>
      </c>
      <c r="R18" s="2">
        <f t="shared" si="1"/>
        <v>121465.3</v>
      </c>
      <c r="S18" s="2" t="s">
        <v>26</v>
      </c>
      <c r="T18" s="2">
        <f t="shared" si="2"/>
        <v>121465.3</v>
      </c>
    </row>
    <row r="19" spans="3:20" x14ac:dyDescent="0.25">
      <c r="C19" t="s">
        <v>16</v>
      </c>
      <c r="D19" s="2">
        <v>2022</v>
      </c>
      <c r="E19" s="2" t="s">
        <v>6</v>
      </c>
      <c r="F19" s="2">
        <v>89320</v>
      </c>
      <c r="G19" s="2" t="s">
        <v>25</v>
      </c>
      <c r="H19" s="2">
        <f t="shared" si="0"/>
        <v>98252.000000000015</v>
      </c>
      <c r="I19" s="2" t="s">
        <v>26</v>
      </c>
      <c r="J19" s="2">
        <f t="shared" si="3"/>
        <v>98252.000000000015</v>
      </c>
      <c r="M19" t="s">
        <v>16</v>
      </c>
      <c r="N19">
        <v>2040</v>
      </c>
      <c r="O19" t="s">
        <v>6</v>
      </c>
      <c r="P19">
        <v>89320</v>
      </c>
      <c r="Q19" t="s">
        <v>25</v>
      </c>
      <c r="R19" s="2">
        <f t="shared" si="1"/>
        <v>98252.000000000015</v>
      </c>
      <c r="S19" s="2" t="s">
        <v>26</v>
      </c>
      <c r="T19" s="2">
        <f t="shared" si="2"/>
        <v>98252.000000000015</v>
      </c>
    </row>
    <row r="20" spans="3:20" x14ac:dyDescent="0.25">
      <c r="C20" t="s">
        <v>17</v>
      </c>
      <c r="D20" s="2">
        <v>2022</v>
      </c>
      <c r="E20" s="2" t="s">
        <v>6</v>
      </c>
      <c r="F20" s="2">
        <v>115000</v>
      </c>
      <c r="G20" s="2" t="s">
        <v>25</v>
      </c>
      <c r="H20" s="2">
        <f t="shared" si="0"/>
        <v>126500.00000000001</v>
      </c>
      <c r="I20" s="2" t="s">
        <v>26</v>
      </c>
      <c r="J20" s="2">
        <f t="shared" si="3"/>
        <v>126500.00000000001</v>
      </c>
      <c r="M20" t="s">
        <v>17</v>
      </c>
      <c r="N20">
        <v>2040</v>
      </c>
      <c r="O20" t="s">
        <v>6</v>
      </c>
      <c r="P20">
        <v>115000</v>
      </c>
      <c r="Q20" t="s">
        <v>25</v>
      </c>
      <c r="R20" s="2">
        <f t="shared" si="1"/>
        <v>126500.00000000001</v>
      </c>
      <c r="S20" s="2" t="s">
        <v>26</v>
      </c>
      <c r="T20" s="2">
        <f t="shared" si="2"/>
        <v>126500.00000000001</v>
      </c>
    </row>
    <row r="21" spans="3:20" x14ac:dyDescent="0.25">
      <c r="C21" t="s">
        <v>18</v>
      </c>
      <c r="D21" s="2">
        <v>2022</v>
      </c>
      <c r="E21" s="2" t="s">
        <v>6</v>
      </c>
      <c r="F21" s="2">
        <v>90438</v>
      </c>
      <c r="G21" s="2" t="s">
        <v>25</v>
      </c>
      <c r="H21" s="2">
        <f t="shared" si="0"/>
        <v>99481.8</v>
      </c>
      <c r="I21" s="2" t="s">
        <v>26</v>
      </c>
      <c r="J21" s="2">
        <f t="shared" si="3"/>
        <v>99481.8</v>
      </c>
      <c r="M21" t="s">
        <v>18</v>
      </c>
      <c r="N21">
        <v>2040</v>
      </c>
      <c r="O21" t="s">
        <v>6</v>
      </c>
      <c r="P21">
        <v>90438</v>
      </c>
      <c r="Q21" t="s">
        <v>25</v>
      </c>
      <c r="R21" s="2">
        <f t="shared" si="1"/>
        <v>99481.8</v>
      </c>
      <c r="S21" s="2" t="s">
        <v>26</v>
      </c>
      <c r="T21" s="2">
        <f t="shared" si="2"/>
        <v>99481.8</v>
      </c>
    </row>
    <row r="22" spans="3:20" x14ac:dyDescent="0.25">
      <c r="C22" t="s">
        <v>19</v>
      </c>
      <c r="D22" s="2">
        <v>2022</v>
      </c>
      <c r="E22" s="2" t="s">
        <v>6</v>
      </c>
      <c r="F22" s="2">
        <v>117233</v>
      </c>
      <c r="G22" s="2" t="s">
        <v>25</v>
      </c>
      <c r="H22" s="2">
        <f t="shared" si="0"/>
        <v>128956.30000000002</v>
      </c>
      <c r="I22" s="2" t="s">
        <v>26</v>
      </c>
      <c r="J22" s="2">
        <f t="shared" si="3"/>
        <v>128956.30000000002</v>
      </c>
      <c r="M22" t="s">
        <v>19</v>
      </c>
      <c r="N22">
        <v>2040</v>
      </c>
      <c r="O22" t="s">
        <v>6</v>
      </c>
      <c r="P22">
        <v>117233</v>
      </c>
      <c r="Q22" t="s">
        <v>25</v>
      </c>
      <c r="R22" s="2">
        <f t="shared" si="1"/>
        <v>128956.30000000002</v>
      </c>
      <c r="S22" s="2" t="s">
        <v>26</v>
      </c>
      <c r="T22" s="2">
        <f t="shared" si="2"/>
        <v>128956.30000000002</v>
      </c>
    </row>
    <row r="23" spans="3:20" x14ac:dyDescent="0.25">
      <c r="C23" t="s">
        <v>20</v>
      </c>
      <c r="D23" s="2">
        <v>2022</v>
      </c>
      <c r="E23" s="2" t="s">
        <v>6</v>
      </c>
      <c r="F23" s="2">
        <v>96018</v>
      </c>
      <c r="G23" s="2" t="s">
        <v>25</v>
      </c>
      <c r="H23" s="2">
        <f t="shared" si="0"/>
        <v>105619.8</v>
      </c>
      <c r="I23" s="2" t="s">
        <v>26</v>
      </c>
      <c r="J23" s="2">
        <f t="shared" si="3"/>
        <v>105619.8</v>
      </c>
      <c r="M23" t="s">
        <v>20</v>
      </c>
      <c r="N23">
        <v>2040</v>
      </c>
      <c r="O23" t="s">
        <v>6</v>
      </c>
      <c r="P23">
        <v>96018</v>
      </c>
      <c r="Q23" t="s">
        <v>25</v>
      </c>
      <c r="R23" s="2">
        <f t="shared" si="1"/>
        <v>105619.8</v>
      </c>
      <c r="S23" s="2" t="s">
        <v>26</v>
      </c>
      <c r="T23" s="2">
        <f t="shared" si="2"/>
        <v>105619.8</v>
      </c>
    </row>
    <row r="24" spans="3:20" x14ac:dyDescent="0.25">
      <c r="C24" t="s">
        <v>21</v>
      </c>
      <c r="D24" s="2">
        <v>2022</v>
      </c>
      <c r="E24" s="2" t="s">
        <v>6</v>
      </c>
      <c r="F24" s="2">
        <v>121700</v>
      </c>
      <c r="G24" s="2" t="s">
        <v>25</v>
      </c>
      <c r="H24" s="2">
        <f t="shared" si="0"/>
        <v>133870</v>
      </c>
      <c r="I24" s="2" t="s">
        <v>26</v>
      </c>
      <c r="J24" s="2">
        <f t="shared" si="3"/>
        <v>133870</v>
      </c>
      <c r="M24" t="s">
        <v>21</v>
      </c>
      <c r="N24">
        <v>2040</v>
      </c>
      <c r="O24" t="s">
        <v>6</v>
      </c>
      <c r="P24">
        <v>121700</v>
      </c>
      <c r="Q24" t="s">
        <v>25</v>
      </c>
      <c r="R24" s="2">
        <f t="shared" si="1"/>
        <v>133870</v>
      </c>
      <c r="S24" s="2" t="s">
        <v>26</v>
      </c>
      <c r="T24" s="2">
        <f t="shared" si="2"/>
        <v>133870</v>
      </c>
    </row>
    <row r="25" spans="3:20" x14ac:dyDescent="0.25">
      <c r="C25" t="s">
        <v>22</v>
      </c>
      <c r="D25" s="2">
        <v>2022</v>
      </c>
      <c r="E25" s="2" t="s">
        <v>6</v>
      </c>
      <c r="F25" s="2">
        <v>150728</v>
      </c>
      <c r="G25" s="2" t="s">
        <v>25</v>
      </c>
      <c r="H25" s="2">
        <f t="shared" si="0"/>
        <v>165800.80000000002</v>
      </c>
      <c r="I25" s="2" t="s">
        <v>26</v>
      </c>
      <c r="J25" s="2">
        <f t="shared" si="3"/>
        <v>165800.80000000002</v>
      </c>
      <c r="M25" t="s">
        <v>22</v>
      </c>
      <c r="N25">
        <v>2040</v>
      </c>
      <c r="O25" t="s">
        <v>6</v>
      </c>
      <c r="P25">
        <v>150728</v>
      </c>
      <c r="Q25" t="s">
        <v>25</v>
      </c>
      <c r="R25" s="2">
        <f t="shared" si="1"/>
        <v>165800.80000000002</v>
      </c>
      <c r="S25" s="2" t="s">
        <v>26</v>
      </c>
      <c r="T25" s="2">
        <f t="shared" si="2"/>
        <v>165800.80000000002</v>
      </c>
    </row>
    <row r="26" spans="3:20" x14ac:dyDescent="0.25">
      <c r="C26" t="s">
        <v>23</v>
      </c>
      <c r="D26" s="2">
        <v>2022</v>
      </c>
      <c r="E26" s="2" t="s">
        <v>6</v>
      </c>
      <c r="F26" s="2">
        <v>156312</v>
      </c>
      <c r="G26" s="2" t="s">
        <v>25</v>
      </c>
      <c r="H26" s="2">
        <f t="shared" si="0"/>
        <v>171943.2</v>
      </c>
      <c r="I26" s="2" t="s">
        <v>26</v>
      </c>
      <c r="J26" s="2">
        <f t="shared" si="3"/>
        <v>171943.2</v>
      </c>
      <c r="M26" t="s">
        <v>23</v>
      </c>
      <c r="N26">
        <v>2040</v>
      </c>
      <c r="O26" t="s">
        <v>6</v>
      </c>
      <c r="P26">
        <v>156312</v>
      </c>
      <c r="Q26" t="s">
        <v>25</v>
      </c>
      <c r="R26" s="2">
        <f t="shared" si="1"/>
        <v>171943.2</v>
      </c>
      <c r="S26" s="2" t="s">
        <v>26</v>
      </c>
      <c r="T26" s="2">
        <f t="shared" si="2"/>
        <v>171943.2</v>
      </c>
    </row>
    <row r="27" spans="3:20" x14ac:dyDescent="0.25">
      <c r="C27" t="s">
        <v>24</v>
      </c>
      <c r="D27" s="2">
        <v>2022</v>
      </c>
      <c r="E27" s="2" t="s">
        <v>6</v>
      </c>
      <c r="F27" s="2">
        <v>173057</v>
      </c>
      <c r="G27" s="2" t="s">
        <v>25</v>
      </c>
      <c r="H27" s="2">
        <f t="shared" si="0"/>
        <v>190362.7</v>
      </c>
      <c r="I27" s="2" t="s">
        <v>26</v>
      </c>
      <c r="J27" s="2">
        <f t="shared" si="3"/>
        <v>190362.7</v>
      </c>
      <c r="M27" t="s">
        <v>24</v>
      </c>
      <c r="N27">
        <v>2040</v>
      </c>
      <c r="O27" t="s">
        <v>6</v>
      </c>
      <c r="P27">
        <v>173057</v>
      </c>
      <c r="Q27" t="s">
        <v>25</v>
      </c>
      <c r="R27" s="2">
        <f t="shared" si="1"/>
        <v>190362.7</v>
      </c>
      <c r="S27" s="2" t="s">
        <v>26</v>
      </c>
      <c r="T27" s="2">
        <f t="shared" si="2"/>
        <v>190362.7</v>
      </c>
    </row>
    <row r="30" spans="3:20" x14ac:dyDescent="0.25">
      <c r="C30" s="42" t="s">
        <v>29</v>
      </c>
      <c r="D30" s="42"/>
    </row>
    <row r="32" spans="3:20" x14ac:dyDescent="0.25">
      <c r="C32" t="s">
        <v>1</v>
      </c>
      <c r="D32" t="s">
        <v>28</v>
      </c>
    </row>
    <row r="33" spans="3:4" x14ac:dyDescent="0.25">
      <c r="C33" t="s">
        <v>7</v>
      </c>
      <c r="D33">
        <v>12475</v>
      </c>
    </row>
    <row r="34" spans="3:4" x14ac:dyDescent="0.25">
      <c r="C34" t="s">
        <v>10</v>
      </c>
      <c r="D34">
        <v>12475</v>
      </c>
    </row>
    <row r="35" spans="3:4" x14ac:dyDescent="0.25">
      <c r="C35" t="s">
        <v>11</v>
      </c>
      <c r="D35">
        <v>18143</v>
      </c>
    </row>
    <row r="36" spans="3:4" x14ac:dyDescent="0.25">
      <c r="C36" t="s">
        <v>12</v>
      </c>
      <c r="D36">
        <v>19539</v>
      </c>
    </row>
    <row r="37" spans="3:4" x14ac:dyDescent="0.25">
      <c r="C37" t="s">
        <v>13</v>
      </c>
      <c r="D37">
        <v>19539</v>
      </c>
    </row>
    <row r="38" spans="3:4" x14ac:dyDescent="0.25">
      <c r="C38" t="s">
        <v>14</v>
      </c>
      <c r="D38">
        <v>20934</v>
      </c>
    </row>
    <row r="39" spans="3:4" x14ac:dyDescent="0.25">
      <c r="C39" t="s">
        <v>15</v>
      </c>
      <c r="D39">
        <v>27606</v>
      </c>
    </row>
    <row r="40" spans="3:4" x14ac:dyDescent="0.25">
      <c r="C40" t="s">
        <v>16</v>
      </c>
      <c r="D40">
        <v>22330</v>
      </c>
    </row>
    <row r="41" spans="3:4" x14ac:dyDescent="0.25">
      <c r="C41" t="s">
        <v>17</v>
      </c>
      <c r="D41">
        <v>28750</v>
      </c>
    </row>
    <row r="42" spans="3:4" x14ac:dyDescent="0.25">
      <c r="C42" t="s">
        <v>18</v>
      </c>
      <c r="D42">
        <v>22609</v>
      </c>
    </row>
    <row r="43" spans="3:4" x14ac:dyDescent="0.25">
      <c r="C43" t="s">
        <v>19</v>
      </c>
      <c r="D43">
        <v>29308</v>
      </c>
    </row>
    <row r="44" spans="3:4" x14ac:dyDescent="0.25">
      <c r="C44" t="s">
        <v>20</v>
      </c>
      <c r="D44">
        <v>24005</v>
      </c>
    </row>
    <row r="45" spans="3:4" x14ac:dyDescent="0.25">
      <c r="C45" t="s">
        <v>21</v>
      </c>
      <c r="D45">
        <v>30425</v>
      </c>
    </row>
    <row r="46" spans="3:4" x14ac:dyDescent="0.25">
      <c r="C46" t="s">
        <v>22</v>
      </c>
      <c r="D46">
        <v>37682</v>
      </c>
    </row>
    <row r="47" spans="3:4" x14ac:dyDescent="0.25">
      <c r="C47" t="s">
        <v>23</v>
      </c>
      <c r="D47">
        <v>39078</v>
      </c>
    </row>
    <row r="48" spans="3:4" x14ac:dyDescent="0.25">
      <c r="C48" t="s">
        <v>24</v>
      </c>
      <c r="D48">
        <v>43265</v>
      </c>
    </row>
    <row r="52" spans="3:16" x14ac:dyDescent="0.25">
      <c r="C52" s="2" t="s">
        <v>57</v>
      </c>
    </row>
    <row r="54" spans="3:16" x14ac:dyDescent="0.25">
      <c r="C54" s="3"/>
      <c r="D54" s="25" t="s">
        <v>3</v>
      </c>
      <c r="E54" s="25">
        <v>2020</v>
      </c>
      <c r="F54" s="25">
        <v>2030</v>
      </c>
      <c r="G54" s="25">
        <v>2040</v>
      </c>
      <c r="H54" s="25">
        <v>2050</v>
      </c>
    </row>
    <row r="55" spans="3:16" x14ac:dyDescent="0.25">
      <c r="C55" s="4" t="s">
        <v>32</v>
      </c>
      <c r="D55" t="s">
        <v>56</v>
      </c>
      <c r="E55">
        <v>221</v>
      </c>
      <c r="F55">
        <v>118</v>
      </c>
      <c r="G55">
        <v>95</v>
      </c>
      <c r="H55">
        <v>95</v>
      </c>
    </row>
    <row r="56" spans="3:16" x14ac:dyDescent="0.25">
      <c r="C56" s="4" t="s">
        <v>33</v>
      </c>
      <c r="D56" t="s">
        <v>56</v>
      </c>
      <c r="E56">
        <v>382</v>
      </c>
      <c r="F56">
        <v>232</v>
      </c>
      <c r="G56">
        <v>186</v>
      </c>
      <c r="H56">
        <v>186</v>
      </c>
    </row>
    <row r="57" spans="3:16" x14ac:dyDescent="0.25">
      <c r="C57" s="3" t="s">
        <v>34</v>
      </c>
      <c r="D57" t="s">
        <v>56</v>
      </c>
      <c r="E57">
        <v>793</v>
      </c>
      <c r="F57">
        <v>289</v>
      </c>
      <c r="G57">
        <v>232</v>
      </c>
      <c r="H57">
        <v>232</v>
      </c>
    </row>
    <row r="58" spans="3:16" x14ac:dyDescent="0.25">
      <c r="C58" s="4" t="s">
        <v>35</v>
      </c>
      <c r="D58" t="s">
        <v>56</v>
      </c>
      <c r="E58">
        <v>900</v>
      </c>
      <c r="F58">
        <v>525</v>
      </c>
      <c r="G58">
        <v>450</v>
      </c>
      <c r="H58">
        <v>450</v>
      </c>
      <c r="K58" s="25"/>
      <c r="L58" s="25"/>
      <c r="M58" s="25">
        <v>2020</v>
      </c>
      <c r="N58" s="25">
        <v>2030</v>
      </c>
      <c r="O58" s="25">
        <v>2040</v>
      </c>
      <c r="P58" s="25">
        <v>2050</v>
      </c>
    </row>
    <row r="59" spans="3:16" x14ac:dyDescent="0.25">
      <c r="C59" s="3" t="s">
        <v>36</v>
      </c>
      <c r="D59" t="s">
        <v>56</v>
      </c>
      <c r="E59">
        <v>58</v>
      </c>
      <c r="F59">
        <v>22</v>
      </c>
      <c r="G59">
        <v>17</v>
      </c>
      <c r="H59">
        <v>17</v>
      </c>
      <c r="K59" s="43" t="s">
        <v>59</v>
      </c>
      <c r="L59" s="25" t="s">
        <v>57</v>
      </c>
      <c r="M59">
        <f>E55</f>
        <v>221</v>
      </c>
      <c r="N59">
        <f t="shared" ref="N59:P59" si="4">F55</f>
        <v>118</v>
      </c>
      <c r="O59">
        <f t="shared" si="4"/>
        <v>95</v>
      </c>
      <c r="P59">
        <f t="shared" si="4"/>
        <v>95</v>
      </c>
    </row>
    <row r="60" spans="3:16" x14ac:dyDescent="0.25">
      <c r="C60" s="4" t="s">
        <v>37</v>
      </c>
      <c r="D60" t="s">
        <v>56</v>
      </c>
      <c r="E60">
        <v>25</v>
      </c>
      <c r="F60">
        <v>25</v>
      </c>
      <c r="G60">
        <v>25</v>
      </c>
      <c r="H60">
        <v>25</v>
      </c>
      <c r="K60" s="43"/>
      <c r="L60" s="25" t="s">
        <v>63</v>
      </c>
      <c r="M60">
        <f>E69</f>
        <v>300</v>
      </c>
      <c r="N60">
        <f t="shared" ref="N60:P60" si="5">F69</f>
        <v>174</v>
      </c>
      <c r="O60">
        <f t="shared" si="5"/>
        <v>126</v>
      </c>
      <c r="P60">
        <f t="shared" si="5"/>
        <v>99</v>
      </c>
    </row>
    <row r="61" spans="3:16" x14ac:dyDescent="0.25">
      <c r="K61" s="43" t="s">
        <v>60</v>
      </c>
      <c r="L61" s="25" t="s">
        <v>57</v>
      </c>
      <c r="M61">
        <f>E57</f>
        <v>793</v>
      </c>
      <c r="N61">
        <f t="shared" ref="N61:P61" si="6">F57</f>
        <v>289</v>
      </c>
      <c r="O61">
        <f t="shared" si="6"/>
        <v>232</v>
      </c>
      <c r="P61">
        <f t="shared" si="6"/>
        <v>232</v>
      </c>
    </row>
    <row r="62" spans="3:16" x14ac:dyDescent="0.25">
      <c r="K62" s="43"/>
      <c r="L62" s="25" t="s">
        <v>63</v>
      </c>
      <c r="M62">
        <f>E73</f>
        <v>392</v>
      </c>
      <c r="N62">
        <f t="shared" ref="N62:P62" si="7">F73</f>
        <v>204</v>
      </c>
      <c r="O62">
        <f t="shared" si="7"/>
        <v>138</v>
      </c>
      <c r="P62">
        <f t="shared" si="7"/>
        <v>104</v>
      </c>
    </row>
    <row r="63" spans="3:16" x14ac:dyDescent="0.25">
      <c r="K63" s="43" t="s">
        <v>61</v>
      </c>
      <c r="L63" s="25" t="s">
        <v>57</v>
      </c>
      <c r="M63">
        <f>E59+E60</f>
        <v>83</v>
      </c>
      <c r="N63">
        <f t="shared" ref="N63:P63" si="8">F59+F60</f>
        <v>47</v>
      </c>
      <c r="O63">
        <f t="shared" si="8"/>
        <v>42</v>
      </c>
      <c r="P63">
        <f t="shared" si="8"/>
        <v>42</v>
      </c>
    </row>
    <row r="64" spans="3:16" x14ac:dyDescent="0.25">
      <c r="C64" t="s">
        <v>58</v>
      </c>
      <c r="K64" s="43"/>
      <c r="L64" s="25" t="s">
        <v>63</v>
      </c>
      <c r="M64">
        <f>E74+E75</f>
        <v>90</v>
      </c>
      <c r="N64">
        <f t="shared" ref="N64:P64" si="9">F74+F75</f>
        <v>83</v>
      </c>
      <c r="O64">
        <f t="shared" si="9"/>
        <v>81</v>
      </c>
      <c r="P64">
        <f t="shared" si="9"/>
        <v>78</v>
      </c>
    </row>
    <row r="65" spans="3:16" x14ac:dyDescent="0.25">
      <c r="C65" s="4"/>
      <c r="D65" s="25" t="s">
        <v>3</v>
      </c>
      <c r="E65" s="25">
        <v>2020</v>
      </c>
      <c r="F65" s="25">
        <v>2030</v>
      </c>
      <c r="G65" s="25">
        <v>2040</v>
      </c>
      <c r="H65" s="25">
        <v>2050</v>
      </c>
      <c r="K65" s="43" t="s">
        <v>62</v>
      </c>
      <c r="L65" s="25" t="s">
        <v>57</v>
      </c>
      <c r="M65">
        <f>E58</f>
        <v>900</v>
      </c>
      <c r="N65">
        <f t="shared" ref="N65:P65" si="10">F58</f>
        <v>525</v>
      </c>
      <c r="O65">
        <f t="shared" si="10"/>
        <v>450</v>
      </c>
      <c r="P65">
        <f t="shared" si="10"/>
        <v>450</v>
      </c>
    </row>
    <row r="66" spans="3:16" x14ac:dyDescent="0.25">
      <c r="C66" s="4" t="s">
        <v>32</v>
      </c>
      <c r="D66" s="24" t="s">
        <v>53</v>
      </c>
      <c r="E66" s="26">
        <v>275</v>
      </c>
      <c r="F66" s="26">
        <v>141</v>
      </c>
      <c r="G66" s="26">
        <v>94</v>
      </c>
      <c r="H66" s="26">
        <v>70</v>
      </c>
      <c r="K66" s="43"/>
      <c r="L66" s="25" t="s">
        <v>63</v>
      </c>
      <c r="M66" s="27">
        <f>E76*33.33</f>
        <v>26637.335999999996</v>
      </c>
      <c r="N66" s="27">
        <f>F76*33.33</f>
        <v>17758.223999999998</v>
      </c>
      <c r="O66" s="27">
        <f>G76*33.33</f>
        <v>14428.556999999999</v>
      </c>
      <c r="P66" s="27">
        <f>H76*33.33</f>
        <v>12208.778999999999</v>
      </c>
    </row>
    <row r="67" spans="3:16" x14ac:dyDescent="0.25">
      <c r="C67" s="4" t="s">
        <v>32</v>
      </c>
      <c r="D67" s="24" t="s">
        <v>54</v>
      </c>
      <c r="E67" s="26">
        <v>310</v>
      </c>
      <c r="F67" s="26">
        <v>178</v>
      </c>
      <c r="G67" s="26">
        <v>127</v>
      </c>
      <c r="H67" s="26">
        <v>100</v>
      </c>
    </row>
    <row r="68" spans="3:16" x14ac:dyDescent="0.25">
      <c r="C68" s="4" t="s">
        <v>32</v>
      </c>
      <c r="D68" s="24" t="s">
        <v>55</v>
      </c>
      <c r="E68" s="26">
        <v>316</v>
      </c>
      <c r="F68" s="26">
        <v>193</v>
      </c>
      <c r="G68" s="26">
        <v>143</v>
      </c>
      <c r="H68" s="26">
        <v>116</v>
      </c>
    </row>
    <row r="69" spans="3:16" x14ac:dyDescent="0.25">
      <c r="C69" s="4" t="s">
        <v>32</v>
      </c>
      <c r="D69" s="24" t="s">
        <v>56</v>
      </c>
      <c r="E69" s="26">
        <v>300</v>
      </c>
      <c r="F69" s="26">
        <v>174</v>
      </c>
      <c r="G69" s="26">
        <v>126</v>
      </c>
      <c r="H69" s="26">
        <v>99</v>
      </c>
    </row>
    <row r="70" spans="3:16" x14ac:dyDescent="0.25">
      <c r="C70" s="3" t="s">
        <v>34</v>
      </c>
      <c r="D70" s="24" t="s">
        <v>53</v>
      </c>
      <c r="E70" s="26">
        <v>538</v>
      </c>
      <c r="F70" s="26">
        <v>216</v>
      </c>
      <c r="G70" s="26">
        <v>125</v>
      </c>
      <c r="H70" s="26">
        <v>84</v>
      </c>
    </row>
    <row r="71" spans="3:16" x14ac:dyDescent="0.25">
      <c r="C71" s="3" t="s">
        <v>34</v>
      </c>
      <c r="D71" s="24" t="s">
        <v>54</v>
      </c>
      <c r="E71" s="26">
        <v>219</v>
      </c>
      <c r="F71" s="26">
        <v>132</v>
      </c>
      <c r="G71" s="26">
        <v>97</v>
      </c>
      <c r="H71" s="26">
        <v>78</v>
      </c>
    </row>
    <row r="72" spans="3:16" x14ac:dyDescent="0.25">
      <c r="C72" s="3" t="s">
        <v>34</v>
      </c>
      <c r="D72" s="24" t="s">
        <v>55</v>
      </c>
      <c r="E72" s="26">
        <v>415</v>
      </c>
      <c r="F72" s="26">
        <v>219</v>
      </c>
      <c r="G72" s="26">
        <v>149</v>
      </c>
      <c r="H72" s="26">
        <v>113</v>
      </c>
    </row>
    <row r="73" spans="3:16" x14ac:dyDescent="0.25">
      <c r="C73" s="3" t="s">
        <v>34</v>
      </c>
      <c r="D73" s="24" t="s">
        <v>56</v>
      </c>
      <c r="E73" s="26">
        <v>392</v>
      </c>
      <c r="F73" s="26">
        <v>204</v>
      </c>
      <c r="G73" s="26">
        <v>138</v>
      </c>
      <c r="H73" s="26">
        <v>104</v>
      </c>
    </row>
    <row r="74" spans="3:16" x14ac:dyDescent="0.25">
      <c r="C74" t="s">
        <v>36</v>
      </c>
      <c r="D74" s="24" t="s">
        <v>56</v>
      </c>
      <c r="E74" s="26">
        <v>42</v>
      </c>
      <c r="F74" s="26">
        <v>35</v>
      </c>
      <c r="G74" s="26">
        <v>32</v>
      </c>
      <c r="H74" s="26">
        <v>29</v>
      </c>
    </row>
    <row r="75" spans="3:16" x14ac:dyDescent="0.25">
      <c r="C75" s="4" t="s">
        <v>37</v>
      </c>
      <c r="D75" s="24" t="s">
        <v>56</v>
      </c>
      <c r="E75" s="26">
        <v>48</v>
      </c>
      <c r="F75" s="26">
        <v>48</v>
      </c>
      <c r="G75" s="26">
        <v>49</v>
      </c>
      <c r="H75" s="26">
        <v>49</v>
      </c>
    </row>
    <row r="76" spans="3:16" x14ac:dyDescent="0.25">
      <c r="C76" t="s">
        <v>35</v>
      </c>
      <c r="D76" s="24" t="s">
        <v>56</v>
      </c>
      <c r="E76" s="26">
        <f>E82*33.3</f>
        <v>799.19999999999993</v>
      </c>
      <c r="F76" s="26">
        <f t="shared" ref="F76:H76" si="11">F82*33.3</f>
        <v>532.79999999999995</v>
      </c>
      <c r="G76" s="26">
        <f t="shared" si="11"/>
        <v>432.9</v>
      </c>
      <c r="H76" s="26">
        <f t="shared" si="11"/>
        <v>366.29999999999995</v>
      </c>
    </row>
    <row r="77" spans="3:16" x14ac:dyDescent="0.25">
      <c r="C77" s="4" t="s">
        <v>33</v>
      </c>
      <c r="D77" s="24" t="s">
        <v>53</v>
      </c>
      <c r="E77" s="26">
        <f>E66*1.8</f>
        <v>495</v>
      </c>
      <c r="F77" s="26">
        <f t="shared" ref="F77:H77" si="12">F66*1.8</f>
        <v>253.8</v>
      </c>
      <c r="G77" s="26">
        <f t="shared" si="12"/>
        <v>169.20000000000002</v>
      </c>
      <c r="H77" s="26">
        <f t="shared" si="12"/>
        <v>126</v>
      </c>
    </row>
    <row r="78" spans="3:16" x14ac:dyDescent="0.25">
      <c r="C78" s="4" t="s">
        <v>33</v>
      </c>
      <c r="D78" s="24" t="s">
        <v>54</v>
      </c>
      <c r="E78" s="26">
        <f t="shared" ref="E78:H78" si="13">E67*1.8</f>
        <v>558</v>
      </c>
      <c r="F78" s="26">
        <f t="shared" si="13"/>
        <v>320.40000000000003</v>
      </c>
      <c r="G78" s="26">
        <f t="shared" si="13"/>
        <v>228.6</v>
      </c>
      <c r="H78" s="26">
        <f t="shared" si="13"/>
        <v>180</v>
      </c>
    </row>
    <row r="79" spans="3:16" x14ac:dyDescent="0.25">
      <c r="C79" s="4" t="s">
        <v>33</v>
      </c>
      <c r="D79" s="24" t="s">
        <v>55</v>
      </c>
      <c r="E79" s="26">
        <f t="shared" ref="E79:H79" si="14">E68*1.8</f>
        <v>568.80000000000007</v>
      </c>
      <c r="F79" s="26">
        <f t="shared" si="14"/>
        <v>347.40000000000003</v>
      </c>
      <c r="G79" s="26">
        <f t="shared" si="14"/>
        <v>257.40000000000003</v>
      </c>
      <c r="H79" s="26">
        <f t="shared" si="14"/>
        <v>208.8</v>
      </c>
    </row>
    <row r="80" spans="3:16" x14ac:dyDescent="0.25">
      <c r="C80" s="4" t="s">
        <v>33</v>
      </c>
      <c r="D80" s="24" t="s">
        <v>56</v>
      </c>
      <c r="E80" s="26">
        <f t="shared" ref="E80:H80" si="15">E69*1.8</f>
        <v>540</v>
      </c>
      <c r="F80" s="26">
        <f t="shared" si="15"/>
        <v>313.2</v>
      </c>
      <c r="G80" s="26">
        <f t="shared" si="15"/>
        <v>226.8</v>
      </c>
      <c r="H80" s="26">
        <f t="shared" si="15"/>
        <v>178.20000000000002</v>
      </c>
    </row>
    <row r="81" spans="3:30" x14ac:dyDescent="0.25">
      <c r="D81" s="24"/>
      <c r="E81" s="26"/>
      <c r="F81" s="26"/>
      <c r="G81" s="26"/>
      <c r="H81" s="26"/>
    </row>
    <row r="82" spans="3:30" x14ac:dyDescent="0.25">
      <c r="D82" s="24"/>
      <c r="E82" s="26">
        <v>24</v>
      </c>
      <c r="F82" s="26">
        <v>16</v>
      </c>
      <c r="G82" s="26">
        <v>13</v>
      </c>
      <c r="H82" s="26">
        <v>11</v>
      </c>
    </row>
    <row r="85" spans="3:30" x14ac:dyDescent="0.25">
      <c r="J85" t="s">
        <v>50</v>
      </c>
      <c r="L85" s="27">
        <v>1.2</v>
      </c>
    </row>
    <row r="87" spans="3:30" ht="15.75" thickBot="1" x14ac:dyDescent="0.3">
      <c r="G87">
        <v>2022</v>
      </c>
      <c r="H87">
        <v>2030</v>
      </c>
      <c r="I87">
        <v>2040</v>
      </c>
      <c r="N87">
        <v>2022</v>
      </c>
      <c r="O87">
        <v>2030</v>
      </c>
      <c r="P87">
        <v>2040</v>
      </c>
      <c r="U87">
        <v>2022</v>
      </c>
      <c r="V87">
        <v>2030</v>
      </c>
      <c r="W87">
        <v>2040</v>
      </c>
      <c r="AB87">
        <v>2022</v>
      </c>
      <c r="AC87">
        <v>2030</v>
      </c>
      <c r="AD87">
        <v>2040</v>
      </c>
    </row>
    <row r="88" spans="3:30" ht="15.75" thickBot="1" x14ac:dyDescent="0.3">
      <c r="C88" s="21" t="s">
        <v>42</v>
      </c>
      <c r="D88" s="5">
        <v>0</v>
      </c>
      <c r="E88" s="5"/>
      <c r="F88" s="6" t="s">
        <v>43</v>
      </c>
      <c r="G88" s="7">
        <v>21.17</v>
      </c>
      <c r="H88" s="8">
        <v>21.17</v>
      </c>
      <c r="I88" s="9">
        <v>21.17</v>
      </c>
      <c r="J88" s="21" t="s">
        <v>44</v>
      </c>
      <c r="K88" s="5">
        <v>0</v>
      </c>
      <c r="L88" s="5"/>
      <c r="M88" s="6" t="s">
        <v>45</v>
      </c>
      <c r="N88" s="41">
        <f>G88/$L$85</f>
        <v>17.641666666666669</v>
      </c>
      <c r="O88" s="41">
        <f t="shared" ref="O88:P102" si="16">H88/$L$85</f>
        <v>17.641666666666669</v>
      </c>
      <c r="P88" s="41">
        <f t="shared" si="16"/>
        <v>17.641666666666669</v>
      </c>
      <c r="Q88" s="21" t="s">
        <v>46</v>
      </c>
      <c r="R88" s="5">
        <v>0</v>
      </c>
      <c r="S88" s="5"/>
      <c r="T88" s="6" t="s">
        <v>47</v>
      </c>
      <c r="U88" s="12">
        <v>0.57999999999999996</v>
      </c>
      <c r="V88" s="13">
        <v>0.48</v>
      </c>
      <c r="W88" s="14">
        <v>0.48</v>
      </c>
      <c r="X88" s="21" t="s">
        <v>48</v>
      </c>
      <c r="Y88" s="5">
        <v>0</v>
      </c>
      <c r="Z88" s="5"/>
      <c r="AA88" s="6" t="s">
        <v>49</v>
      </c>
      <c r="AB88" s="12">
        <v>3.33</v>
      </c>
      <c r="AC88" s="13">
        <v>2.48</v>
      </c>
      <c r="AD88" s="14">
        <v>2.27</v>
      </c>
    </row>
    <row r="89" spans="3:30" ht="15.75" thickBot="1" x14ac:dyDescent="0.3">
      <c r="C89" s="17"/>
      <c r="D89" s="10">
        <v>1</v>
      </c>
      <c r="E89" s="11"/>
      <c r="F89" s="6" t="s">
        <v>43</v>
      </c>
      <c r="G89" s="12">
        <v>21.93</v>
      </c>
      <c r="H89" s="13">
        <v>21.93</v>
      </c>
      <c r="I89" s="14">
        <v>21.93</v>
      </c>
      <c r="J89" s="17"/>
      <c r="K89" s="10">
        <v>1</v>
      </c>
      <c r="L89" s="11"/>
      <c r="M89" s="6" t="s">
        <v>45</v>
      </c>
      <c r="N89" s="41">
        <f t="shared" ref="N89:N102" si="17">G89/$L$85</f>
        <v>18.275000000000002</v>
      </c>
      <c r="O89" s="41">
        <f t="shared" si="16"/>
        <v>18.275000000000002</v>
      </c>
      <c r="P89" s="41">
        <f t="shared" si="16"/>
        <v>18.275000000000002</v>
      </c>
      <c r="Q89" s="17"/>
      <c r="R89" s="10">
        <v>1</v>
      </c>
      <c r="S89" s="11"/>
      <c r="T89" s="6" t="s">
        <v>47</v>
      </c>
      <c r="U89" s="12">
        <v>0.6</v>
      </c>
      <c r="V89" s="13">
        <v>0.5</v>
      </c>
      <c r="W89" s="14">
        <v>0.5</v>
      </c>
      <c r="X89" s="17"/>
      <c r="Y89" s="10">
        <v>1</v>
      </c>
      <c r="Z89" s="11"/>
      <c r="AA89" s="6" t="s">
        <v>49</v>
      </c>
      <c r="AB89" s="12">
        <v>3.45</v>
      </c>
      <c r="AC89" s="13">
        <v>2.57</v>
      </c>
      <c r="AD89" s="14">
        <v>2.35</v>
      </c>
    </row>
    <row r="90" spans="3:30" ht="15.75" thickBot="1" x14ac:dyDescent="0.3">
      <c r="C90" s="17"/>
      <c r="D90" s="10">
        <v>2</v>
      </c>
      <c r="E90" s="11"/>
      <c r="F90" s="6" t="s">
        <v>43</v>
      </c>
      <c r="G90" s="12">
        <v>22.69</v>
      </c>
      <c r="H90" s="13">
        <v>22.69</v>
      </c>
      <c r="I90" s="14">
        <v>22.69</v>
      </c>
      <c r="J90" s="17"/>
      <c r="K90" s="10">
        <v>2</v>
      </c>
      <c r="L90" s="11"/>
      <c r="M90" s="6" t="s">
        <v>45</v>
      </c>
      <c r="N90" s="41">
        <f t="shared" si="17"/>
        <v>18.908333333333335</v>
      </c>
      <c r="O90" s="41">
        <f t="shared" si="16"/>
        <v>18.908333333333335</v>
      </c>
      <c r="P90" s="41">
        <f t="shared" si="16"/>
        <v>18.908333333333335</v>
      </c>
      <c r="Q90" s="17"/>
      <c r="R90" s="10">
        <v>2</v>
      </c>
      <c r="S90" s="11"/>
      <c r="T90" s="6" t="s">
        <v>47</v>
      </c>
      <c r="U90" s="12">
        <v>0.62</v>
      </c>
      <c r="V90" s="13">
        <v>0.51</v>
      </c>
      <c r="W90" s="14">
        <v>0.51</v>
      </c>
      <c r="X90" s="17"/>
      <c r="Y90" s="10">
        <v>2</v>
      </c>
      <c r="Z90" s="11"/>
      <c r="AA90" s="6" t="s">
        <v>49</v>
      </c>
      <c r="AB90" s="12">
        <v>3.56</v>
      </c>
      <c r="AC90" s="13">
        <v>2.64</v>
      </c>
      <c r="AD90" s="14">
        <v>2.42</v>
      </c>
    </row>
    <row r="91" spans="3:30" ht="15.75" thickBot="1" x14ac:dyDescent="0.3">
      <c r="C91" s="17"/>
      <c r="D91" s="10">
        <v>3</v>
      </c>
      <c r="E91" s="11"/>
      <c r="F91" s="6" t="s">
        <v>43</v>
      </c>
      <c r="G91" s="12">
        <v>24.43</v>
      </c>
      <c r="H91" s="13">
        <v>24.43</v>
      </c>
      <c r="I91" s="14">
        <v>24.43</v>
      </c>
      <c r="J91" s="17"/>
      <c r="K91" s="10">
        <v>3</v>
      </c>
      <c r="L91" s="11"/>
      <c r="M91" s="6" t="s">
        <v>45</v>
      </c>
      <c r="N91" s="41">
        <f t="shared" si="17"/>
        <v>20.358333333333334</v>
      </c>
      <c r="O91" s="41">
        <f t="shared" si="16"/>
        <v>20.358333333333334</v>
      </c>
      <c r="P91" s="41">
        <f t="shared" si="16"/>
        <v>20.358333333333334</v>
      </c>
      <c r="Q91" s="17"/>
      <c r="R91" s="10">
        <v>3</v>
      </c>
      <c r="S91" s="11"/>
      <c r="T91" s="6" t="s">
        <v>47</v>
      </c>
      <c r="U91" s="12">
        <v>0.8</v>
      </c>
      <c r="V91" s="13">
        <v>0.65</v>
      </c>
      <c r="W91" s="14">
        <v>0.65</v>
      </c>
      <c r="X91" s="17"/>
      <c r="Y91" s="10">
        <v>3</v>
      </c>
      <c r="Z91" s="11"/>
      <c r="AA91" s="6" t="s">
        <v>49</v>
      </c>
      <c r="AB91" s="12">
        <v>4.59</v>
      </c>
      <c r="AC91" s="13">
        <v>3.37</v>
      </c>
      <c r="AD91" s="14">
        <v>3.09</v>
      </c>
    </row>
    <row r="92" spans="3:30" ht="15.75" thickBot="1" x14ac:dyDescent="0.3">
      <c r="C92" s="17"/>
      <c r="D92" s="10" t="s">
        <v>13</v>
      </c>
      <c r="E92" s="11"/>
      <c r="F92" s="6" t="s">
        <v>43</v>
      </c>
      <c r="G92" s="12">
        <v>24.63</v>
      </c>
      <c r="H92" s="13">
        <v>24.63</v>
      </c>
      <c r="I92" s="14">
        <v>24.63</v>
      </c>
      <c r="J92" s="17"/>
      <c r="K92" s="10" t="s">
        <v>13</v>
      </c>
      <c r="L92" s="11"/>
      <c r="M92" s="6" t="s">
        <v>45</v>
      </c>
      <c r="N92" s="41">
        <f t="shared" si="17"/>
        <v>20.524999999999999</v>
      </c>
      <c r="O92" s="41">
        <f t="shared" si="16"/>
        <v>20.524999999999999</v>
      </c>
      <c r="P92" s="41">
        <f t="shared" si="16"/>
        <v>20.524999999999999</v>
      </c>
      <c r="Q92" s="17"/>
      <c r="R92" s="10" t="s">
        <v>13</v>
      </c>
      <c r="S92" s="11"/>
      <c r="T92" s="6" t="s">
        <v>47</v>
      </c>
      <c r="U92" s="12">
        <v>0.88</v>
      </c>
      <c r="V92" s="13">
        <v>0.66</v>
      </c>
      <c r="W92" s="14">
        <v>0.66</v>
      </c>
      <c r="X92" s="17"/>
      <c r="Y92" s="10" t="s">
        <v>13</v>
      </c>
      <c r="Z92" s="11"/>
      <c r="AA92" s="6" t="s">
        <v>49</v>
      </c>
      <c r="AB92" s="12">
        <v>5.01</v>
      </c>
      <c r="AC92" s="13">
        <v>3.45</v>
      </c>
      <c r="AD92" s="14">
        <v>3.16</v>
      </c>
    </row>
    <row r="93" spans="3:30" ht="15.75" thickBot="1" x14ac:dyDescent="0.3">
      <c r="C93" s="17"/>
      <c r="D93" s="10" t="s">
        <v>14</v>
      </c>
      <c r="E93" s="11"/>
      <c r="F93" s="6" t="s">
        <v>43</v>
      </c>
      <c r="G93" s="12">
        <v>25.15</v>
      </c>
      <c r="H93" s="13">
        <v>25.15</v>
      </c>
      <c r="I93" s="14">
        <v>25.15</v>
      </c>
      <c r="J93" s="17"/>
      <c r="K93" s="10" t="s">
        <v>14</v>
      </c>
      <c r="L93" s="11"/>
      <c r="M93" s="6" t="s">
        <v>45</v>
      </c>
      <c r="N93" s="41">
        <f t="shared" si="17"/>
        <v>20.958333333333332</v>
      </c>
      <c r="O93" s="41">
        <f t="shared" si="16"/>
        <v>20.958333333333332</v>
      </c>
      <c r="P93" s="41">
        <f t="shared" si="16"/>
        <v>20.958333333333332</v>
      </c>
      <c r="Q93" s="17"/>
      <c r="R93" s="10" t="s">
        <v>14</v>
      </c>
      <c r="S93" s="11"/>
      <c r="T93" s="6" t="s">
        <v>47</v>
      </c>
      <c r="U93" s="12">
        <v>0.95</v>
      </c>
      <c r="V93" s="13">
        <v>0.72</v>
      </c>
      <c r="W93" s="14">
        <v>0.72</v>
      </c>
      <c r="X93" s="17"/>
      <c r="Y93" s="10" t="s">
        <v>14</v>
      </c>
      <c r="Z93" s="11"/>
      <c r="AA93" s="6" t="s">
        <v>49</v>
      </c>
      <c r="AB93" s="12">
        <v>5.4</v>
      </c>
      <c r="AC93" s="13">
        <v>3.72</v>
      </c>
      <c r="AD93" s="14">
        <v>3.41</v>
      </c>
    </row>
    <row r="94" spans="3:30" ht="15.75" thickBot="1" x14ac:dyDescent="0.3">
      <c r="C94" s="17"/>
      <c r="D94" s="10" t="s">
        <v>15</v>
      </c>
      <c r="E94" s="11"/>
      <c r="F94" s="6" t="s">
        <v>43</v>
      </c>
      <c r="G94" s="12">
        <v>24.58</v>
      </c>
      <c r="H94" s="13">
        <v>24.58</v>
      </c>
      <c r="I94" s="14">
        <v>24.58</v>
      </c>
      <c r="J94" s="17"/>
      <c r="K94" s="10" t="s">
        <v>15</v>
      </c>
      <c r="L94" s="11"/>
      <c r="M94" s="6" t="s">
        <v>45</v>
      </c>
      <c r="N94" s="41">
        <f t="shared" si="17"/>
        <v>20.483333333333334</v>
      </c>
      <c r="O94" s="41">
        <f t="shared" si="16"/>
        <v>20.483333333333334</v>
      </c>
      <c r="P94" s="41">
        <f t="shared" si="16"/>
        <v>20.483333333333334</v>
      </c>
      <c r="Q94" s="17"/>
      <c r="R94" s="10" t="s">
        <v>15</v>
      </c>
      <c r="S94" s="11"/>
      <c r="T94" s="6" t="s">
        <v>47</v>
      </c>
      <c r="U94" s="12">
        <v>1.06</v>
      </c>
      <c r="V94" s="13">
        <v>0.81</v>
      </c>
      <c r="W94" s="14">
        <v>0.81</v>
      </c>
      <c r="X94" s="17"/>
      <c r="Y94" s="10" t="s">
        <v>15</v>
      </c>
      <c r="Z94" s="11"/>
      <c r="AA94" s="6" t="s">
        <v>49</v>
      </c>
      <c r="AB94" s="12">
        <v>6.73</v>
      </c>
      <c r="AC94" s="13">
        <v>4.8899999999999997</v>
      </c>
      <c r="AD94" s="14">
        <v>4.59</v>
      </c>
    </row>
    <row r="95" spans="3:30" ht="15.75" thickBot="1" x14ac:dyDescent="0.3">
      <c r="C95" s="17"/>
      <c r="D95" s="10" t="s">
        <v>16</v>
      </c>
      <c r="E95" s="11"/>
      <c r="F95" s="6" t="s">
        <v>43</v>
      </c>
      <c r="G95" s="12">
        <v>29.83</v>
      </c>
      <c r="H95" s="13">
        <v>29.83</v>
      </c>
      <c r="I95" s="14">
        <v>29.83</v>
      </c>
      <c r="J95" s="17"/>
      <c r="K95" s="10" t="s">
        <v>16</v>
      </c>
      <c r="L95" s="11"/>
      <c r="M95" s="6" t="s">
        <v>45</v>
      </c>
      <c r="N95" s="41">
        <f t="shared" si="17"/>
        <v>24.858333333333334</v>
      </c>
      <c r="O95" s="41">
        <f t="shared" si="16"/>
        <v>24.858333333333334</v>
      </c>
      <c r="P95" s="41">
        <f t="shared" si="16"/>
        <v>24.858333333333334</v>
      </c>
      <c r="Q95" s="17"/>
      <c r="R95" s="10" t="s">
        <v>16</v>
      </c>
      <c r="S95" s="11"/>
      <c r="T95" s="6" t="s">
        <v>47</v>
      </c>
      <c r="U95" s="12">
        <v>1.18</v>
      </c>
      <c r="V95" s="13">
        <v>0.87</v>
      </c>
      <c r="W95" s="14">
        <v>0.87</v>
      </c>
      <c r="X95" s="17"/>
      <c r="Y95" s="10" t="s">
        <v>16</v>
      </c>
      <c r="Z95" s="11"/>
      <c r="AA95" s="6" t="s">
        <v>49</v>
      </c>
      <c r="AB95" s="12">
        <v>6.73</v>
      </c>
      <c r="AC95" s="13">
        <v>4.51</v>
      </c>
      <c r="AD95" s="14">
        <v>4.1399999999999997</v>
      </c>
    </row>
    <row r="96" spans="3:30" ht="15.75" thickBot="1" x14ac:dyDescent="0.3">
      <c r="C96" s="17"/>
      <c r="D96" s="10" t="s">
        <v>17</v>
      </c>
      <c r="E96" s="11"/>
      <c r="F96" s="6" t="s">
        <v>43</v>
      </c>
      <c r="G96" s="12">
        <v>34.6</v>
      </c>
      <c r="H96" s="13">
        <v>34.6</v>
      </c>
      <c r="I96" s="14">
        <v>34.6</v>
      </c>
      <c r="J96" s="17"/>
      <c r="K96" s="10" t="s">
        <v>17</v>
      </c>
      <c r="L96" s="11"/>
      <c r="M96" s="6" t="s">
        <v>45</v>
      </c>
      <c r="N96" s="41">
        <f t="shared" si="17"/>
        <v>28.833333333333336</v>
      </c>
      <c r="O96" s="41">
        <f t="shared" si="16"/>
        <v>28.833333333333336</v>
      </c>
      <c r="P96" s="41">
        <f t="shared" si="16"/>
        <v>28.833333333333336</v>
      </c>
      <c r="Q96" s="17"/>
      <c r="R96" s="10" t="s">
        <v>17</v>
      </c>
      <c r="S96" s="11"/>
      <c r="T96" s="6" t="s">
        <v>47</v>
      </c>
      <c r="U96" s="12">
        <v>1.24</v>
      </c>
      <c r="V96" s="13">
        <v>0.91</v>
      </c>
      <c r="W96" s="14">
        <v>0.91</v>
      </c>
      <c r="X96" s="17"/>
      <c r="Y96" s="10" t="s">
        <v>17</v>
      </c>
      <c r="Z96" s="11"/>
      <c r="AA96" s="6" t="s">
        <v>49</v>
      </c>
      <c r="AB96" s="12">
        <v>7.87</v>
      </c>
      <c r="AC96" s="13">
        <v>5.54</v>
      </c>
      <c r="AD96" s="14">
        <v>5.21</v>
      </c>
    </row>
    <row r="97" spans="2:30" ht="15.75" thickBot="1" x14ac:dyDescent="0.3">
      <c r="C97" s="17"/>
      <c r="D97" s="10" t="s">
        <v>18</v>
      </c>
      <c r="E97" s="11"/>
      <c r="F97" s="6" t="s">
        <v>43</v>
      </c>
      <c r="G97" s="12">
        <v>26.26</v>
      </c>
      <c r="H97" s="13">
        <v>26.26</v>
      </c>
      <c r="I97" s="14">
        <v>26.26</v>
      </c>
      <c r="J97" s="17"/>
      <c r="K97" s="10" t="s">
        <v>18</v>
      </c>
      <c r="L97" s="11"/>
      <c r="M97" s="6" t="s">
        <v>45</v>
      </c>
      <c r="N97" s="41">
        <f t="shared" si="17"/>
        <v>21.883333333333336</v>
      </c>
      <c r="O97" s="41">
        <f t="shared" si="16"/>
        <v>21.883333333333336</v>
      </c>
      <c r="P97" s="41">
        <f t="shared" si="16"/>
        <v>21.883333333333336</v>
      </c>
      <c r="Q97" s="17"/>
      <c r="R97" s="10" t="s">
        <v>18</v>
      </c>
      <c r="S97" s="11"/>
      <c r="T97" s="6" t="s">
        <v>47</v>
      </c>
      <c r="U97" s="12">
        <v>0.96</v>
      </c>
      <c r="V97" s="13">
        <v>0.73</v>
      </c>
      <c r="W97" s="14">
        <v>0.73</v>
      </c>
      <c r="X97" s="17"/>
      <c r="Y97" s="10" t="s">
        <v>18</v>
      </c>
      <c r="Z97" s="11"/>
      <c r="AA97" s="6" t="s">
        <v>49</v>
      </c>
      <c r="AB97" s="12">
        <v>5.46</v>
      </c>
      <c r="AC97" s="13">
        <v>3.81</v>
      </c>
      <c r="AD97" s="14">
        <v>3.49</v>
      </c>
    </row>
    <row r="98" spans="2:30" ht="15.75" thickBot="1" x14ac:dyDescent="0.3">
      <c r="C98" s="17"/>
      <c r="D98" s="10" t="s">
        <v>19</v>
      </c>
      <c r="E98" s="11"/>
      <c r="F98" s="6" t="s">
        <v>43</v>
      </c>
      <c r="G98" s="12">
        <v>26.26</v>
      </c>
      <c r="H98" s="13">
        <v>26.26</v>
      </c>
      <c r="I98" s="14">
        <v>26.26</v>
      </c>
      <c r="J98" s="17"/>
      <c r="K98" s="10" t="s">
        <v>19</v>
      </c>
      <c r="L98" s="11"/>
      <c r="M98" s="6" t="s">
        <v>45</v>
      </c>
      <c r="N98" s="41">
        <f t="shared" si="17"/>
        <v>21.883333333333336</v>
      </c>
      <c r="O98" s="41">
        <f t="shared" si="16"/>
        <v>21.883333333333336</v>
      </c>
      <c r="P98" s="41">
        <f t="shared" si="16"/>
        <v>21.883333333333336</v>
      </c>
      <c r="Q98" s="17"/>
      <c r="R98" s="10" t="s">
        <v>19</v>
      </c>
      <c r="S98" s="11"/>
      <c r="T98" s="6" t="s">
        <v>47</v>
      </c>
      <c r="U98" s="12">
        <v>1.06</v>
      </c>
      <c r="V98" s="13">
        <v>0.8</v>
      </c>
      <c r="W98" s="14">
        <v>0.8</v>
      </c>
      <c r="X98" s="17"/>
      <c r="Y98" s="10" t="s">
        <v>19</v>
      </c>
      <c r="Z98" s="11"/>
      <c r="AA98" s="6" t="s">
        <v>49</v>
      </c>
      <c r="AB98" s="12">
        <v>6.69</v>
      </c>
      <c r="AC98" s="13">
        <v>4.8899999999999997</v>
      </c>
      <c r="AD98" s="14">
        <v>4.59</v>
      </c>
    </row>
    <row r="99" spans="2:30" ht="15.75" thickBot="1" x14ac:dyDescent="0.3">
      <c r="C99" s="17"/>
      <c r="D99" s="10" t="s">
        <v>20</v>
      </c>
      <c r="E99" s="11"/>
      <c r="F99" s="6" t="s">
        <v>43</v>
      </c>
      <c r="G99" s="12">
        <v>34.07</v>
      </c>
      <c r="H99" s="13">
        <v>34.07</v>
      </c>
      <c r="I99" s="14">
        <v>34.07</v>
      </c>
      <c r="J99" s="17"/>
      <c r="K99" s="10" t="s">
        <v>20</v>
      </c>
      <c r="L99" s="11"/>
      <c r="M99" s="6" t="s">
        <v>45</v>
      </c>
      <c r="N99" s="41">
        <f t="shared" si="17"/>
        <v>28.391666666666669</v>
      </c>
      <c r="O99" s="41">
        <f t="shared" si="16"/>
        <v>28.391666666666669</v>
      </c>
      <c r="P99" s="41">
        <f t="shared" si="16"/>
        <v>28.391666666666669</v>
      </c>
      <c r="Q99" s="17"/>
      <c r="R99" s="10" t="s">
        <v>20</v>
      </c>
      <c r="S99" s="11"/>
      <c r="T99" s="6" t="s">
        <v>47</v>
      </c>
      <c r="U99" s="12">
        <v>1.2</v>
      </c>
      <c r="V99" s="13">
        <v>0.93</v>
      </c>
      <c r="W99" s="14">
        <v>0.93</v>
      </c>
      <c r="X99" s="17"/>
      <c r="Y99" s="10" t="s">
        <v>20</v>
      </c>
      <c r="Z99" s="11"/>
      <c r="AA99" s="6" t="s">
        <v>49</v>
      </c>
      <c r="AB99" s="12">
        <v>6.84</v>
      </c>
      <c r="AC99" s="13">
        <v>4.8099999999999996</v>
      </c>
      <c r="AD99" s="14">
        <v>4.41</v>
      </c>
    </row>
    <row r="100" spans="2:30" ht="15.75" thickBot="1" x14ac:dyDescent="0.3">
      <c r="C100" s="17"/>
      <c r="D100" s="10" t="s">
        <v>21</v>
      </c>
      <c r="E100" s="11"/>
      <c r="F100" s="6" t="s">
        <v>43</v>
      </c>
      <c r="G100" s="12">
        <v>34.07</v>
      </c>
      <c r="H100" s="13">
        <v>34.07</v>
      </c>
      <c r="I100" s="14">
        <v>34.07</v>
      </c>
      <c r="J100" s="17"/>
      <c r="K100" s="10" t="s">
        <v>21</v>
      </c>
      <c r="L100" s="11"/>
      <c r="M100" s="6" t="s">
        <v>45</v>
      </c>
      <c r="N100" s="41">
        <f t="shared" si="17"/>
        <v>28.391666666666669</v>
      </c>
      <c r="O100" s="41">
        <f t="shared" si="16"/>
        <v>28.391666666666669</v>
      </c>
      <c r="P100" s="41">
        <f t="shared" si="16"/>
        <v>28.391666666666669</v>
      </c>
      <c r="Q100" s="17"/>
      <c r="R100" s="10" t="s">
        <v>21</v>
      </c>
      <c r="S100" s="11"/>
      <c r="T100" s="6" t="s">
        <v>47</v>
      </c>
      <c r="U100" s="12">
        <v>1.26</v>
      </c>
      <c r="V100" s="13">
        <v>0.97</v>
      </c>
      <c r="W100" s="14">
        <v>0.97</v>
      </c>
      <c r="X100" s="17"/>
      <c r="Y100" s="10" t="s">
        <v>21</v>
      </c>
      <c r="Z100" s="11"/>
      <c r="AA100" s="6" t="s">
        <v>49</v>
      </c>
      <c r="AB100" s="12">
        <v>7.98</v>
      </c>
      <c r="AC100" s="13">
        <v>5.9</v>
      </c>
      <c r="AD100" s="14">
        <v>5.54</v>
      </c>
    </row>
    <row r="101" spans="2:30" ht="15.75" thickBot="1" x14ac:dyDescent="0.3">
      <c r="C101" s="17"/>
      <c r="D101" s="10">
        <v>11</v>
      </c>
      <c r="E101" s="11"/>
      <c r="F101" s="6" t="s">
        <v>43</v>
      </c>
      <c r="G101" s="12">
        <v>26.42</v>
      </c>
      <c r="H101" s="13">
        <v>26.42</v>
      </c>
      <c r="I101" s="14">
        <v>26.42</v>
      </c>
      <c r="J101" s="17"/>
      <c r="K101" s="10">
        <v>11</v>
      </c>
      <c r="L101" s="11"/>
      <c r="M101" s="6" t="s">
        <v>45</v>
      </c>
      <c r="N101" s="41">
        <f t="shared" si="17"/>
        <v>22.016666666666669</v>
      </c>
      <c r="O101" s="41">
        <f t="shared" si="16"/>
        <v>22.016666666666669</v>
      </c>
      <c r="P101" s="41">
        <f t="shared" si="16"/>
        <v>22.016666666666669</v>
      </c>
      <c r="Q101" s="17"/>
      <c r="R101" s="10">
        <v>11</v>
      </c>
      <c r="S101" s="11"/>
      <c r="T101" s="6" t="s">
        <v>47</v>
      </c>
      <c r="U101" s="12">
        <v>1.03</v>
      </c>
      <c r="V101" s="13">
        <v>0.81</v>
      </c>
      <c r="W101" s="14">
        <v>0.81</v>
      </c>
      <c r="X101" s="17"/>
      <c r="Y101" s="10">
        <v>11</v>
      </c>
      <c r="Z101" s="11"/>
      <c r="AA101" s="6" t="s">
        <v>49</v>
      </c>
      <c r="AB101" s="12">
        <v>5.89</v>
      </c>
      <c r="AC101" s="13">
        <v>4.2</v>
      </c>
      <c r="AD101" s="14">
        <v>3.85</v>
      </c>
    </row>
    <row r="102" spans="2:30" ht="15.75" thickBot="1" x14ac:dyDescent="0.3">
      <c r="C102" s="17"/>
      <c r="D102" s="10">
        <v>12</v>
      </c>
      <c r="E102" s="11"/>
      <c r="F102" s="6" t="s">
        <v>43</v>
      </c>
      <c r="G102" s="12">
        <v>34.28</v>
      </c>
      <c r="H102" s="13">
        <v>34.28</v>
      </c>
      <c r="I102" s="14">
        <v>34.28</v>
      </c>
      <c r="J102" s="17"/>
      <c r="K102" s="10">
        <v>12</v>
      </c>
      <c r="L102" s="11"/>
      <c r="M102" s="6" t="s">
        <v>45</v>
      </c>
      <c r="N102" s="41">
        <f t="shared" si="17"/>
        <v>28.56666666666667</v>
      </c>
      <c r="O102" s="41">
        <f t="shared" si="16"/>
        <v>28.56666666666667</v>
      </c>
      <c r="P102" s="41">
        <f t="shared" si="16"/>
        <v>28.56666666666667</v>
      </c>
      <c r="Q102" s="17"/>
      <c r="R102" s="10">
        <v>12</v>
      </c>
      <c r="S102" s="11"/>
      <c r="T102" s="6" t="s">
        <v>47</v>
      </c>
      <c r="U102" s="12">
        <v>1.1399999999999999</v>
      </c>
      <c r="V102" s="13">
        <v>0.9</v>
      </c>
      <c r="W102" s="14">
        <v>0.9</v>
      </c>
      <c r="X102" s="17"/>
      <c r="Y102" s="10">
        <v>12</v>
      </c>
      <c r="Z102" s="11"/>
      <c r="AA102" s="6" t="s">
        <v>49</v>
      </c>
      <c r="AB102" s="12">
        <v>6.53</v>
      </c>
      <c r="AC102" s="13">
        <v>4.67</v>
      </c>
      <c r="AD102" s="14">
        <v>4.28</v>
      </c>
    </row>
    <row r="103" spans="2:30" ht="15.75" thickBot="1" x14ac:dyDescent="0.3">
      <c r="C103" s="22"/>
      <c r="D103" s="15">
        <v>16</v>
      </c>
      <c r="E103" s="16"/>
      <c r="F103" s="6" t="s">
        <v>43</v>
      </c>
      <c r="G103" s="12" t="s">
        <v>39</v>
      </c>
      <c r="H103" s="13" t="s">
        <v>39</v>
      </c>
      <c r="I103" s="14" t="s">
        <v>39</v>
      </c>
      <c r="J103" s="22"/>
      <c r="K103" s="15">
        <v>16</v>
      </c>
      <c r="L103" s="16"/>
      <c r="M103" s="6" t="s">
        <v>45</v>
      </c>
      <c r="N103" s="41"/>
      <c r="O103" s="41"/>
      <c r="P103" s="41"/>
      <c r="Q103" s="22"/>
      <c r="R103" s="15">
        <v>16</v>
      </c>
      <c r="S103" s="16"/>
      <c r="T103" s="6" t="s">
        <v>47</v>
      </c>
      <c r="U103" s="12">
        <v>0.95</v>
      </c>
      <c r="V103" s="13">
        <v>0.72</v>
      </c>
      <c r="W103" s="14">
        <v>0.72</v>
      </c>
      <c r="X103" s="22"/>
      <c r="Y103" s="15">
        <v>16</v>
      </c>
      <c r="Z103" s="16"/>
      <c r="AA103" s="6" t="s">
        <v>49</v>
      </c>
      <c r="AB103" s="18">
        <v>5.41</v>
      </c>
      <c r="AC103" s="19">
        <v>3.76</v>
      </c>
      <c r="AD103" s="20">
        <v>3.45</v>
      </c>
    </row>
    <row r="105" spans="2:30" ht="15.75" thickBot="1" x14ac:dyDescent="0.3"/>
    <row r="106" spans="2:30" x14ac:dyDescent="0.25">
      <c r="AA106" s="5">
        <v>0</v>
      </c>
      <c r="AB106" s="32">
        <f t="shared" ref="AB106:AD106" si="18">(AB88*33.33)/100</f>
        <v>1.1098889999999999</v>
      </c>
      <c r="AC106" s="32">
        <f t="shared" si="18"/>
        <v>0.82658399999999999</v>
      </c>
      <c r="AD106" s="32">
        <f t="shared" si="18"/>
        <v>0.7565909999999999</v>
      </c>
    </row>
    <row r="107" spans="2:30" x14ac:dyDescent="0.25">
      <c r="AA107" s="10">
        <v>1</v>
      </c>
      <c r="AB107" s="32">
        <f>(AB89*33.33)/100</f>
        <v>1.149885</v>
      </c>
      <c r="AC107" s="32">
        <f t="shared" ref="AC107:AD107" si="19">(AC89*33.33)/100</f>
        <v>0.85658099999999993</v>
      </c>
      <c r="AD107" s="32">
        <f t="shared" si="19"/>
        <v>0.78325500000000003</v>
      </c>
    </row>
    <row r="108" spans="2:30" ht="15.75" thickBot="1" x14ac:dyDescent="0.3">
      <c r="E108" s="13">
        <v>2022</v>
      </c>
      <c r="F108" s="13">
        <v>2030</v>
      </c>
      <c r="G108" s="13">
        <v>2040</v>
      </c>
      <c r="J108" s="23" t="s">
        <v>51</v>
      </c>
      <c r="K108" s="23" t="s">
        <v>52</v>
      </c>
      <c r="L108" s="13">
        <v>2022</v>
      </c>
      <c r="M108" s="13">
        <v>2030</v>
      </c>
      <c r="N108" s="13">
        <v>2040</v>
      </c>
      <c r="AA108" s="10">
        <v>2</v>
      </c>
      <c r="AB108" s="32">
        <f t="shared" ref="AB108:AD108" si="20">(AB90*33.33)/100</f>
        <v>1.1865479999999999</v>
      </c>
      <c r="AC108" s="32">
        <f t="shared" si="20"/>
        <v>0.87991200000000003</v>
      </c>
      <c r="AD108" s="32">
        <f t="shared" si="20"/>
        <v>0.80658599999999991</v>
      </c>
    </row>
    <row r="109" spans="2:30" x14ac:dyDescent="0.25">
      <c r="B109">
        <v>170</v>
      </c>
      <c r="C109" s="21" t="s">
        <v>46</v>
      </c>
      <c r="D109" s="5">
        <v>0</v>
      </c>
      <c r="E109" s="13">
        <v>120</v>
      </c>
      <c r="F109" s="13">
        <v>100</v>
      </c>
      <c r="G109" s="13">
        <v>100</v>
      </c>
      <c r="H109" s="21" t="s">
        <v>48</v>
      </c>
      <c r="I109" s="5">
        <v>0</v>
      </c>
      <c r="J109" s="13">
        <v>100</v>
      </c>
      <c r="K109" s="13">
        <v>100</v>
      </c>
      <c r="L109" s="13">
        <v>6</v>
      </c>
      <c r="M109" s="13">
        <v>4</v>
      </c>
      <c r="N109" s="13">
        <v>4</v>
      </c>
      <c r="AA109" s="10">
        <v>3</v>
      </c>
      <c r="AB109" s="32">
        <f t="shared" ref="AB109:AD109" si="21">(AB91*33.33)/100</f>
        <v>1.5298469999999997</v>
      </c>
      <c r="AC109" s="32">
        <f t="shared" si="21"/>
        <v>1.123221</v>
      </c>
      <c r="AD109" s="32">
        <f t="shared" si="21"/>
        <v>1.0298969999999998</v>
      </c>
    </row>
    <row r="110" spans="2:30" x14ac:dyDescent="0.25">
      <c r="B110">
        <v>170</v>
      </c>
      <c r="C110" s="17"/>
      <c r="D110" s="10">
        <v>1</v>
      </c>
      <c r="E110" s="13">
        <v>180</v>
      </c>
      <c r="F110" s="13">
        <v>150</v>
      </c>
      <c r="G110" s="13">
        <v>150</v>
      </c>
      <c r="H110" s="17"/>
      <c r="I110" s="10">
        <v>1</v>
      </c>
      <c r="J110" s="13">
        <v>100</v>
      </c>
      <c r="K110" s="13">
        <v>100</v>
      </c>
      <c r="L110" s="13">
        <v>9</v>
      </c>
      <c r="M110" s="13">
        <v>7</v>
      </c>
      <c r="N110" s="13">
        <v>6</v>
      </c>
      <c r="P110" s="29">
        <v>140</v>
      </c>
      <c r="Q110">
        <f>0.5*P110+27</f>
        <v>97</v>
      </c>
      <c r="AA110" s="10" t="s">
        <v>13</v>
      </c>
      <c r="AB110" s="32">
        <f t="shared" ref="AB110:AD110" si="22">(AB92*33.33)/100</f>
        <v>1.6698329999999999</v>
      </c>
      <c r="AC110" s="32">
        <f t="shared" si="22"/>
        <v>1.149885</v>
      </c>
      <c r="AD110" s="32">
        <f t="shared" si="22"/>
        <v>1.0532280000000001</v>
      </c>
    </row>
    <row r="111" spans="2:30" x14ac:dyDescent="0.25">
      <c r="B111">
        <v>170</v>
      </c>
      <c r="C111" s="17"/>
      <c r="D111" s="10">
        <v>2</v>
      </c>
      <c r="E111" s="13">
        <v>190</v>
      </c>
      <c r="F111" s="13">
        <v>160</v>
      </c>
      <c r="G111" s="13">
        <v>160</v>
      </c>
      <c r="H111" s="17"/>
      <c r="I111" s="10">
        <v>2</v>
      </c>
      <c r="J111" s="13">
        <v>100</v>
      </c>
      <c r="K111" s="13">
        <v>100</v>
      </c>
      <c r="L111" s="13">
        <v>9</v>
      </c>
      <c r="M111" s="13">
        <v>7</v>
      </c>
      <c r="N111" s="13">
        <v>6</v>
      </c>
      <c r="P111" s="29">
        <v>175</v>
      </c>
      <c r="Q111">
        <f t="shared" ref="Q111:Q124" si="23">0.5*P111+27</f>
        <v>114.5</v>
      </c>
      <c r="AA111" s="10" t="s">
        <v>14</v>
      </c>
      <c r="AB111" s="32">
        <f t="shared" ref="AB111:AD111" si="24">(AB93*33.33)/100</f>
        <v>1.79982</v>
      </c>
      <c r="AC111" s="32">
        <f t="shared" si="24"/>
        <v>1.239876</v>
      </c>
      <c r="AD111" s="32">
        <f t="shared" si="24"/>
        <v>1.1365529999999999</v>
      </c>
    </row>
    <row r="112" spans="2:30" x14ac:dyDescent="0.25">
      <c r="B112">
        <v>220</v>
      </c>
      <c r="C112" s="17"/>
      <c r="D112" s="10">
        <v>3</v>
      </c>
      <c r="E112" s="28">
        <v>250</v>
      </c>
      <c r="F112" s="28">
        <v>200</v>
      </c>
      <c r="G112" s="28">
        <v>200</v>
      </c>
      <c r="H112" s="17"/>
      <c r="I112" s="10">
        <v>3</v>
      </c>
      <c r="J112" s="28">
        <v>100</v>
      </c>
      <c r="K112" s="13">
        <v>100</v>
      </c>
      <c r="L112" s="28">
        <v>11</v>
      </c>
      <c r="M112" s="28">
        <v>9</v>
      </c>
      <c r="N112" s="28">
        <v>8</v>
      </c>
      <c r="P112" s="30">
        <v>188</v>
      </c>
      <c r="Q112">
        <f t="shared" si="23"/>
        <v>121</v>
      </c>
      <c r="AA112" s="10" t="s">
        <v>15</v>
      </c>
      <c r="AB112" s="32">
        <f t="shared" ref="AB112:AD112" si="25">(AB94*33.33)/100</f>
        <v>2.243109</v>
      </c>
      <c r="AC112" s="32">
        <f t="shared" si="25"/>
        <v>1.6298369999999998</v>
      </c>
      <c r="AD112" s="32">
        <f t="shared" si="25"/>
        <v>1.5298469999999997</v>
      </c>
    </row>
    <row r="113" spans="2:30" x14ac:dyDescent="0.25">
      <c r="B113">
        <v>170</v>
      </c>
      <c r="C113" s="17"/>
      <c r="D113" s="10" t="s">
        <v>13</v>
      </c>
      <c r="E113" s="13">
        <v>260</v>
      </c>
      <c r="F113" s="13">
        <v>200</v>
      </c>
      <c r="G113" s="13">
        <v>200</v>
      </c>
      <c r="H113" s="17"/>
      <c r="I113" s="10" t="s">
        <v>13</v>
      </c>
      <c r="J113" s="13">
        <v>100</v>
      </c>
      <c r="K113" s="13">
        <v>100</v>
      </c>
      <c r="L113" s="13">
        <v>12</v>
      </c>
      <c r="M113" s="13">
        <v>8</v>
      </c>
      <c r="N113" s="13">
        <v>8</v>
      </c>
      <c r="P113" s="29">
        <v>162</v>
      </c>
      <c r="Q113">
        <f t="shared" si="23"/>
        <v>108</v>
      </c>
      <c r="AA113" s="10" t="s">
        <v>16</v>
      </c>
      <c r="AB113" s="32">
        <f t="shared" ref="AB113:AD113" si="26">(AB95*33.33)/100</f>
        <v>2.243109</v>
      </c>
      <c r="AC113" s="32">
        <f t="shared" si="26"/>
        <v>1.5031829999999999</v>
      </c>
      <c r="AD113" s="32">
        <f t="shared" si="26"/>
        <v>1.3798619999999997</v>
      </c>
    </row>
    <row r="114" spans="2:30" x14ac:dyDescent="0.25">
      <c r="B114">
        <v>220</v>
      </c>
      <c r="C114" s="17"/>
      <c r="D114" s="10" t="s">
        <v>14</v>
      </c>
      <c r="E114" s="28">
        <v>360</v>
      </c>
      <c r="F114" s="28">
        <v>270</v>
      </c>
      <c r="G114" s="28">
        <v>270</v>
      </c>
      <c r="H114" s="17"/>
      <c r="I114" s="10" t="s">
        <v>14</v>
      </c>
      <c r="J114" s="13">
        <v>200</v>
      </c>
      <c r="K114" s="13">
        <v>100</v>
      </c>
      <c r="L114" s="28">
        <v>17</v>
      </c>
      <c r="M114" s="28">
        <v>12</v>
      </c>
      <c r="N114" s="28">
        <v>11</v>
      </c>
      <c r="P114" s="31">
        <v>235</v>
      </c>
      <c r="Q114">
        <f t="shared" si="23"/>
        <v>144.5</v>
      </c>
      <c r="AA114" s="10" t="s">
        <v>17</v>
      </c>
      <c r="AB114" s="32">
        <f t="shared" ref="AB114:AD114" si="27">(AB96*33.33)/100</f>
        <v>2.6230709999999999</v>
      </c>
      <c r="AC114" s="32">
        <f t="shared" si="27"/>
        <v>1.846482</v>
      </c>
      <c r="AD114" s="32">
        <f t="shared" si="27"/>
        <v>1.7364929999999998</v>
      </c>
    </row>
    <row r="115" spans="2:30" x14ac:dyDescent="0.25">
      <c r="B115">
        <v>325</v>
      </c>
      <c r="C115" s="17"/>
      <c r="D115" s="10" t="s">
        <v>15</v>
      </c>
      <c r="E115" s="28">
        <v>760</v>
      </c>
      <c r="F115" s="28">
        <v>405</v>
      </c>
      <c r="G115" s="28">
        <v>405</v>
      </c>
      <c r="H115" s="17"/>
      <c r="I115" s="10" t="s">
        <v>15</v>
      </c>
      <c r="J115" s="13">
        <v>200</v>
      </c>
      <c r="K115" s="13">
        <v>100</v>
      </c>
      <c r="L115" s="13">
        <v>68</v>
      </c>
      <c r="M115" s="13">
        <v>49</v>
      </c>
      <c r="N115" s="13">
        <v>46</v>
      </c>
      <c r="P115" s="31">
        <v>323</v>
      </c>
      <c r="Q115">
        <f t="shared" si="23"/>
        <v>188.5</v>
      </c>
      <c r="AA115" s="10" t="s">
        <v>18</v>
      </c>
      <c r="AB115" s="32">
        <f t="shared" ref="AB115:AD115" si="28">(AB97*33.33)/100</f>
        <v>1.8198179999999999</v>
      </c>
      <c r="AC115" s="32">
        <f t="shared" si="28"/>
        <v>1.2698729999999998</v>
      </c>
      <c r="AD115" s="32">
        <f t="shared" si="28"/>
        <v>1.1632170000000002</v>
      </c>
    </row>
    <row r="116" spans="2:30" x14ac:dyDescent="0.25">
      <c r="B116">
        <v>220</v>
      </c>
      <c r="C116" s="17"/>
      <c r="D116" s="10" t="s">
        <v>16</v>
      </c>
      <c r="E116" s="13">
        <v>450</v>
      </c>
      <c r="F116" s="13">
        <v>330</v>
      </c>
      <c r="G116" s="13">
        <v>330</v>
      </c>
      <c r="H116" s="17"/>
      <c r="I116" s="10" t="s">
        <v>16</v>
      </c>
      <c r="J116" s="13">
        <v>200</v>
      </c>
      <c r="K116" s="13">
        <v>100</v>
      </c>
      <c r="L116" s="13">
        <v>21</v>
      </c>
      <c r="M116" s="13">
        <v>14</v>
      </c>
      <c r="N116" s="13">
        <v>13</v>
      </c>
      <c r="P116" s="31">
        <v>330</v>
      </c>
      <c r="Q116">
        <f t="shared" si="23"/>
        <v>192</v>
      </c>
      <c r="AA116" s="10" t="s">
        <v>19</v>
      </c>
      <c r="AB116" s="32">
        <f t="shared" ref="AB116:AD116" si="29">(AB98*33.33)/100</f>
        <v>2.2297769999999999</v>
      </c>
      <c r="AC116" s="32">
        <f t="shared" si="29"/>
        <v>1.6298369999999998</v>
      </c>
      <c r="AD116" s="32">
        <f t="shared" si="29"/>
        <v>1.5298469999999997</v>
      </c>
    </row>
    <row r="117" spans="2:30" x14ac:dyDescent="0.25">
      <c r="B117">
        <v>325</v>
      </c>
      <c r="C117" s="17"/>
      <c r="D117" s="10" t="s">
        <v>17</v>
      </c>
      <c r="E117" s="28">
        <v>760</v>
      </c>
      <c r="F117" s="28">
        <v>405</v>
      </c>
      <c r="G117" s="28">
        <v>405</v>
      </c>
      <c r="H117" s="17"/>
      <c r="I117" s="10" t="s">
        <v>17</v>
      </c>
      <c r="J117" s="13">
        <v>200</v>
      </c>
      <c r="K117" s="13">
        <v>100</v>
      </c>
      <c r="L117" s="13">
        <v>45</v>
      </c>
      <c r="M117" s="13">
        <v>33</v>
      </c>
      <c r="N117" s="13">
        <v>32</v>
      </c>
      <c r="P117" s="31">
        <v>355</v>
      </c>
      <c r="Q117">
        <f t="shared" si="23"/>
        <v>204.5</v>
      </c>
      <c r="AA117" s="10" t="s">
        <v>20</v>
      </c>
      <c r="AB117" s="32">
        <f t="shared" ref="AB117:AD117" si="30">(AB99*33.33)/100</f>
        <v>2.2797719999999999</v>
      </c>
      <c r="AC117" s="32">
        <f t="shared" si="30"/>
        <v>1.603173</v>
      </c>
      <c r="AD117" s="32">
        <f t="shared" si="30"/>
        <v>1.4698529999999999</v>
      </c>
    </row>
    <row r="118" spans="2:30" x14ac:dyDescent="0.25">
      <c r="B118">
        <v>325</v>
      </c>
      <c r="C118" s="17"/>
      <c r="D118" s="10" t="s">
        <v>18</v>
      </c>
      <c r="E118" s="13">
        <v>340</v>
      </c>
      <c r="F118" s="13">
        <v>260</v>
      </c>
      <c r="G118" s="13">
        <v>260</v>
      </c>
      <c r="H118" s="17"/>
      <c r="I118" s="10" t="s">
        <v>18</v>
      </c>
      <c r="J118" s="13">
        <v>200</v>
      </c>
      <c r="K118" s="13">
        <v>100</v>
      </c>
      <c r="L118" s="13">
        <v>16</v>
      </c>
      <c r="M118" s="13">
        <v>11</v>
      </c>
      <c r="N118" s="13">
        <v>10</v>
      </c>
      <c r="P118" s="31">
        <v>300</v>
      </c>
      <c r="Q118">
        <f t="shared" si="23"/>
        <v>177</v>
      </c>
      <c r="AA118" s="10" t="s">
        <v>21</v>
      </c>
      <c r="AB118" s="32">
        <f t="shared" ref="AB118:AD118" si="31">(AB100*33.33)/100</f>
        <v>2.6597340000000003</v>
      </c>
      <c r="AC118" s="32">
        <f t="shared" si="31"/>
        <v>1.9664699999999999</v>
      </c>
      <c r="AD118" s="32">
        <f t="shared" si="31"/>
        <v>1.846482</v>
      </c>
    </row>
    <row r="119" spans="2:30" x14ac:dyDescent="0.25">
      <c r="B119">
        <v>325</v>
      </c>
      <c r="C119" s="17"/>
      <c r="D119" s="10" t="s">
        <v>19</v>
      </c>
      <c r="E119" s="13">
        <v>1380</v>
      </c>
      <c r="F119" s="13">
        <v>1040</v>
      </c>
      <c r="G119" s="13">
        <v>1040</v>
      </c>
      <c r="H119" s="17"/>
      <c r="I119" s="10" t="s">
        <v>19</v>
      </c>
      <c r="J119" s="13">
        <v>200</v>
      </c>
      <c r="K119" s="13">
        <v>100</v>
      </c>
      <c r="L119" s="13">
        <v>67</v>
      </c>
      <c r="M119" s="13">
        <v>49</v>
      </c>
      <c r="N119" s="13">
        <v>46</v>
      </c>
      <c r="P119" s="31">
        <v>350</v>
      </c>
      <c r="Q119">
        <f t="shared" si="23"/>
        <v>202</v>
      </c>
      <c r="AA119" s="10">
        <v>11</v>
      </c>
      <c r="AB119" s="32">
        <f t="shared" ref="AB119:AD119" si="32">(AB101*33.33)/100</f>
        <v>1.9631369999999999</v>
      </c>
      <c r="AC119" s="32">
        <f t="shared" si="32"/>
        <v>1.3998599999999999</v>
      </c>
      <c r="AD119" s="32">
        <f t="shared" si="32"/>
        <v>1.2832050000000002</v>
      </c>
    </row>
    <row r="120" spans="2:30" x14ac:dyDescent="0.25">
      <c r="B120">
        <v>325</v>
      </c>
      <c r="C120" s="17"/>
      <c r="D120" s="10" t="s">
        <v>20</v>
      </c>
      <c r="E120" s="13">
        <v>400</v>
      </c>
      <c r="F120" s="13">
        <v>310</v>
      </c>
      <c r="G120" s="13">
        <v>310</v>
      </c>
      <c r="H120" s="17"/>
      <c r="I120" s="10" t="s">
        <v>20</v>
      </c>
      <c r="J120" s="13">
        <v>200</v>
      </c>
      <c r="K120" s="13">
        <v>100</v>
      </c>
      <c r="L120" s="13">
        <v>18</v>
      </c>
      <c r="M120" s="13">
        <v>13</v>
      </c>
      <c r="N120" s="13">
        <v>12</v>
      </c>
      <c r="P120" s="31">
        <v>345</v>
      </c>
      <c r="Q120">
        <f t="shared" si="23"/>
        <v>199.5</v>
      </c>
      <c r="AA120" s="10">
        <v>12</v>
      </c>
      <c r="AB120" s="32">
        <f t="shared" ref="AB120:AD120" si="33">(AB102*33.33)/100</f>
        <v>2.1764489999999999</v>
      </c>
      <c r="AC120" s="32">
        <f t="shared" si="33"/>
        <v>1.5565109999999998</v>
      </c>
      <c r="AD120" s="32">
        <f t="shared" si="33"/>
        <v>1.4265239999999999</v>
      </c>
    </row>
    <row r="121" spans="2:30" ht="15.75" thickBot="1" x14ac:dyDescent="0.3">
      <c r="B121">
        <v>325</v>
      </c>
      <c r="C121" s="17"/>
      <c r="D121" s="10" t="s">
        <v>21</v>
      </c>
      <c r="E121" s="13">
        <v>1670</v>
      </c>
      <c r="F121" s="13">
        <v>1270</v>
      </c>
      <c r="G121" s="13">
        <v>1270</v>
      </c>
      <c r="H121" s="17"/>
      <c r="I121" s="10" t="s">
        <v>21</v>
      </c>
      <c r="J121" s="13">
        <v>200</v>
      </c>
      <c r="K121" s="13">
        <v>100</v>
      </c>
      <c r="L121" s="13">
        <v>80</v>
      </c>
      <c r="M121" s="13">
        <v>59</v>
      </c>
      <c r="N121" s="13">
        <v>56</v>
      </c>
      <c r="P121" s="31">
        <v>375</v>
      </c>
      <c r="Q121">
        <f t="shared" si="23"/>
        <v>214.5</v>
      </c>
      <c r="R121">
        <f>250*33</f>
        <v>8250</v>
      </c>
      <c r="AA121" s="15">
        <v>16</v>
      </c>
      <c r="AB121" s="32">
        <f t="shared" ref="AB121:AD121" si="34">(AB103*33.33)/100</f>
        <v>1.803153</v>
      </c>
      <c r="AC121" s="32">
        <f t="shared" si="34"/>
        <v>1.2532079999999999</v>
      </c>
      <c r="AD121" s="32">
        <f t="shared" si="34"/>
        <v>1.149885</v>
      </c>
    </row>
    <row r="122" spans="2:30" x14ac:dyDescent="0.25">
      <c r="B122">
        <v>325</v>
      </c>
      <c r="C122" s="17"/>
      <c r="D122" s="10">
        <v>11</v>
      </c>
      <c r="E122" s="13">
        <v>380</v>
      </c>
      <c r="F122" s="13">
        <v>300</v>
      </c>
      <c r="G122" s="13">
        <v>300</v>
      </c>
      <c r="H122" s="17"/>
      <c r="I122" s="10">
        <v>11</v>
      </c>
      <c r="J122" s="13">
        <v>200</v>
      </c>
      <c r="K122" s="13">
        <v>100</v>
      </c>
      <c r="L122" s="13">
        <v>17</v>
      </c>
      <c r="M122" s="13">
        <v>13</v>
      </c>
      <c r="N122" s="13">
        <v>12</v>
      </c>
      <c r="P122" s="31">
        <v>375</v>
      </c>
      <c r="Q122">
        <f t="shared" si="23"/>
        <v>214.5</v>
      </c>
    </row>
    <row r="123" spans="2:30" x14ac:dyDescent="0.25">
      <c r="B123">
        <v>325</v>
      </c>
      <c r="C123" s="17"/>
      <c r="D123" s="10">
        <v>12</v>
      </c>
      <c r="E123" s="13">
        <v>580</v>
      </c>
      <c r="F123" s="13">
        <v>460</v>
      </c>
      <c r="G123" s="13">
        <v>460</v>
      </c>
      <c r="H123" s="17"/>
      <c r="I123" s="10">
        <v>12</v>
      </c>
      <c r="J123" s="13">
        <v>200</v>
      </c>
      <c r="K123" s="13">
        <v>100</v>
      </c>
      <c r="L123" s="13">
        <v>27</v>
      </c>
      <c r="M123" s="13">
        <v>19</v>
      </c>
      <c r="N123" s="13">
        <v>18</v>
      </c>
      <c r="P123" s="31">
        <v>405</v>
      </c>
      <c r="Q123">
        <f t="shared" si="23"/>
        <v>229.5</v>
      </c>
    </row>
    <row r="124" spans="2:30" ht="15.75" thickBot="1" x14ac:dyDescent="0.3">
      <c r="B124">
        <v>325</v>
      </c>
      <c r="C124" s="22"/>
      <c r="D124" s="15">
        <v>16</v>
      </c>
      <c r="E124" s="13">
        <v>280</v>
      </c>
      <c r="F124" s="13">
        <v>210</v>
      </c>
      <c r="G124" s="13">
        <v>210</v>
      </c>
      <c r="H124" s="22"/>
      <c r="I124" s="15">
        <v>16</v>
      </c>
      <c r="J124" s="13">
        <v>200</v>
      </c>
      <c r="K124" s="13">
        <v>100</v>
      </c>
      <c r="L124" s="13">
        <v>13</v>
      </c>
      <c r="M124" s="13">
        <v>9</v>
      </c>
      <c r="N124" s="13">
        <v>8</v>
      </c>
      <c r="P124" s="31">
        <v>375</v>
      </c>
      <c r="Q124">
        <f t="shared" si="23"/>
        <v>214.5</v>
      </c>
    </row>
    <row r="130" spans="3:5" x14ac:dyDescent="0.25">
      <c r="C130" t="s">
        <v>70</v>
      </c>
    </row>
    <row r="134" spans="3:5" x14ac:dyDescent="0.25">
      <c r="C134">
        <v>180</v>
      </c>
      <c r="D134">
        <v>350</v>
      </c>
      <c r="E134">
        <f>C134/D134</f>
        <v>0.51428571428571423</v>
      </c>
    </row>
    <row r="135" spans="3:5" x14ac:dyDescent="0.25">
      <c r="C135">
        <v>90</v>
      </c>
      <c r="D135">
        <v>210</v>
      </c>
      <c r="E135">
        <f t="shared" ref="E135:E137" si="35">C135/D135</f>
        <v>0.42857142857142855</v>
      </c>
    </row>
    <row r="136" spans="3:5" x14ac:dyDescent="0.25">
      <c r="C136">
        <v>300</v>
      </c>
      <c r="D136">
        <v>460</v>
      </c>
      <c r="E136">
        <f t="shared" si="35"/>
        <v>0.65217391304347827</v>
      </c>
    </row>
    <row r="137" spans="3:5" x14ac:dyDescent="0.25">
      <c r="C137">
        <v>240</v>
      </c>
      <c r="D137">
        <v>740</v>
      </c>
      <c r="E137">
        <f t="shared" si="35"/>
        <v>0.32432432432432434</v>
      </c>
    </row>
    <row r="139" spans="3:5" x14ac:dyDescent="0.25">
      <c r="C139">
        <v>170</v>
      </c>
    </row>
    <row r="140" spans="3:5" x14ac:dyDescent="0.25">
      <c r="C140">
        <v>170</v>
      </c>
    </row>
    <row r="141" spans="3:5" x14ac:dyDescent="0.25">
      <c r="C141">
        <v>170</v>
      </c>
    </row>
    <row r="142" spans="3:5" x14ac:dyDescent="0.25">
      <c r="C142">
        <v>220</v>
      </c>
    </row>
    <row r="143" spans="3:5" x14ac:dyDescent="0.25">
      <c r="C143">
        <v>170</v>
      </c>
    </row>
    <row r="144" spans="3:5" x14ac:dyDescent="0.25">
      <c r="C144">
        <v>220</v>
      </c>
    </row>
    <row r="145" spans="3:3" x14ac:dyDescent="0.25">
      <c r="C145">
        <v>325</v>
      </c>
    </row>
    <row r="146" spans="3:3" x14ac:dyDescent="0.25">
      <c r="C146">
        <v>220</v>
      </c>
    </row>
    <row r="147" spans="3:3" x14ac:dyDescent="0.25">
      <c r="C147">
        <v>325</v>
      </c>
    </row>
    <row r="148" spans="3:3" x14ac:dyDescent="0.25">
      <c r="C148">
        <v>325</v>
      </c>
    </row>
    <row r="149" spans="3:3" x14ac:dyDescent="0.25">
      <c r="C149">
        <v>325</v>
      </c>
    </row>
    <row r="150" spans="3:3" x14ac:dyDescent="0.25">
      <c r="C150">
        <v>325</v>
      </c>
    </row>
    <row r="151" spans="3:3" x14ac:dyDescent="0.25">
      <c r="C151">
        <v>325</v>
      </c>
    </row>
    <row r="152" spans="3:3" x14ac:dyDescent="0.25">
      <c r="C152">
        <v>325</v>
      </c>
    </row>
    <row r="153" spans="3:3" x14ac:dyDescent="0.25">
      <c r="C153">
        <v>325</v>
      </c>
    </row>
  </sheetData>
  <mergeCells count="6">
    <mergeCell ref="C7:J7"/>
    <mergeCell ref="K59:K60"/>
    <mergeCell ref="K61:K62"/>
    <mergeCell ref="K65:K66"/>
    <mergeCell ref="K63:K64"/>
    <mergeCell ref="C30:D30"/>
  </mergeCells>
  <pageMargins left="0.7" right="0.7" top="0.75" bottom="0.75" header="0.3" footer="0.3"/>
  <pageSetup paperSize="9" orientation="portrait" horizontalDpi="4294967295" verticalDpi="4294967295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ExportSheetsToCSV">
                <anchor moveWithCells="1" sizeWithCells="1">
                  <from>
                    <xdr:col>6</xdr:col>
                    <xdr:colOff>1619250</xdr:colOff>
                    <xdr:row>31</xdr:row>
                    <xdr:rowOff>133350</xdr:rowOff>
                  </from>
                  <to>
                    <xdr:col>11</xdr:col>
                    <xdr:colOff>628650</xdr:colOff>
                    <xdr:row>41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578AB3-46A1-4BE0-A555-8B3716E2C669}">
  <sheetPr codeName="Hoja2"/>
  <dimension ref="A1:E129"/>
  <sheetViews>
    <sheetView topLeftCell="A46" workbookViewId="0">
      <selection activeCell="E50" sqref="E50"/>
    </sheetView>
  </sheetViews>
  <sheetFormatPr baseColWidth="10" defaultRowHeight="15" x14ac:dyDescent="0.25"/>
  <sheetData>
    <row r="1" spans="1:5" x14ac:dyDescent="0.25">
      <c r="A1" t="s">
        <v>0</v>
      </c>
      <c r="B1" t="s">
        <v>1</v>
      </c>
      <c r="C1" t="s">
        <v>65</v>
      </c>
      <c r="D1" t="s">
        <v>2</v>
      </c>
      <c r="E1" t="s">
        <v>66</v>
      </c>
    </row>
    <row r="2" spans="1:5" x14ac:dyDescent="0.25">
      <c r="A2" t="s">
        <v>40</v>
      </c>
      <c r="B2" t="s">
        <v>7</v>
      </c>
      <c r="C2" t="s">
        <v>59</v>
      </c>
      <c r="D2">
        <v>2022</v>
      </c>
      <c r="E2">
        <f>CAPEX_Input!E109</f>
        <v>120</v>
      </c>
    </row>
    <row r="3" spans="1:5" x14ac:dyDescent="0.25">
      <c r="A3" t="s">
        <v>40</v>
      </c>
      <c r="B3" t="s">
        <v>10</v>
      </c>
      <c r="C3" t="s">
        <v>59</v>
      </c>
      <c r="D3">
        <v>2022</v>
      </c>
      <c r="E3">
        <f>CAPEX_Input!E110</f>
        <v>180</v>
      </c>
    </row>
    <row r="4" spans="1:5" x14ac:dyDescent="0.25">
      <c r="A4" t="s">
        <v>40</v>
      </c>
      <c r="B4" t="s">
        <v>11</v>
      </c>
      <c r="C4" t="s">
        <v>59</v>
      </c>
      <c r="D4">
        <v>2022</v>
      </c>
      <c r="E4">
        <f>CAPEX_Input!E111</f>
        <v>190</v>
      </c>
    </row>
    <row r="5" spans="1:5" x14ac:dyDescent="0.25">
      <c r="A5" t="s">
        <v>40</v>
      </c>
      <c r="B5" t="s">
        <v>12</v>
      </c>
      <c r="C5" t="s">
        <v>59</v>
      </c>
      <c r="D5">
        <v>2022</v>
      </c>
      <c r="E5">
        <f>CAPEX_Input!E112</f>
        <v>250</v>
      </c>
    </row>
    <row r="6" spans="1:5" x14ac:dyDescent="0.25">
      <c r="A6" t="s">
        <v>40</v>
      </c>
      <c r="B6" t="s">
        <v>13</v>
      </c>
      <c r="C6" t="s">
        <v>59</v>
      </c>
      <c r="D6">
        <v>2022</v>
      </c>
      <c r="E6">
        <f>CAPEX_Input!E113</f>
        <v>260</v>
      </c>
    </row>
    <row r="7" spans="1:5" x14ac:dyDescent="0.25">
      <c r="A7" t="s">
        <v>40</v>
      </c>
      <c r="B7" t="s">
        <v>14</v>
      </c>
      <c r="C7" t="s">
        <v>59</v>
      </c>
      <c r="D7">
        <v>2022</v>
      </c>
      <c r="E7">
        <f>CAPEX_Input!E114</f>
        <v>360</v>
      </c>
    </row>
    <row r="8" spans="1:5" x14ac:dyDescent="0.25">
      <c r="A8" t="s">
        <v>40</v>
      </c>
      <c r="B8" t="s">
        <v>15</v>
      </c>
      <c r="C8" t="s">
        <v>59</v>
      </c>
      <c r="D8">
        <v>2022</v>
      </c>
      <c r="E8">
        <f>CAPEX_Input!E115</f>
        <v>760</v>
      </c>
    </row>
    <row r="9" spans="1:5" x14ac:dyDescent="0.25">
      <c r="A9" t="s">
        <v>40</v>
      </c>
      <c r="B9" t="s">
        <v>16</v>
      </c>
      <c r="C9" t="s">
        <v>59</v>
      </c>
      <c r="D9">
        <v>2022</v>
      </c>
      <c r="E9">
        <f>CAPEX_Input!E116</f>
        <v>450</v>
      </c>
    </row>
    <row r="10" spans="1:5" x14ac:dyDescent="0.25">
      <c r="A10" t="s">
        <v>40</v>
      </c>
      <c r="B10" t="s">
        <v>17</v>
      </c>
      <c r="C10" t="s">
        <v>59</v>
      </c>
      <c r="D10">
        <v>2022</v>
      </c>
      <c r="E10">
        <f>CAPEX_Input!E117</f>
        <v>760</v>
      </c>
    </row>
    <row r="11" spans="1:5" x14ac:dyDescent="0.25">
      <c r="A11" t="s">
        <v>40</v>
      </c>
      <c r="B11" t="s">
        <v>18</v>
      </c>
      <c r="C11" t="s">
        <v>59</v>
      </c>
      <c r="D11">
        <v>2022</v>
      </c>
      <c r="E11">
        <f>CAPEX_Input!E118</f>
        <v>340</v>
      </c>
    </row>
    <row r="12" spans="1:5" x14ac:dyDescent="0.25">
      <c r="A12" t="s">
        <v>40</v>
      </c>
      <c r="B12" t="s">
        <v>19</v>
      </c>
      <c r="C12" t="s">
        <v>59</v>
      </c>
      <c r="D12">
        <v>2022</v>
      </c>
      <c r="E12">
        <f>CAPEX_Input!E119</f>
        <v>1380</v>
      </c>
    </row>
    <row r="13" spans="1:5" x14ac:dyDescent="0.25">
      <c r="A13" t="s">
        <v>40</v>
      </c>
      <c r="B13" t="s">
        <v>20</v>
      </c>
      <c r="C13" t="s">
        <v>59</v>
      </c>
      <c r="D13">
        <v>2022</v>
      </c>
      <c r="E13">
        <f>CAPEX_Input!E120</f>
        <v>400</v>
      </c>
    </row>
    <row r="14" spans="1:5" x14ac:dyDescent="0.25">
      <c r="A14" t="s">
        <v>40</v>
      </c>
      <c r="B14" t="s">
        <v>21</v>
      </c>
      <c r="C14" t="s">
        <v>59</v>
      </c>
      <c r="D14">
        <v>2022</v>
      </c>
      <c r="E14">
        <f>CAPEX_Input!E121</f>
        <v>1670</v>
      </c>
    </row>
    <row r="15" spans="1:5" x14ac:dyDescent="0.25">
      <c r="A15" t="s">
        <v>40</v>
      </c>
      <c r="B15" t="s">
        <v>22</v>
      </c>
      <c r="C15" t="s">
        <v>59</v>
      </c>
      <c r="D15">
        <v>2022</v>
      </c>
      <c r="E15">
        <f>CAPEX_Input!E122</f>
        <v>380</v>
      </c>
    </row>
    <row r="16" spans="1:5" x14ac:dyDescent="0.25">
      <c r="A16" t="s">
        <v>40</v>
      </c>
      <c r="B16" t="s">
        <v>23</v>
      </c>
      <c r="C16" t="s">
        <v>59</v>
      </c>
      <c r="D16">
        <v>2022</v>
      </c>
      <c r="E16">
        <f>CAPEX_Input!E123</f>
        <v>580</v>
      </c>
    </row>
    <row r="17" spans="1:5" x14ac:dyDescent="0.25">
      <c r="A17" t="s">
        <v>40</v>
      </c>
      <c r="B17" t="s">
        <v>24</v>
      </c>
      <c r="C17" t="s">
        <v>59</v>
      </c>
      <c r="D17">
        <v>2022</v>
      </c>
      <c r="E17">
        <f>CAPEX_Input!E124</f>
        <v>280</v>
      </c>
    </row>
    <row r="18" spans="1:5" x14ac:dyDescent="0.25">
      <c r="A18" t="s">
        <v>40</v>
      </c>
      <c r="B18" t="s">
        <v>7</v>
      </c>
      <c r="C18" t="s">
        <v>59</v>
      </c>
      <c r="D18">
        <v>2030</v>
      </c>
      <c r="E18">
        <f>CAPEX_Input!F109</f>
        <v>100</v>
      </c>
    </row>
    <row r="19" spans="1:5" x14ac:dyDescent="0.25">
      <c r="A19" t="s">
        <v>40</v>
      </c>
      <c r="B19" t="s">
        <v>10</v>
      </c>
      <c r="C19" t="s">
        <v>59</v>
      </c>
      <c r="D19">
        <v>2030</v>
      </c>
      <c r="E19">
        <f>CAPEX_Input!F110</f>
        <v>150</v>
      </c>
    </row>
    <row r="20" spans="1:5" x14ac:dyDescent="0.25">
      <c r="A20" t="s">
        <v>40</v>
      </c>
      <c r="B20" t="s">
        <v>11</v>
      </c>
      <c r="C20" t="s">
        <v>59</v>
      </c>
      <c r="D20">
        <v>2030</v>
      </c>
      <c r="E20">
        <f>CAPEX_Input!F111</f>
        <v>160</v>
      </c>
    </row>
    <row r="21" spans="1:5" x14ac:dyDescent="0.25">
      <c r="A21" t="s">
        <v>40</v>
      </c>
      <c r="B21" t="s">
        <v>12</v>
      </c>
      <c r="C21" t="s">
        <v>59</v>
      </c>
      <c r="D21">
        <v>2030</v>
      </c>
      <c r="E21">
        <f>CAPEX_Input!F112</f>
        <v>200</v>
      </c>
    </row>
    <row r="22" spans="1:5" x14ac:dyDescent="0.25">
      <c r="A22" t="s">
        <v>40</v>
      </c>
      <c r="B22" t="s">
        <v>13</v>
      </c>
      <c r="C22" t="s">
        <v>59</v>
      </c>
      <c r="D22">
        <v>2030</v>
      </c>
      <c r="E22">
        <f>CAPEX_Input!F113</f>
        <v>200</v>
      </c>
    </row>
    <row r="23" spans="1:5" x14ac:dyDescent="0.25">
      <c r="A23" t="s">
        <v>40</v>
      </c>
      <c r="B23" t="s">
        <v>14</v>
      </c>
      <c r="C23" t="s">
        <v>59</v>
      </c>
      <c r="D23">
        <v>2030</v>
      </c>
      <c r="E23">
        <f>CAPEX_Input!F114</f>
        <v>270</v>
      </c>
    </row>
    <row r="24" spans="1:5" x14ac:dyDescent="0.25">
      <c r="A24" t="s">
        <v>40</v>
      </c>
      <c r="B24" t="s">
        <v>15</v>
      </c>
      <c r="C24" t="s">
        <v>59</v>
      </c>
      <c r="D24">
        <v>2030</v>
      </c>
      <c r="E24">
        <f>CAPEX_Input!F115</f>
        <v>405</v>
      </c>
    </row>
    <row r="25" spans="1:5" x14ac:dyDescent="0.25">
      <c r="A25" t="s">
        <v>40</v>
      </c>
      <c r="B25" t="s">
        <v>16</v>
      </c>
      <c r="C25" t="s">
        <v>59</v>
      </c>
      <c r="D25">
        <v>2030</v>
      </c>
      <c r="E25">
        <f>CAPEX_Input!F116</f>
        <v>330</v>
      </c>
    </row>
    <row r="26" spans="1:5" x14ac:dyDescent="0.25">
      <c r="A26" t="s">
        <v>40</v>
      </c>
      <c r="B26" t="s">
        <v>17</v>
      </c>
      <c r="C26" t="s">
        <v>59</v>
      </c>
      <c r="D26">
        <v>2030</v>
      </c>
      <c r="E26">
        <f>CAPEX_Input!F117</f>
        <v>405</v>
      </c>
    </row>
    <row r="27" spans="1:5" x14ac:dyDescent="0.25">
      <c r="A27" t="s">
        <v>40</v>
      </c>
      <c r="B27" t="s">
        <v>18</v>
      </c>
      <c r="C27" t="s">
        <v>59</v>
      </c>
      <c r="D27">
        <v>2030</v>
      </c>
      <c r="E27">
        <f>CAPEX_Input!F118</f>
        <v>260</v>
      </c>
    </row>
    <row r="28" spans="1:5" x14ac:dyDescent="0.25">
      <c r="A28" t="s">
        <v>40</v>
      </c>
      <c r="B28" t="s">
        <v>19</v>
      </c>
      <c r="C28" t="s">
        <v>59</v>
      </c>
      <c r="D28">
        <v>2030</v>
      </c>
      <c r="E28">
        <f>CAPEX_Input!F119</f>
        <v>1040</v>
      </c>
    </row>
    <row r="29" spans="1:5" x14ac:dyDescent="0.25">
      <c r="A29" t="s">
        <v>40</v>
      </c>
      <c r="B29" t="s">
        <v>20</v>
      </c>
      <c r="C29" t="s">
        <v>59</v>
      </c>
      <c r="D29">
        <v>2030</v>
      </c>
      <c r="E29">
        <f>CAPEX_Input!F120</f>
        <v>310</v>
      </c>
    </row>
    <row r="30" spans="1:5" x14ac:dyDescent="0.25">
      <c r="A30" t="s">
        <v>40</v>
      </c>
      <c r="B30" t="s">
        <v>21</v>
      </c>
      <c r="C30" t="s">
        <v>59</v>
      </c>
      <c r="D30">
        <v>2030</v>
      </c>
      <c r="E30">
        <f>CAPEX_Input!F121</f>
        <v>1270</v>
      </c>
    </row>
    <row r="31" spans="1:5" x14ac:dyDescent="0.25">
      <c r="A31" t="s">
        <v>40</v>
      </c>
      <c r="B31" t="s">
        <v>22</v>
      </c>
      <c r="C31" t="s">
        <v>59</v>
      </c>
      <c r="D31">
        <v>2030</v>
      </c>
      <c r="E31">
        <f>CAPEX_Input!F122</f>
        <v>300</v>
      </c>
    </row>
    <row r="32" spans="1:5" x14ac:dyDescent="0.25">
      <c r="A32" t="s">
        <v>40</v>
      </c>
      <c r="B32" t="s">
        <v>23</v>
      </c>
      <c r="C32" t="s">
        <v>59</v>
      </c>
      <c r="D32">
        <v>2030</v>
      </c>
      <c r="E32">
        <f>CAPEX_Input!F123</f>
        <v>460</v>
      </c>
    </row>
    <row r="33" spans="1:5" x14ac:dyDescent="0.25">
      <c r="A33" t="s">
        <v>40</v>
      </c>
      <c r="B33" t="s">
        <v>24</v>
      </c>
      <c r="C33" t="s">
        <v>59</v>
      </c>
      <c r="D33">
        <v>2030</v>
      </c>
      <c r="E33">
        <f>CAPEX_Input!F124</f>
        <v>210</v>
      </c>
    </row>
    <row r="34" spans="1:5" x14ac:dyDescent="0.25">
      <c r="A34" t="s">
        <v>40</v>
      </c>
      <c r="B34" t="s">
        <v>7</v>
      </c>
      <c r="C34" t="s">
        <v>59</v>
      </c>
      <c r="D34">
        <v>2040</v>
      </c>
      <c r="E34">
        <f>CAPEX_Input!G109</f>
        <v>100</v>
      </c>
    </row>
    <row r="35" spans="1:5" x14ac:dyDescent="0.25">
      <c r="A35" t="s">
        <v>40</v>
      </c>
      <c r="B35" t="s">
        <v>10</v>
      </c>
      <c r="C35" t="s">
        <v>59</v>
      </c>
      <c r="D35">
        <v>2040</v>
      </c>
      <c r="E35">
        <f>CAPEX_Input!G110</f>
        <v>150</v>
      </c>
    </row>
    <row r="36" spans="1:5" x14ac:dyDescent="0.25">
      <c r="A36" t="s">
        <v>40</v>
      </c>
      <c r="B36" t="s">
        <v>11</v>
      </c>
      <c r="C36" t="s">
        <v>59</v>
      </c>
      <c r="D36">
        <v>2040</v>
      </c>
      <c r="E36">
        <f>CAPEX_Input!G111</f>
        <v>160</v>
      </c>
    </row>
    <row r="37" spans="1:5" x14ac:dyDescent="0.25">
      <c r="A37" t="s">
        <v>40</v>
      </c>
      <c r="B37" t="s">
        <v>12</v>
      </c>
      <c r="C37" t="s">
        <v>59</v>
      </c>
      <c r="D37">
        <v>2040</v>
      </c>
      <c r="E37">
        <f>CAPEX_Input!G112</f>
        <v>200</v>
      </c>
    </row>
    <row r="38" spans="1:5" x14ac:dyDescent="0.25">
      <c r="A38" t="s">
        <v>40</v>
      </c>
      <c r="B38" t="s">
        <v>13</v>
      </c>
      <c r="C38" t="s">
        <v>59</v>
      </c>
      <c r="D38">
        <v>2040</v>
      </c>
      <c r="E38">
        <f>CAPEX_Input!G113</f>
        <v>200</v>
      </c>
    </row>
    <row r="39" spans="1:5" x14ac:dyDescent="0.25">
      <c r="A39" t="s">
        <v>40</v>
      </c>
      <c r="B39" t="s">
        <v>14</v>
      </c>
      <c r="C39" t="s">
        <v>59</v>
      </c>
      <c r="D39">
        <v>2040</v>
      </c>
      <c r="E39">
        <f>CAPEX_Input!G114</f>
        <v>270</v>
      </c>
    </row>
    <row r="40" spans="1:5" x14ac:dyDescent="0.25">
      <c r="A40" t="s">
        <v>40</v>
      </c>
      <c r="B40" t="s">
        <v>15</v>
      </c>
      <c r="C40" t="s">
        <v>59</v>
      </c>
      <c r="D40">
        <v>2040</v>
      </c>
      <c r="E40">
        <f>CAPEX_Input!G115</f>
        <v>405</v>
      </c>
    </row>
    <row r="41" spans="1:5" x14ac:dyDescent="0.25">
      <c r="A41" t="s">
        <v>40</v>
      </c>
      <c r="B41" t="s">
        <v>16</v>
      </c>
      <c r="C41" t="s">
        <v>59</v>
      </c>
      <c r="D41">
        <v>2040</v>
      </c>
      <c r="E41">
        <f>CAPEX_Input!G116</f>
        <v>330</v>
      </c>
    </row>
    <row r="42" spans="1:5" x14ac:dyDescent="0.25">
      <c r="A42" t="s">
        <v>40</v>
      </c>
      <c r="B42" t="s">
        <v>17</v>
      </c>
      <c r="C42" t="s">
        <v>59</v>
      </c>
      <c r="D42">
        <v>2040</v>
      </c>
      <c r="E42">
        <f>CAPEX_Input!G117</f>
        <v>405</v>
      </c>
    </row>
    <row r="43" spans="1:5" x14ac:dyDescent="0.25">
      <c r="A43" t="s">
        <v>40</v>
      </c>
      <c r="B43" t="s">
        <v>18</v>
      </c>
      <c r="C43" t="s">
        <v>59</v>
      </c>
      <c r="D43">
        <v>2040</v>
      </c>
      <c r="E43">
        <f>CAPEX_Input!G118</f>
        <v>260</v>
      </c>
    </row>
    <row r="44" spans="1:5" x14ac:dyDescent="0.25">
      <c r="A44" t="s">
        <v>40</v>
      </c>
      <c r="B44" t="s">
        <v>19</v>
      </c>
      <c r="C44" t="s">
        <v>59</v>
      </c>
      <c r="D44">
        <v>2040</v>
      </c>
      <c r="E44">
        <f>CAPEX_Input!G119</f>
        <v>1040</v>
      </c>
    </row>
    <row r="45" spans="1:5" x14ac:dyDescent="0.25">
      <c r="A45" t="s">
        <v>40</v>
      </c>
      <c r="B45" t="s">
        <v>20</v>
      </c>
      <c r="C45" t="s">
        <v>59</v>
      </c>
      <c r="D45">
        <v>2040</v>
      </c>
      <c r="E45">
        <f>CAPEX_Input!G120</f>
        <v>310</v>
      </c>
    </row>
    <row r="46" spans="1:5" x14ac:dyDescent="0.25">
      <c r="A46" t="s">
        <v>40</v>
      </c>
      <c r="B46" t="s">
        <v>21</v>
      </c>
      <c r="C46" t="s">
        <v>59</v>
      </c>
      <c r="D46">
        <v>2040</v>
      </c>
      <c r="E46">
        <f>CAPEX_Input!G121</f>
        <v>1270</v>
      </c>
    </row>
    <row r="47" spans="1:5" x14ac:dyDescent="0.25">
      <c r="A47" t="s">
        <v>40</v>
      </c>
      <c r="B47" t="s">
        <v>22</v>
      </c>
      <c r="C47" t="s">
        <v>59</v>
      </c>
      <c r="D47">
        <v>2040</v>
      </c>
      <c r="E47">
        <f>CAPEX_Input!G122</f>
        <v>300</v>
      </c>
    </row>
    <row r="48" spans="1:5" x14ac:dyDescent="0.25">
      <c r="A48" t="s">
        <v>40</v>
      </c>
      <c r="B48" t="s">
        <v>23</v>
      </c>
      <c r="C48" t="s">
        <v>59</v>
      </c>
      <c r="D48">
        <v>2040</v>
      </c>
      <c r="E48">
        <f>CAPEX_Input!G123</f>
        <v>460</v>
      </c>
    </row>
    <row r="49" spans="1:5" x14ac:dyDescent="0.25">
      <c r="A49" t="s">
        <v>40</v>
      </c>
      <c r="B49" t="s">
        <v>24</v>
      </c>
      <c r="C49" t="s">
        <v>59</v>
      </c>
      <c r="D49">
        <v>2040</v>
      </c>
      <c r="E49">
        <f>CAPEX_Input!G124</f>
        <v>210</v>
      </c>
    </row>
    <row r="50" spans="1:5" x14ac:dyDescent="0.25">
      <c r="A50" t="s">
        <v>48</v>
      </c>
      <c r="B50" t="s">
        <v>7</v>
      </c>
      <c r="C50" t="s">
        <v>67</v>
      </c>
      <c r="D50">
        <v>2022</v>
      </c>
      <c r="E50">
        <f>CAPEX_Input!L109</f>
        <v>6</v>
      </c>
    </row>
    <row r="51" spans="1:5" x14ac:dyDescent="0.25">
      <c r="A51" t="s">
        <v>48</v>
      </c>
      <c r="B51" t="s">
        <v>10</v>
      </c>
      <c r="C51" t="s">
        <v>67</v>
      </c>
      <c r="D51">
        <v>2022</v>
      </c>
      <c r="E51">
        <f>CAPEX_Input!L110</f>
        <v>9</v>
      </c>
    </row>
    <row r="52" spans="1:5" x14ac:dyDescent="0.25">
      <c r="A52" t="s">
        <v>48</v>
      </c>
      <c r="B52" t="s">
        <v>11</v>
      </c>
      <c r="C52" t="s">
        <v>67</v>
      </c>
      <c r="D52">
        <v>2022</v>
      </c>
      <c r="E52">
        <f>CAPEX_Input!L111</f>
        <v>9</v>
      </c>
    </row>
    <row r="53" spans="1:5" x14ac:dyDescent="0.25">
      <c r="A53" t="s">
        <v>48</v>
      </c>
      <c r="B53" t="s">
        <v>12</v>
      </c>
      <c r="C53" t="s">
        <v>67</v>
      </c>
      <c r="D53">
        <v>2022</v>
      </c>
      <c r="E53">
        <f>CAPEX_Input!L112</f>
        <v>11</v>
      </c>
    </row>
    <row r="54" spans="1:5" x14ac:dyDescent="0.25">
      <c r="A54" t="s">
        <v>48</v>
      </c>
      <c r="B54" t="s">
        <v>13</v>
      </c>
      <c r="C54" t="s">
        <v>67</v>
      </c>
      <c r="D54">
        <v>2022</v>
      </c>
      <c r="E54">
        <f>CAPEX_Input!L113</f>
        <v>12</v>
      </c>
    </row>
    <row r="55" spans="1:5" x14ac:dyDescent="0.25">
      <c r="A55" t="s">
        <v>48</v>
      </c>
      <c r="B55" t="s">
        <v>14</v>
      </c>
      <c r="C55" t="s">
        <v>67</v>
      </c>
      <c r="D55">
        <v>2022</v>
      </c>
      <c r="E55">
        <f>CAPEX_Input!L114</f>
        <v>17</v>
      </c>
    </row>
    <row r="56" spans="1:5" x14ac:dyDescent="0.25">
      <c r="A56" t="s">
        <v>48</v>
      </c>
      <c r="B56" t="s">
        <v>15</v>
      </c>
      <c r="C56" t="s">
        <v>67</v>
      </c>
      <c r="D56">
        <v>2022</v>
      </c>
      <c r="E56">
        <f>CAPEX_Input!L115</f>
        <v>68</v>
      </c>
    </row>
    <row r="57" spans="1:5" x14ac:dyDescent="0.25">
      <c r="A57" t="s">
        <v>48</v>
      </c>
      <c r="B57" t="s">
        <v>16</v>
      </c>
      <c r="C57" t="s">
        <v>67</v>
      </c>
      <c r="D57">
        <v>2022</v>
      </c>
      <c r="E57">
        <f>CAPEX_Input!L116</f>
        <v>21</v>
      </c>
    </row>
    <row r="58" spans="1:5" x14ac:dyDescent="0.25">
      <c r="A58" t="s">
        <v>48</v>
      </c>
      <c r="B58" t="s">
        <v>17</v>
      </c>
      <c r="C58" t="s">
        <v>67</v>
      </c>
      <c r="D58">
        <v>2022</v>
      </c>
      <c r="E58">
        <f>CAPEX_Input!L117</f>
        <v>45</v>
      </c>
    </row>
    <row r="59" spans="1:5" x14ac:dyDescent="0.25">
      <c r="A59" t="s">
        <v>48</v>
      </c>
      <c r="B59" t="s">
        <v>18</v>
      </c>
      <c r="C59" t="s">
        <v>67</v>
      </c>
      <c r="D59">
        <v>2022</v>
      </c>
      <c r="E59">
        <f>CAPEX_Input!L118</f>
        <v>16</v>
      </c>
    </row>
    <row r="60" spans="1:5" x14ac:dyDescent="0.25">
      <c r="A60" t="s">
        <v>48</v>
      </c>
      <c r="B60" t="s">
        <v>19</v>
      </c>
      <c r="C60" t="s">
        <v>67</v>
      </c>
      <c r="D60">
        <v>2022</v>
      </c>
      <c r="E60">
        <f>CAPEX_Input!L119</f>
        <v>67</v>
      </c>
    </row>
    <row r="61" spans="1:5" x14ac:dyDescent="0.25">
      <c r="A61" t="s">
        <v>48</v>
      </c>
      <c r="B61" t="s">
        <v>20</v>
      </c>
      <c r="C61" t="s">
        <v>67</v>
      </c>
      <c r="D61">
        <v>2022</v>
      </c>
      <c r="E61">
        <f>CAPEX_Input!L120</f>
        <v>18</v>
      </c>
    </row>
    <row r="62" spans="1:5" x14ac:dyDescent="0.25">
      <c r="A62" t="s">
        <v>48</v>
      </c>
      <c r="B62" t="s">
        <v>21</v>
      </c>
      <c r="C62" t="s">
        <v>67</v>
      </c>
      <c r="D62">
        <v>2022</v>
      </c>
      <c r="E62">
        <f>CAPEX_Input!L121</f>
        <v>80</v>
      </c>
    </row>
    <row r="63" spans="1:5" x14ac:dyDescent="0.25">
      <c r="A63" t="s">
        <v>48</v>
      </c>
      <c r="B63" t="s">
        <v>22</v>
      </c>
      <c r="C63" t="s">
        <v>67</v>
      </c>
      <c r="D63">
        <v>2022</v>
      </c>
      <c r="E63">
        <f>CAPEX_Input!L122</f>
        <v>17</v>
      </c>
    </row>
    <row r="64" spans="1:5" x14ac:dyDescent="0.25">
      <c r="A64" t="s">
        <v>48</v>
      </c>
      <c r="B64" t="s">
        <v>23</v>
      </c>
      <c r="C64" t="s">
        <v>67</v>
      </c>
      <c r="D64">
        <v>2022</v>
      </c>
      <c r="E64">
        <f>CAPEX_Input!L123</f>
        <v>27</v>
      </c>
    </row>
    <row r="65" spans="1:5" x14ac:dyDescent="0.25">
      <c r="A65" t="s">
        <v>48</v>
      </c>
      <c r="B65" t="s">
        <v>24</v>
      </c>
      <c r="C65" t="s">
        <v>67</v>
      </c>
      <c r="D65">
        <v>2022</v>
      </c>
      <c r="E65">
        <f>CAPEX_Input!L124</f>
        <v>13</v>
      </c>
    </row>
    <row r="66" spans="1:5" x14ac:dyDescent="0.25">
      <c r="A66" t="s">
        <v>48</v>
      </c>
      <c r="B66" t="s">
        <v>7</v>
      </c>
      <c r="C66" t="s">
        <v>67</v>
      </c>
      <c r="D66">
        <v>2030</v>
      </c>
      <c r="E66">
        <f>CAPEX_Input!M109</f>
        <v>4</v>
      </c>
    </row>
    <row r="67" spans="1:5" x14ac:dyDescent="0.25">
      <c r="A67" t="s">
        <v>48</v>
      </c>
      <c r="B67" t="s">
        <v>10</v>
      </c>
      <c r="C67" t="s">
        <v>67</v>
      </c>
      <c r="D67">
        <v>2030</v>
      </c>
      <c r="E67">
        <f>CAPEX_Input!M110</f>
        <v>7</v>
      </c>
    </row>
    <row r="68" spans="1:5" x14ac:dyDescent="0.25">
      <c r="A68" t="s">
        <v>48</v>
      </c>
      <c r="B68" t="s">
        <v>11</v>
      </c>
      <c r="C68" t="s">
        <v>67</v>
      </c>
      <c r="D68">
        <v>2030</v>
      </c>
      <c r="E68">
        <f>CAPEX_Input!M111</f>
        <v>7</v>
      </c>
    </row>
    <row r="69" spans="1:5" x14ac:dyDescent="0.25">
      <c r="A69" t="s">
        <v>48</v>
      </c>
      <c r="B69" t="s">
        <v>12</v>
      </c>
      <c r="C69" t="s">
        <v>67</v>
      </c>
      <c r="D69">
        <v>2030</v>
      </c>
      <c r="E69">
        <f>CAPEX_Input!M112</f>
        <v>9</v>
      </c>
    </row>
    <row r="70" spans="1:5" x14ac:dyDescent="0.25">
      <c r="A70" t="s">
        <v>48</v>
      </c>
      <c r="B70" t="s">
        <v>13</v>
      </c>
      <c r="C70" t="s">
        <v>67</v>
      </c>
      <c r="D70">
        <v>2030</v>
      </c>
      <c r="E70">
        <f>CAPEX_Input!M113</f>
        <v>8</v>
      </c>
    </row>
    <row r="71" spans="1:5" x14ac:dyDescent="0.25">
      <c r="A71" t="s">
        <v>48</v>
      </c>
      <c r="B71" t="s">
        <v>14</v>
      </c>
      <c r="C71" t="s">
        <v>67</v>
      </c>
      <c r="D71">
        <v>2030</v>
      </c>
      <c r="E71">
        <f>CAPEX_Input!M114</f>
        <v>12</v>
      </c>
    </row>
    <row r="72" spans="1:5" x14ac:dyDescent="0.25">
      <c r="A72" t="s">
        <v>48</v>
      </c>
      <c r="B72" t="s">
        <v>15</v>
      </c>
      <c r="C72" t="s">
        <v>67</v>
      </c>
      <c r="D72">
        <v>2030</v>
      </c>
      <c r="E72">
        <f>CAPEX_Input!M115</f>
        <v>49</v>
      </c>
    </row>
    <row r="73" spans="1:5" x14ac:dyDescent="0.25">
      <c r="A73" t="s">
        <v>48</v>
      </c>
      <c r="B73" t="s">
        <v>16</v>
      </c>
      <c r="C73" t="s">
        <v>67</v>
      </c>
      <c r="D73">
        <v>2030</v>
      </c>
      <c r="E73">
        <f>CAPEX_Input!M116</f>
        <v>14</v>
      </c>
    </row>
    <row r="74" spans="1:5" x14ac:dyDescent="0.25">
      <c r="A74" t="s">
        <v>48</v>
      </c>
      <c r="B74" t="s">
        <v>17</v>
      </c>
      <c r="C74" t="s">
        <v>67</v>
      </c>
      <c r="D74">
        <v>2030</v>
      </c>
      <c r="E74">
        <f>CAPEX_Input!M117</f>
        <v>33</v>
      </c>
    </row>
    <row r="75" spans="1:5" x14ac:dyDescent="0.25">
      <c r="A75" t="s">
        <v>48</v>
      </c>
      <c r="B75" t="s">
        <v>18</v>
      </c>
      <c r="C75" t="s">
        <v>67</v>
      </c>
      <c r="D75">
        <v>2030</v>
      </c>
      <c r="E75">
        <f>CAPEX_Input!M118</f>
        <v>11</v>
      </c>
    </row>
    <row r="76" spans="1:5" x14ac:dyDescent="0.25">
      <c r="A76" t="s">
        <v>48</v>
      </c>
      <c r="B76" t="s">
        <v>19</v>
      </c>
      <c r="C76" t="s">
        <v>67</v>
      </c>
      <c r="D76">
        <v>2030</v>
      </c>
      <c r="E76">
        <f>CAPEX_Input!M119</f>
        <v>49</v>
      </c>
    </row>
    <row r="77" spans="1:5" x14ac:dyDescent="0.25">
      <c r="A77" t="s">
        <v>48</v>
      </c>
      <c r="B77" t="s">
        <v>20</v>
      </c>
      <c r="C77" t="s">
        <v>67</v>
      </c>
      <c r="D77">
        <v>2030</v>
      </c>
      <c r="E77">
        <f>CAPEX_Input!M120</f>
        <v>13</v>
      </c>
    </row>
    <row r="78" spans="1:5" x14ac:dyDescent="0.25">
      <c r="A78" t="s">
        <v>48</v>
      </c>
      <c r="B78" t="s">
        <v>21</v>
      </c>
      <c r="C78" t="s">
        <v>67</v>
      </c>
      <c r="D78">
        <v>2030</v>
      </c>
      <c r="E78">
        <f>CAPEX_Input!M121</f>
        <v>59</v>
      </c>
    </row>
    <row r="79" spans="1:5" x14ac:dyDescent="0.25">
      <c r="A79" t="s">
        <v>48</v>
      </c>
      <c r="B79" t="s">
        <v>22</v>
      </c>
      <c r="C79" t="s">
        <v>67</v>
      </c>
      <c r="D79">
        <v>2030</v>
      </c>
      <c r="E79">
        <f>CAPEX_Input!M122</f>
        <v>13</v>
      </c>
    </row>
    <row r="80" spans="1:5" x14ac:dyDescent="0.25">
      <c r="A80" t="s">
        <v>48</v>
      </c>
      <c r="B80" t="s">
        <v>23</v>
      </c>
      <c r="C80" t="s">
        <v>67</v>
      </c>
      <c r="D80">
        <v>2030</v>
      </c>
      <c r="E80">
        <f>CAPEX_Input!M123</f>
        <v>19</v>
      </c>
    </row>
    <row r="81" spans="1:5" x14ac:dyDescent="0.25">
      <c r="A81" t="s">
        <v>48</v>
      </c>
      <c r="B81" t="s">
        <v>24</v>
      </c>
      <c r="C81" t="s">
        <v>67</v>
      </c>
      <c r="D81">
        <v>2030</v>
      </c>
      <c r="E81">
        <f>CAPEX_Input!M124</f>
        <v>9</v>
      </c>
    </row>
    <row r="82" spans="1:5" x14ac:dyDescent="0.25">
      <c r="A82" t="s">
        <v>48</v>
      </c>
      <c r="B82" t="s">
        <v>7</v>
      </c>
      <c r="C82" t="s">
        <v>67</v>
      </c>
      <c r="D82">
        <v>2040</v>
      </c>
      <c r="E82">
        <f>CAPEX_Input!N109</f>
        <v>4</v>
      </c>
    </row>
    <row r="83" spans="1:5" x14ac:dyDescent="0.25">
      <c r="A83" t="s">
        <v>48</v>
      </c>
      <c r="B83" t="s">
        <v>10</v>
      </c>
      <c r="C83" t="s">
        <v>67</v>
      </c>
      <c r="D83">
        <v>2040</v>
      </c>
      <c r="E83">
        <f>CAPEX_Input!N110</f>
        <v>6</v>
      </c>
    </row>
    <row r="84" spans="1:5" x14ac:dyDescent="0.25">
      <c r="A84" t="s">
        <v>48</v>
      </c>
      <c r="B84" t="s">
        <v>11</v>
      </c>
      <c r="C84" t="s">
        <v>67</v>
      </c>
      <c r="D84">
        <v>2040</v>
      </c>
      <c r="E84">
        <f>CAPEX_Input!N111</f>
        <v>6</v>
      </c>
    </row>
    <row r="85" spans="1:5" x14ac:dyDescent="0.25">
      <c r="A85" t="s">
        <v>48</v>
      </c>
      <c r="B85" t="s">
        <v>12</v>
      </c>
      <c r="C85" t="s">
        <v>67</v>
      </c>
      <c r="D85">
        <v>2040</v>
      </c>
      <c r="E85">
        <f>CAPEX_Input!N112</f>
        <v>8</v>
      </c>
    </row>
    <row r="86" spans="1:5" x14ac:dyDescent="0.25">
      <c r="A86" t="s">
        <v>48</v>
      </c>
      <c r="B86" t="s">
        <v>13</v>
      </c>
      <c r="C86" t="s">
        <v>67</v>
      </c>
      <c r="D86">
        <v>2040</v>
      </c>
      <c r="E86">
        <f>CAPEX_Input!N113</f>
        <v>8</v>
      </c>
    </row>
    <row r="87" spans="1:5" x14ac:dyDescent="0.25">
      <c r="A87" t="s">
        <v>48</v>
      </c>
      <c r="B87" t="s">
        <v>14</v>
      </c>
      <c r="C87" t="s">
        <v>67</v>
      </c>
      <c r="D87">
        <v>2040</v>
      </c>
      <c r="E87">
        <f>CAPEX_Input!N114</f>
        <v>11</v>
      </c>
    </row>
    <row r="88" spans="1:5" x14ac:dyDescent="0.25">
      <c r="A88" t="s">
        <v>48</v>
      </c>
      <c r="B88" t="s">
        <v>15</v>
      </c>
      <c r="C88" t="s">
        <v>67</v>
      </c>
      <c r="D88">
        <v>2040</v>
      </c>
      <c r="E88">
        <f>CAPEX_Input!N115</f>
        <v>46</v>
      </c>
    </row>
    <row r="89" spans="1:5" x14ac:dyDescent="0.25">
      <c r="A89" t="s">
        <v>48</v>
      </c>
      <c r="B89" t="s">
        <v>16</v>
      </c>
      <c r="C89" t="s">
        <v>67</v>
      </c>
      <c r="D89">
        <v>2040</v>
      </c>
      <c r="E89">
        <f>CAPEX_Input!N116</f>
        <v>13</v>
      </c>
    </row>
    <row r="90" spans="1:5" x14ac:dyDescent="0.25">
      <c r="A90" t="s">
        <v>48</v>
      </c>
      <c r="B90" t="s">
        <v>17</v>
      </c>
      <c r="C90" t="s">
        <v>67</v>
      </c>
      <c r="D90">
        <v>2040</v>
      </c>
      <c r="E90">
        <f>CAPEX_Input!N117</f>
        <v>32</v>
      </c>
    </row>
    <row r="91" spans="1:5" x14ac:dyDescent="0.25">
      <c r="A91" t="s">
        <v>48</v>
      </c>
      <c r="B91" t="s">
        <v>18</v>
      </c>
      <c r="C91" t="s">
        <v>67</v>
      </c>
      <c r="D91">
        <v>2040</v>
      </c>
      <c r="E91">
        <f>CAPEX_Input!N118</f>
        <v>10</v>
      </c>
    </row>
    <row r="92" spans="1:5" x14ac:dyDescent="0.25">
      <c r="A92" t="s">
        <v>48</v>
      </c>
      <c r="B92" t="s">
        <v>19</v>
      </c>
      <c r="C92" t="s">
        <v>67</v>
      </c>
      <c r="D92">
        <v>2040</v>
      </c>
      <c r="E92">
        <f>CAPEX_Input!N119</f>
        <v>46</v>
      </c>
    </row>
    <row r="93" spans="1:5" x14ac:dyDescent="0.25">
      <c r="A93" t="s">
        <v>48</v>
      </c>
      <c r="B93" t="s">
        <v>20</v>
      </c>
      <c r="C93" t="s">
        <v>67</v>
      </c>
      <c r="D93">
        <v>2040</v>
      </c>
      <c r="E93">
        <f>CAPEX_Input!N120</f>
        <v>12</v>
      </c>
    </row>
    <row r="94" spans="1:5" x14ac:dyDescent="0.25">
      <c r="A94" t="s">
        <v>48</v>
      </c>
      <c r="B94" t="s">
        <v>21</v>
      </c>
      <c r="C94" t="s">
        <v>67</v>
      </c>
      <c r="D94">
        <v>2040</v>
      </c>
      <c r="E94">
        <f>CAPEX_Input!N121</f>
        <v>56</v>
      </c>
    </row>
    <row r="95" spans="1:5" x14ac:dyDescent="0.25">
      <c r="A95" t="s">
        <v>48</v>
      </c>
      <c r="B95" t="s">
        <v>22</v>
      </c>
      <c r="C95" t="s">
        <v>67</v>
      </c>
      <c r="D95">
        <v>2040</v>
      </c>
      <c r="E95">
        <f>CAPEX_Input!N122</f>
        <v>12</v>
      </c>
    </row>
    <row r="96" spans="1:5" x14ac:dyDescent="0.25">
      <c r="A96" t="s">
        <v>48</v>
      </c>
      <c r="B96" t="s">
        <v>23</v>
      </c>
      <c r="C96" t="s">
        <v>67</v>
      </c>
      <c r="D96">
        <v>2040</v>
      </c>
      <c r="E96">
        <f>CAPEX_Input!N123</f>
        <v>18</v>
      </c>
    </row>
    <row r="97" spans="1:5" x14ac:dyDescent="0.25">
      <c r="A97" t="s">
        <v>48</v>
      </c>
      <c r="B97" t="s">
        <v>24</v>
      </c>
      <c r="C97" t="s">
        <v>67</v>
      </c>
      <c r="D97">
        <v>2040</v>
      </c>
      <c r="E97">
        <f>CAPEX_Input!N124</f>
        <v>8</v>
      </c>
    </row>
    <row r="98" spans="1:5" x14ac:dyDescent="0.25">
      <c r="A98" t="s">
        <v>48</v>
      </c>
      <c r="B98" t="s">
        <v>7</v>
      </c>
      <c r="C98" t="s">
        <v>68</v>
      </c>
      <c r="D98">
        <v>2022</v>
      </c>
      <c r="E98">
        <f>CAPEX_Input!J109</f>
        <v>100</v>
      </c>
    </row>
    <row r="99" spans="1:5" x14ac:dyDescent="0.25">
      <c r="A99" t="s">
        <v>48</v>
      </c>
      <c r="B99" t="s">
        <v>10</v>
      </c>
      <c r="C99" t="s">
        <v>68</v>
      </c>
      <c r="D99">
        <v>2022</v>
      </c>
      <c r="E99">
        <f>CAPEX_Input!J110</f>
        <v>100</v>
      </c>
    </row>
    <row r="100" spans="1:5" x14ac:dyDescent="0.25">
      <c r="A100" t="s">
        <v>48</v>
      </c>
      <c r="B100" t="s">
        <v>11</v>
      </c>
      <c r="C100" t="s">
        <v>68</v>
      </c>
      <c r="D100">
        <v>2022</v>
      </c>
      <c r="E100">
        <f>CAPEX_Input!J111</f>
        <v>100</v>
      </c>
    </row>
    <row r="101" spans="1:5" x14ac:dyDescent="0.25">
      <c r="A101" t="s">
        <v>48</v>
      </c>
      <c r="B101" t="s">
        <v>12</v>
      </c>
      <c r="C101" t="s">
        <v>68</v>
      </c>
      <c r="D101">
        <v>2022</v>
      </c>
      <c r="E101">
        <f>CAPEX_Input!J112</f>
        <v>100</v>
      </c>
    </row>
    <row r="102" spans="1:5" x14ac:dyDescent="0.25">
      <c r="A102" t="s">
        <v>48</v>
      </c>
      <c r="B102" t="s">
        <v>13</v>
      </c>
      <c r="C102" t="s">
        <v>68</v>
      </c>
      <c r="D102">
        <v>2022</v>
      </c>
      <c r="E102">
        <f>CAPEX_Input!J113</f>
        <v>100</v>
      </c>
    </row>
    <row r="103" spans="1:5" x14ac:dyDescent="0.25">
      <c r="A103" t="s">
        <v>48</v>
      </c>
      <c r="B103" t="s">
        <v>14</v>
      </c>
      <c r="C103" t="s">
        <v>68</v>
      </c>
      <c r="D103">
        <v>2022</v>
      </c>
      <c r="E103">
        <f>CAPEX_Input!J114</f>
        <v>200</v>
      </c>
    </row>
    <row r="104" spans="1:5" x14ac:dyDescent="0.25">
      <c r="A104" t="s">
        <v>48</v>
      </c>
      <c r="B104" t="s">
        <v>15</v>
      </c>
      <c r="C104" t="s">
        <v>68</v>
      </c>
      <c r="D104">
        <v>2022</v>
      </c>
      <c r="E104">
        <f>CAPEX_Input!J115</f>
        <v>200</v>
      </c>
    </row>
    <row r="105" spans="1:5" x14ac:dyDescent="0.25">
      <c r="A105" t="s">
        <v>48</v>
      </c>
      <c r="B105" t="s">
        <v>16</v>
      </c>
      <c r="C105" t="s">
        <v>68</v>
      </c>
      <c r="D105">
        <v>2022</v>
      </c>
      <c r="E105">
        <f>CAPEX_Input!J116</f>
        <v>200</v>
      </c>
    </row>
    <row r="106" spans="1:5" x14ac:dyDescent="0.25">
      <c r="A106" t="s">
        <v>48</v>
      </c>
      <c r="B106" t="s">
        <v>17</v>
      </c>
      <c r="C106" t="s">
        <v>68</v>
      </c>
      <c r="D106">
        <v>2022</v>
      </c>
      <c r="E106">
        <f>CAPEX_Input!J117</f>
        <v>200</v>
      </c>
    </row>
    <row r="107" spans="1:5" x14ac:dyDescent="0.25">
      <c r="A107" t="s">
        <v>48</v>
      </c>
      <c r="B107" t="s">
        <v>18</v>
      </c>
      <c r="C107" t="s">
        <v>68</v>
      </c>
      <c r="D107">
        <v>2022</v>
      </c>
      <c r="E107">
        <f>CAPEX_Input!J118</f>
        <v>200</v>
      </c>
    </row>
    <row r="108" spans="1:5" x14ac:dyDescent="0.25">
      <c r="A108" t="s">
        <v>48</v>
      </c>
      <c r="B108" t="s">
        <v>19</v>
      </c>
      <c r="C108" t="s">
        <v>68</v>
      </c>
      <c r="D108">
        <v>2022</v>
      </c>
      <c r="E108">
        <f>CAPEX_Input!J119</f>
        <v>200</v>
      </c>
    </row>
    <row r="109" spans="1:5" x14ac:dyDescent="0.25">
      <c r="A109" t="s">
        <v>48</v>
      </c>
      <c r="B109" t="s">
        <v>20</v>
      </c>
      <c r="C109" t="s">
        <v>68</v>
      </c>
      <c r="D109">
        <v>2022</v>
      </c>
      <c r="E109">
        <f>CAPEX_Input!J120</f>
        <v>200</v>
      </c>
    </row>
    <row r="110" spans="1:5" x14ac:dyDescent="0.25">
      <c r="A110" t="s">
        <v>48</v>
      </c>
      <c r="B110" t="s">
        <v>21</v>
      </c>
      <c r="C110" t="s">
        <v>68</v>
      </c>
      <c r="D110">
        <v>2022</v>
      </c>
      <c r="E110">
        <f>CAPEX_Input!J121</f>
        <v>200</v>
      </c>
    </row>
    <row r="111" spans="1:5" x14ac:dyDescent="0.25">
      <c r="A111" t="s">
        <v>48</v>
      </c>
      <c r="B111" t="s">
        <v>22</v>
      </c>
      <c r="C111" t="s">
        <v>68</v>
      </c>
      <c r="D111">
        <v>2022</v>
      </c>
      <c r="E111">
        <f>CAPEX_Input!J122</f>
        <v>200</v>
      </c>
    </row>
    <row r="112" spans="1:5" x14ac:dyDescent="0.25">
      <c r="A112" t="s">
        <v>48</v>
      </c>
      <c r="B112" t="s">
        <v>23</v>
      </c>
      <c r="C112" t="s">
        <v>68</v>
      </c>
      <c r="D112">
        <v>2022</v>
      </c>
      <c r="E112">
        <f>CAPEX_Input!J123</f>
        <v>200</v>
      </c>
    </row>
    <row r="113" spans="1:5" x14ac:dyDescent="0.25">
      <c r="A113" t="s">
        <v>48</v>
      </c>
      <c r="B113" t="s">
        <v>24</v>
      </c>
      <c r="C113" t="s">
        <v>68</v>
      </c>
      <c r="D113">
        <v>2022</v>
      </c>
      <c r="E113">
        <f>CAPEX_Input!J124</f>
        <v>200</v>
      </c>
    </row>
    <row r="114" spans="1:5" x14ac:dyDescent="0.25">
      <c r="A114" t="s">
        <v>48</v>
      </c>
      <c r="B114" t="s">
        <v>7</v>
      </c>
      <c r="C114" t="s">
        <v>69</v>
      </c>
      <c r="D114">
        <v>2022</v>
      </c>
      <c r="E114">
        <f>CAPEX_Input!K109</f>
        <v>100</v>
      </c>
    </row>
    <row r="115" spans="1:5" x14ac:dyDescent="0.25">
      <c r="A115" t="s">
        <v>48</v>
      </c>
      <c r="B115" t="s">
        <v>10</v>
      </c>
      <c r="C115" t="s">
        <v>69</v>
      </c>
      <c r="D115">
        <v>2022</v>
      </c>
      <c r="E115">
        <f>CAPEX_Input!K110</f>
        <v>100</v>
      </c>
    </row>
    <row r="116" spans="1:5" x14ac:dyDescent="0.25">
      <c r="A116" t="s">
        <v>48</v>
      </c>
      <c r="B116" t="s">
        <v>11</v>
      </c>
      <c r="C116" t="s">
        <v>69</v>
      </c>
      <c r="D116">
        <v>2022</v>
      </c>
      <c r="E116">
        <f>CAPEX_Input!K111</f>
        <v>100</v>
      </c>
    </row>
    <row r="117" spans="1:5" x14ac:dyDescent="0.25">
      <c r="A117" t="s">
        <v>48</v>
      </c>
      <c r="B117" t="s">
        <v>12</v>
      </c>
      <c r="C117" t="s">
        <v>69</v>
      </c>
      <c r="D117">
        <v>2022</v>
      </c>
      <c r="E117">
        <f>CAPEX_Input!K112</f>
        <v>100</v>
      </c>
    </row>
    <row r="118" spans="1:5" x14ac:dyDescent="0.25">
      <c r="A118" t="s">
        <v>48</v>
      </c>
      <c r="B118" t="s">
        <v>13</v>
      </c>
      <c r="C118" t="s">
        <v>69</v>
      </c>
      <c r="D118">
        <v>2022</v>
      </c>
      <c r="E118">
        <f>CAPEX_Input!K113</f>
        <v>100</v>
      </c>
    </row>
    <row r="119" spans="1:5" x14ac:dyDescent="0.25">
      <c r="A119" t="s">
        <v>48</v>
      </c>
      <c r="B119" t="s">
        <v>14</v>
      </c>
      <c r="C119" t="s">
        <v>69</v>
      </c>
      <c r="D119">
        <v>2022</v>
      </c>
      <c r="E119">
        <f>CAPEX_Input!K114</f>
        <v>100</v>
      </c>
    </row>
    <row r="120" spans="1:5" x14ac:dyDescent="0.25">
      <c r="A120" t="s">
        <v>48</v>
      </c>
      <c r="B120" t="s">
        <v>15</v>
      </c>
      <c r="C120" t="s">
        <v>69</v>
      </c>
      <c r="D120">
        <v>2022</v>
      </c>
      <c r="E120">
        <f>CAPEX_Input!K115</f>
        <v>100</v>
      </c>
    </row>
    <row r="121" spans="1:5" x14ac:dyDescent="0.25">
      <c r="A121" t="s">
        <v>48</v>
      </c>
      <c r="B121" t="s">
        <v>16</v>
      </c>
      <c r="C121" t="s">
        <v>69</v>
      </c>
      <c r="D121">
        <v>2022</v>
      </c>
      <c r="E121">
        <f>CAPEX_Input!K116</f>
        <v>100</v>
      </c>
    </row>
    <row r="122" spans="1:5" x14ac:dyDescent="0.25">
      <c r="A122" t="s">
        <v>48</v>
      </c>
      <c r="B122" t="s">
        <v>17</v>
      </c>
      <c r="C122" t="s">
        <v>69</v>
      </c>
      <c r="D122">
        <v>2022</v>
      </c>
      <c r="E122">
        <f>CAPEX_Input!K117</f>
        <v>100</v>
      </c>
    </row>
    <row r="123" spans="1:5" x14ac:dyDescent="0.25">
      <c r="A123" t="s">
        <v>48</v>
      </c>
      <c r="B123" t="s">
        <v>18</v>
      </c>
      <c r="C123" t="s">
        <v>69</v>
      </c>
      <c r="D123">
        <v>2022</v>
      </c>
      <c r="E123">
        <f>CAPEX_Input!K118</f>
        <v>100</v>
      </c>
    </row>
    <row r="124" spans="1:5" x14ac:dyDescent="0.25">
      <c r="A124" t="s">
        <v>48</v>
      </c>
      <c r="B124" t="s">
        <v>19</v>
      </c>
      <c r="C124" t="s">
        <v>69</v>
      </c>
      <c r="D124">
        <v>2022</v>
      </c>
      <c r="E124">
        <f>CAPEX_Input!K119</f>
        <v>100</v>
      </c>
    </row>
    <row r="125" spans="1:5" x14ac:dyDescent="0.25">
      <c r="A125" t="s">
        <v>48</v>
      </c>
      <c r="B125" t="s">
        <v>20</v>
      </c>
      <c r="C125" t="s">
        <v>69</v>
      </c>
      <c r="D125">
        <v>2022</v>
      </c>
      <c r="E125">
        <f>CAPEX_Input!K120</f>
        <v>100</v>
      </c>
    </row>
    <row r="126" spans="1:5" x14ac:dyDescent="0.25">
      <c r="A126" t="s">
        <v>48</v>
      </c>
      <c r="B126" t="s">
        <v>21</v>
      </c>
      <c r="C126" t="s">
        <v>69</v>
      </c>
      <c r="D126">
        <v>2022</v>
      </c>
      <c r="E126">
        <f>CAPEX_Input!K121</f>
        <v>100</v>
      </c>
    </row>
    <row r="127" spans="1:5" x14ac:dyDescent="0.25">
      <c r="A127" t="s">
        <v>48</v>
      </c>
      <c r="B127" t="s">
        <v>22</v>
      </c>
      <c r="C127" t="s">
        <v>69</v>
      </c>
      <c r="D127">
        <v>2022</v>
      </c>
      <c r="E127">
        <f>CAPEX_Input!K122</f>
        <v>100</v>
      </c>
    </row>
    <row r="128" spans="1:5" x14ac:dyDescent="0.25">
      <c r="A128" t="s">
        <v>48</v>
      </c>
      <c r="B128" t="s">
        <v>23</v>
      </c>
      <c r="C128" t="s">
        <v>69</v>
      </c>
      <c r="D128">
        <v>2022</v>
      </c>
      <c r="E128">
        <f>CAPEX_Input!K123</f>
        <v>100</v>
      </c>
    </row>
    <row r="129" spans="1:5" x14ac:dyDescent="0.25">
      <c r="A129" t="s">
        <v>48</v>
      </c>
      <c r="B129" t="s">
        <v>24</v>
      </c>
      <c r="C129" t="s">
        <v>69</v>
      </c>
      <c r="D129">
        <v>2022</v>
      </c>
      <c r="E129">
        <f>CAPEX_Input!K124</f>
        <v>100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FDE16B-91F1-4847-A7D7-B720DF33A9E0}">
  <sheetPr codeName="Hoja3"/>
  <dimension ref="A1:D241"/>
  <sheetViews>
    <sheetView topLeftCell="A228" workbookViewId="0">
      <selection activeCell="N243" sqref="N243"/>
    </sheetView>
  </sheetViews>
  <sheetFormatPr baseColWidth="10" defaultRowHeight="15" x14ac:dyDescent="0.25"/>
  <sheetData>
    <row r="1" spans="1:4" x14ac:dyDescent="0.25">
      <c r="A1" t="s">
        <v>0</v>
      </c>
      <c r="B1" t="s">
        <v>1</v>
      </c>
      <c r="C1" t="s">
        <v>2</v>
      </c>
      <c r="D1" t="s">
        <v>38</v>
      </c>
    </row>
    <row r="2" spans="1:4" x14ac:dyDescent="0.25">
      <c r="A2" t="s">
        <v>6</v>
      </c>
      <c r="B2" t="s">
        <v>7</v>
      </c>
      <c r="C2">
        <v>2022</v>
      </c>
      <c r="D2">
        <f>CAPEX_Input!G88</f>
        <v>21.17</v>
      </c>
    </row>
    <row r="3" spans="1:4" x14ac:dyDescent="0.25">
      <c r="A3" t="s">
        <v>6</v>
      </c>
      <c r="B3" t="s">
        <v>10</v>
      </c>
      <c r="C3">
        <v>2022</v>
      </c>
      <c r="D3">
        <f>CAPEX_Input!G89</f>
        <v>21.93</v>
      </c>
    </row>
    <row r="4" spans="1:4" x14ac:dyDescent="0.25">
      <c r="A4" t="s">
        <v>6</v>
      </c>
      <c r="B4" t="s">
        <v>11</v>
      </c>
      <c r="C4">
        <v>2022</v>
      </c>
      <c r="D4">
        <f>CAPEX_Input!G90</f>
        <v>22.69</v>
      </c>
    </row>
    <row r="5" spans="1:4" x14ac:dyDescent="0.25">
      <c r="A5" t="s">
        <v>6</v>
      </c>
      <c r="B5" t="s">
        <v>12</v>
      </c>
      <c r="C5">
        <v>2022</v>
      </c>
      <c r="D5">
        <f>CAPEX_Input!G91</f>
        <v>24.43</v>
      </c>
    </row>
    <row r="6" spans="1:4" x14ac:dyDescent="0.25">
      <c r="A6" t="s">
        <v>6</v>
      </c>
      <c r="B6" t="s">
        <v>13</v>
      </c>
      <c r="C6">
        <v>2022</v>
      </c>
      <c r="D6">
        <f>CAPEX_Input!G92</f>
        <v>24.63</v>
      </c>
    </row>
    <row r="7" spans="1:4" x14ac:dyDescent="0.25">
      <c r="A7" t="s">
        <v>6</v>
      </c>
      <c r="B7" t="s">
        <v>14</v>
      </c>
      <c r="C7">
        <v>2022</v>
      </c>
      <c r="D7">
        <f>CAPEX_Input!G93</f>
        <v>25.15</v>
      </c>
    </row>
    <row r="8" spans="1:4" x14ac:dyDescent="0.25">
      <c r="A8" t="s">
        <v>6</v>
      </c>
      <c r="B8" t="s">
        <v>15</v>
      </c>
      <c r="C8">
        <v>2022</v>
      </c>
      <c r="D8">
        <f>CAPEX_Input!G94</f>
        <v>24.58</v>
      </c>
    </row>
    <row r="9" spans="1:4" x14ac:dyDescent="0.25">
      <c r="A9" t="s">
        <v>6</v>
      </c>
      <c r="B9" t="s">
        <v>16</v>
      </c>
      <c r="C9">
        <v>2022</v>
      </c>
      <c r="D9">
        <f>CAPEX_Input!G95</f>
        <v>29.83</v>
      </c>
    </row>
    <row r="10" spans="1:4" x14ac:dyDescent="0.25">
      <c r="A10" t="s">
        <v>6</v>
      </c>
      <c r="B10" t="s">
        <v>17</v>
      </c>
      <c r="C10">
        <v>2022</v>
      </c>
      <c r="D10">
        <f>CAPEX_Input!G96</f>
        <v>34.6</v>
      </c>
    </row>
    <row r="11" spans="1:4" x14ac:dyDescent="0.25">
      <c r="A11" t="s">
        <v>6</v>
      </c>
      <c r="B11" t="s">
        <v>18</v>
      </c>
      <c r="C11">
        <v>2022</v>
      </c>
      <c r="D11">
        <f>CAPEX_Input!G97</f>
        <v>26.26</v>
      </c>
    </row>
    <row r="12" spans="1:4" x14ac:dyDescent="0.25">
      <c r="A12" t="s">
        <v>6</v>
      </c>
      <c r="B12" t="s">
        <v>19</v>
      </c>
      <c r="C12">
        <v>2022</v>
      </c>
      <c r="D12">
        <f>CAPEX_Input!G98</f>
        <v>26.26</v>
      </c>
    </row>
    <row r="13" spans="1:4" x14ac:dyDescent="0.25">
      <c r="A13" t="s">
        <v>6</v>
      </c>
      <c r="B13" t="s">
        <v>20</v>
      </c>
      <c r="C13">
        <v>2022</v>
      </c>
      <c r="D13">
        <f>CAPEX_Input!G99</f>
        <v>34.07</v>
      </c>
    </row>
    <row r="14" spans="1:4" x14ac:dyDescent="0.25">
      <c r="A14" t="s">
        <v>6</v>
      </c>
      <c r="B14" t="s">
        <v>21</v>
      </c>
      <c r="C14">
        <v>2022</v>
      </c>
      <c r="D14">
        <f>CAPEX_Input!G100</f>
        <v>34.07</v>
      </c>
    </row>
    <row r="15" spans="1:4" x14ac:dyDescent="0.25">
      <c r="A15" t="s">
        <v>6</v>
      </c>
      <c r="B15" t="s">
        <v>22</v>
      </c>
      <c r="C15">
        <v>2022</v>
      </c>
      <c r="D15">
        <f>CAPEX_Input!G101</f>
        <v>26.42</v>
      </c>
    </row>
    <row r="16" spans="1:4" x14ac:dyDescent="0.25">
      <c r="A16" t="s">
        <v>6</v>
      </c>
      <c r="B16" t="s">
        <v>23</v>
      </c>
      <c r="C16">
        <v>2022</v>
      </c>
      <c r="D16">
        <f>CAPEX_Input!G102</f>
        <v>34.28</v>
      </c>
    </row>
    <row r="17" spans="1:4" x14ac:dyDescent="0.25">
      <c r="A17" t="s">
        <v>6</v>
      </c>
      <c r="B17" t="s">
        <v>24</v>
      </c>
      <c r="C17">
        <v>2022</v>
      </c>
      <c r="D17" t="str">
        <f>CAPEX_Input!G103</f>
        <v>-</v>
      </c>
    </row>
    <row r="18" spans="1:4" x14ac:dyDescent="0.25">
      <c r="A18" t="s">
        <v>6</v>
      </c>
      <c r="B18" t="s">
        <v>7</v>
      </c>
      <c r="C18">
        <v>2030</v>
      </c>
      <c r="D18">
        <f>CAPEX_Input!H88</f>
        <v>21.17</v>
      </c>
    </row>
    <row r="19" spans="1:4" x14ac:dyDescent="0.25">
      <c r="A19" t="s">
        <v>6</v>
      </c>
      <c r="B19" t="s">
        <v>10</v>
      </c>
      <c r="C19">
        <v>2030</v>
      </c>
      <c r="D19">
        <f>CAPEX_Input!H89</f>
        <v>21.93</v>
      </c>
    </row>
    <row r="20" spans="1:4" x14ac:dyDescent="0.25">
      <c r="A20" t="s">
        <v>6</v>
      </c>
      <c r="B20" t="s">
        <v>11</v>
      </c>
      <c r="C20">
        <v>2030</v>
      </c>
      <c r="D20">
        <f>CAPEX_Input!H90</f>
        <v>22.69</v>
      </c>
    </row>
    <row r="21" spans="1:4" x14ac:dyDescent="0.25">
      <c r="A21" t="s">
        <v>6</v>
      </c>
      <c r="B21" t="s">
        <v>12</v>
      </c>
      <c r="C21">
        <v>2030</v>
      </c>
      <c r="D21">
        <f>CAPEX_Input!H91</f>
        <v>24.43</v>
      </c>
    </row>
    <row r="22" spans="1:4" x14ac:dyDescent="0.25">
      <c r="A22" t="s">
        <v>6</v>
      </c>
      <c r="B22" t="s">
        <v>13</v>
      </c>
      <c r="C22">
        <v>2030</v>
      </c>
      <c r="D22">
        <f>CAPEX_Input!H92</f>
        <v>24.63</v>
      </c>
    </row>
    <row r="23" spans="1:4" x14ac:dyDescent="0.25">
      <c r="A23" t="s">
        <v>6</v>
      </c>
      <c r="B23" t="s">
        <v>14</v>
      </c>
      <c r="C23">
        <v>2030</v>
      </c>
      <c r="D23">
        <f>CAPEX_Input!H93</f>
        <v>25.15</v>
      </c>
    </row>
    <row r="24" spans="1:4" x14ac:dyDescent="0.25">
      <c r="A24" t="s">
        <v>6</v>
      </c>
      <c r="B24" t="s">
        <v>15</v>
      </c>
      <c r="C24">
        <v>2030</v>
      </c>
      <c r="D24">
        <f>CAPEX_Input!H94</f>
        <v>24.58</v>
      </c>
    </row>
    <row r="25" spans="1:4" x14ac:dyDescent="0.25">
      <c r="A25" t="s">
        <v>6</v>
      </c>
      <c r="B25" t="s">
        <v>16</v>
      </c>
      <c r="C25">
        <v>2030</v>
      </c>
      <c r="D25">
        <f>CAPEX_Input!H95</f>
        <v>29.83</v>
      </c>
    </row>
    <row r="26" spans="1:4" x14ac:dyDescent="0.25">
      <c r="A26" t="s">
        <v>6</v>
      </c>
      <c r="B26" t="s">
        <v>17</v>
      </c>
      <c r="C26">
        <v>2030</v>
      </c>
      <c r="D26">
        <f>CAPEX_Input!H96</f>
        <v>34.6</v>
      </c>
    </row>
    <row r="27" spans="1:4" x14ac:dyDescent="0.25">
      <c r="A27" t="s">
        <v>6</v>
      </c>
      <c r="B27" t="s">
        <v>18</v>
      </c>
      <c r="C27">
        <v>2030</v>
      </c>
      <c r="D27">
        <f>CAPEX_Input!H97</f>
        <v>26.26</v>
      </c>
    </row>
    <row r="28" spans="1:4" x14ac:dyDescent="0.25">
      <c r="A28" t="s">
        <v>6</v>
      </c>
      <c r="B28" t="s">
        <v>19</v>
      </c>
      <c r="C28">
        <v>2030</v>
      </c>
      <c r="D28">
        <f>CAPEX_Input!H98</f>
        <v>26.26</v>
      </c>
    </row>
    <row r="29" spans="1:4" x14ac:dyDescent="0.25">
      <c r="A29" t="s">
        <v>6</v>
      </c>
      <c r="B29" t="s">
        <v>20</v>
      </c>
      <c r="C29">
        <v>2030</v>
      </c>
      <c r="D29">
        <f>CAPEX_Input!H99</f>
        <v>34.07</v>
      </c>
    </row>
    <row r="30" spans="1:4" x14ac:dyDescent="0.25">
      <c r="A30" t="s">
        <v>6</v>
      </c>
      <c r="B30" t="s">
        <v>21</v>
      </c>
      <c r="C30">
        <v>2030</v>
      </c>
      <c r="D30">
        <f>CAPEX_Input!H100</f>
        <v>34.07</v>
      </c>
    </row>
    <row r="31" spans="1:4" x14ac:dyDescent="0.25">
      <c r="A31" t="s">
        <v>6</v>
      </c>
      <c r="B31" t="s">
        <v>22</v>
      </c>
      <c r="C31">
        <v>2030</v>
      </c>
      <c r="D31">
        <f>CAPEX_Input!H101</f>
        <v>26.42</v>
      </c>
    </row>
    <row r="32" spans="1:4" x14ac:dyDescent="0.25">
      <c r="A32" t="s">
        <v>6</v>
      </c>
      <c r="B32" t="s">
        <v>23</v>
      </c>
      <c r="C32">
        <v>2030</v>
      </c>
      <c r="D32">
        <f>CAPEX_Input!H102</f>
        <v>34.28</v>
      </c>
    </row>
    <row r="33" spans="1:4" x14ac:dyDescent="0.25">
      <c r="A33" t="s">
        <v>6</v>
      </c>
      <c r="B33" t="s">
        <v>24</v>
      </c>
      <c r="C33">
        <v>2030</v>
      </c>
      <c r="D33" t="str">
        <f>CAPEX_Input!H103</f>
        <v>-</v>
      </c>
    </row>
    <row r="34" spans="1:4" x14ac:dyDescent="0.25">
      <c r="A34" t="s">
        <v>6</v>
      </c>
      <c r="B34" t="s">
        <v>7</v>
      </c>
      <c r="C34">
        <v>2040</v>
      </c>
      <c r="D34">
        <f>CAPEX_Input!I88</f>
        <v>21.17</v>
      </c>
    </row>
    <row r="35" spans="1:4" x14ac:dyDescent="0.25">
      <c r="A35" t="s">
        <v>6</v>
      </c>
      <c r="B35" t="s">
        <v>10</v>
      </c>
      <c r="C35">
        <v>2040</v>
      </c>
      <c r="D35">
        <f>CAPEX_Input!I89</f>
        <v>21.93</v>
      </c>
    </row>
    <row r="36" spans="1:4" x14ac:dyDescent="0.25">
      <c r="A36" t="s">
        <v>6</v>
      </c>
      <c r="B36" t="s">
        <v>11</v>
      </c>
      <c r="C36">
        <v>2040</v>
      </c>
      <c r="D36">
        <f>CAPEX_Input!I90</f>
        <v>22.69</v>
      </c>
    </row>
    <row r="37" spans="1:4" x14ac:dyDescent="0.25">
      <c r="A37" t="s">
        <v>6</v>
      </c>
      <c r="B37" t="s">
        <v>12</v>
      </c>
      <c r="C37">
        <v>2040</v>
      </c>
      <c r="D37">
        <f>CAPEX_Input!I91</f>
        <v>24.43</v>
      </c>
    </row>
    <row r="38" spans="1:4" x14ac:dyDescent="0.25">
      <c r="A38" t="s">
        <v>6</v>
      </c>
      <c r="B38" t="s">
        <v>13</v>
      </c>
      <c r="C38">
        <v>2040</v>
      </c>
      <c r="D38">
        <f>CAPEX_Input!I92</f>
        <v>24.63</v>
      </c>
    </row>
    <row r="39" spans="1:4" x14ac:dyDescent="0.25">
      <c r="A39" t="s">
        <v>6</v>
      </c>
      <c r="B39" t="s">
        <v>14</v>
      </c>
      <c r="C39">
        <v>2040</v>
      </c>
      <c r="D39">
        <f>CAPEX_Input!I93</f>
        <v>25.15</v>
      </c>
    </row>
    <row r="40" spans="1:4" x14ac:dyDescent="0.25">
      <c r="A40" t="s">
        <v>6</v>
      </c>
      <c r="B40" t="s">
        <v>15</v>
      </c>
      <c r="C40">
        <v>2040</v>
      </c>
      <c r="D40">
        <f>CAPEX_Input!I94</f>
        <v>24.58</v>
      </c>
    </row>
    <row r="41" spans="1:4" x14ac:dyDescent="0.25">
      <c r="A41" t="s">
        <v>6</v>
      </c>
      <c r="B41" t="s">
        <v>16</v>
      </c>
      <c r="C41">
        <v>2040</v>
      </c>
      <c r="D41">
        <f>CAPEX_Input!I95</f>
        <v>29.83</v>
      </c>
    </row>
    <row r="42" spans="1:4" x14ac:dyDescent="0.25">
      <c r="A42" t="s">
        <v>6</v>
      </c>
      <c r="B42" t="s">
        <v>17</v>
      </c>
      <c r="C42">
        <v>2040</v>
      </c>
      <c r="D42">
        <f>CAPEX_Input!I96</f>
        <v>34.6</v>
      </c>
    </row>
    <row r="43" spans="1:4" x14ac:dyDescent="0.25">
      <c r="A43" t="s">
        <v>6</v>
      </c>
      <c r="B43" t="s">
        <v>18</v>
      </c>
      <c r="C43">
        <v>2040</v>
      </c>
      <c r="D43">
        <f>CAPEX_Input!I97</f>
        <v>26.26</v>
      </c>
    </row>
    <row r="44" spans="1:4" x14ac:dyDescent="0.25">
      <c r="A44" t="s">
        <v>6</v>
      </c>
      <c r="B44" t="s">
        <v>19</v>
      </c>
      <c r="C44">
        <v>2040</v>
      </c>
      <c r="D44">
        <f>CAPEX_Input!I98</f>
        <v>26.26</v>
      </c>
    </row>
    <row r="45" spans="1:4" x14ac:dyDescent="0.25">
      <c r="A45" t="s">
        <v>6</v>
      </c>
      <c r="B45" t="s">
        <v>20</v>
      </c>
      <c r="C45">
        <v>2040</v>
      </c>
      <c r="D45">
        <f>CAPEX_Input!I99</f>
        <v>34.07</v>
      </c>
    </row>
    <row r="46" spans="1:4" x14ac:dyDescent="0.25">
      <c r="A46" t="s">
        <v>6</v>
      </c>
      <c r="B46" t="s">
        <v>21</v>
      </c>
      <c r="C46">
        <v>2040</v>
      </c>
      <c r="D46">
        <f>CAPEX_Input!I100</f>
        <v>34.07</v>
      </c>
    </row>
    <row r="47" spans="1:4" x14ac:dyDescent="0.25">
      <c r="A47" t="s">
        <v>6</v>
      </c>
      <c r="B47" t="s">
        <v>22</v>
      </c>
      <c r="C47">
        <v>2040</v>
      </c>
      <c r="D47">
        <f>CAPEX_Input!I101</f>
        <v>26.42</v>
      </c>
    </row>
    <row r="48" spans="1:4" x14ac:dyDescent="0.25">
      <c r="A48" t="s">
        <v>6</v>
      </c>
      <c r="B48" t="s">
        <v>23</v>
      </c>
      <c r="C48">
        <v>2040</v>
      </c>
      <c r="D48">
        <f>CAPEX_Input!I102</f>
        <v>34.28</v>
      </c>
    </row>
    <row r="49" spans="1:4" x14ac:dyDescent="0.25">
      <c r="A49" t="s">
        <v>6</v>
      </c>
      <c r="B49" t="s">
        <v>24</v>
      </c>
      <c r="C49">
        <v>2040</v>
      </c>
      <c r="D49" t="str">
        <f>CAPEX_Input!I103</f>
        <v>-</v>
      </c>
    </row>
    <row r="50" spans="1:4" x14ac:dyDescent="0.25">
      <c r="A50" t="s">
        <v>25</v>
      </c>
      <c r="B50" t="s">
        <v>7</v>
      </c>
      <c r="C50">
        <v>2022</v>
      </c>
      <c r="D50">
        <f>CAPEX_Input!N88</f>
        <v>17.641666666666669</v>
      </c>
    </row>
    <row r="51" spans="1:4" x14ac:dyDescent="0.25">
      <c r="A51" t="s">
        <v>25</v>
      </c>
      <c r="B51" t="s">
        <v>10</v>
      </c>
      <c r="C51">
        <v>2022</v>
      </c>
      <c r="D51">
        <f>CAPEX_Input!N89</f>
        <v>18.275000000000002</v>
      </c>
    </row>
    <row r="52" spans="1:4" x14ac:dyDescent="0.25">
      <c r="A52" t="s">
        <v>25</v>
      </c>
      <c r="B52" t="s">
        <v>11</v>
      </c>
      <c r="C52">
        <v>2022</v>
      </c>
      <c r="D52">
        <f>CAPEX_Input!N90</f>
        <v>18.908333333333335</v>
      </c>
    </row>
    <row r="53" spans="1:4" x14ac:dyDescent="0.25">
      <c r="A53" t="s">
        <v>25</v>
      </c>
      <c r="B53" t="s">
        <v>12</v>
      </c>
      <c r="C53">
        <v>2022</v>
      </c>
      <c r="D53">
        <f>CAPEX_Input!N91</f>
        <v>20.358333333333334</v>
      </c>
    </row>
    <row r="54" spans="1:4" x14ac:dyDescent="0.25">
      <c r="A54" t="s">
        <v>25</v>
      </c>
      <c r="B54" t="s">
        <v>13</v>
      </c>
      <c r="C54">
        <v>2022</v>
      </c>
      <c r="D54">
        <f>CAPEX_Input!N92</f>
        <v>20.524999999999999</v>
      </c>
    </row>
    <row r="55" spans="1:4" x14ac:dyDescent="0.25">
      <c r="A55" t="s">
        <v>25</v>
      </c>
      <c r="B55" t="s">
        <v>14</v>
      </c>
      <c r="C55">
        <v>2022</v>
      </c>
      <c r="D55">
        <f>CAPEX_Input!N93</f>
        <v>20.958333333333332</v>
      </c>
    </row>
    <row r="56" spans="1:4" x14ac:dyDescent="0.25">
      <c r="A56" t="s">
        <v>25</v>
      </c>
      <c r="B56" t="s">
        <v>15</v>
      </c>
      <c r="C56">
        <v>2022</v>
      </c>
      <c r="D56">
        <f>CAPEX_Input!N94</f>
        <v>20.483333333333334</v>
      </c>
    </row>
    <row r="57" spans="1:4" x14ac:dyDescent="0.25">
      <c r="A57" t="s">
        <v>25</v>
      </c>
      <c r="B57" t="s">
        <v>16</v>
      </c>
      <c r="C57">
        <v>2022</v>
      </c>
      <c r="D57">
        <f>CAPEX_Input!N95</f>
        <v>24.858333333333334</v>
      </c>
    </row>
    <row r="58" spans="1:4" x14ac:dyDescent="0.25">
      <c r="A58" t="s">
        <v>25</v>
      </c>
      <c r="B58" t="s">
        <v>17</v>
      </c>
      <c r="C58">
        <v>2022</v>
      </c>
      <c r="D58">
        <f>CAPEX_Input!N96</f>
        <v>28.833333333333336</v>
      </c>
    </row>
    <row r="59" spans="1:4" x14ac:dyDescent="0.25">
      <c r="A59" t="s">
        <v>25</v>
      </c>
      <c r="B59" t="s">
        <v>18</v>
      </c>
      <c r="C59">
        <v>2022</v>
      </c>
      <c r="D59">
        <f>CAPEX_Input!N97</f>
        <v>21.883333333333336</v>
      </c>
    </row>
    <row r="60" spans="1:4" x14ac:dyDescent="0.25">
      <c r="A60" t="s">
        <v>25</v>
      </c>
      <c r="B60" t="s">
        <v>19</v>
      </c>
      <c r="C60">
        <v>2022</v>
      </c>
      <c r="D60">
        <f>CAPEX_Input!N98</f>
        <v>21.883333333333336</v>
      </c>
    </row>
    <row r="61" spans="1:4" x14ac:dyDescent="0.25">
      <c r="A61" t="s">
        <v>25</v>
      </c>
      <c r="B61" t="s">
        <v>20</v>
      </c>
      <c r="C61">
        <v>2022</v>
      </c>
      <c r="D61">
        <f>CAPEX_Input!N99</f>
        <v>28.391666666666669</v>
      </c>
    </row>
    <row r="62" spans="1:4" x14ac:dyDescent="0.25">
      <c r="A62" t="s">
        <v>25</v>
      </c>
      <c r="B62" t="s">
        <v>21</v>
      </c>
      <c r="C62">
        <v>2022</v>
      </c>
      <c r="D62">
        <f>CAPEX_Input!N100</f>
        <v>28.391666666666669</v>
      </c>
    </row>
    <row r="63" spans="1:4" x14ac:dyDescent="0.25">
      <c r="A63" t="s">
        <v>25</v>
      </c>
      <c r="B63" t="s">
        <v>22</v>
      </c>
      <c r="C63">
        <v>2022</v>
      </c>
      <c r="D63">
        <f>CAPEX_Input!N101</f>
        <v>22.016666666666669</v>
      </c>
    </row>
    <row r="64" spans="1:4" x14ac:dyDescent="0.25">
      <c r="A64" t="s">
        <v>25</v>
      </c>
      <c r="B64" t="s">
        <v>23</v>
      </c>
      <c r="C64">
        <v>2022</v>
      </c>
      <c r="D64">
        <f>CAPEX_Input!N102</f>
        <v>28.56666666666667</v>
      </c>
    </row>
    <row r="65" spans="1:4" x14ac:dyDescent="0.25">
      <c r="A65" t="s">
        <v>25</v>
      </c>
      <c r="B65" t="s">
        <v>24</v>
      </c>
      <c r="C65">
        <v>2022</v>
      </c>
      <c r="D65">
        <f>CAPEX_Input!N103</f>
        <v>0</v>
      </c>
    </row>
    <row r="66" spans="1:4" x14ac:dyDescent="0.25">
      <c r="A66" t="s">
        <v>25</v>
      </c>
      <c r="B66" t="s">
        <v>7</v>
      </c>
      <c r="C66">
        <v>2030</v>
      </c>
      <c r="D66">
        <f>CAPEX_Input!O88</f>
        <v>17.641666666666669</v>
      </c>
    </row>
    <row r="67" spans="1:4" x14ac:dyDescent="0.25">
      <c r="A67" t="s">
        <v>25</v>
      </c>
      <c r="B67" t="s">
        <v>10</v>
      </c>
      <c r="C67">
        <v>2030</v>
      </c>
      <c r="D67">
        <f>CAPEX_Input!O89</f>
        <v>18.275000000000002</v>
      </c>
    </row>
    <row r="68" spans="1:4" x14ac:dyDescent="0.25">
      <c r="A68" t="s">
        <v>25</v>
      </c>
      <c r="B68" t="s">
        <v>11</v>
      </c>
      <c r="C68">
        <v>2030</v>
      </c>
      <c r="D68">
        <f>CAPEX_Input!O90</f>
        <v>18.908333333333335</v>
      </c>
    </row>
    <row r="69" spans="1:4" x14ac:dyDescent="0.25">
      <c r="A69" t="s">
        <v>25</v>
      </c>
      <c r="B69" t="s">
        <v>12</v>
      </c>
      <c r="C69">
        <v>2030</v>
      </c>
      <c r="D69">
        <f>CAPEX_Input!O91</f>
        <v>20.358333333333334</v>
      </c>
    </row>
    <row r="70" spans="1:4" x14ac:dyDescent="0.25">
      <c r="A70" t="s">
        <v>25</v>
      </c>
      <c r="B70" t="s">
        <v>13</v>
      </c>
      <c r="C70">
        <v>2030</v>
      </c>
      <c r="D70">
        <f>CAPEX_Input!O92</f>
        <v>20.524999999999999</v>
      </c>
    </row>
    <row r="71" spans="1:4" x14ac:dyDescent="0.25">
      <c r="A71" t="s">
        <v>25</v>
      </c>
      <c r="B71" t="s">
        <v>14</v>
      </c>
      <c r="C71">
        <v>2030</v>
      </c>
      <c r="D71">
        <f>CAPEX_Input!O93</f>
        <v>20.958333333333332</v>
      </c>
    </row>
    <row r="72" spans="1:4" x14ac:dyDescent="0.25">
      <c r="A72" t="s">
        <v>25</v>
      </c>
      <c r="B72" t="s">
        <v>15</v>
      </c>
      <c r="C72">
        <v>2030</v>
      </c>
      <c r="D72">
        <f>CAPEX_Input!O94</f>
        <v>20.483333333333334</v>
      </c>
    </row>
    <row r="73" spans="1:4" x14ac:dyDescent="0.25">
      <c r="A73" t="s">
        <v>25</v>
      </c>
      <c r="B73" t="s">
        <v>16</v>
      </c>
      <c r="C73">
        <v>2030</v>
      </c>
      <c r="D73">
        <f>CAPEX_Input!O95</f>
        <v>24.858333333333334</v>
      </c>
    </row>
    <row r="74" spans="1:4" x14ac:dyDescent="0.25">
      <c r="A74" t="s">
        <v>25</v>
      </c>
      <c r="B74" t="s">
        <v>17</v>
      </c>
      <c r="C74">
        <v>2030</v>
      </c>
      <c r="D74">
        <f>CAPEX_Input!O96</f>
        <v>28.833333333333336</v>
      </c>
    </row>
    <row r="75" spans="1:4" x14ac:dyDescent="0.25">
      <c r="A75" t="s">
        <v>25</v>
      </c>
      <c r="B75" t="s">
        <v>18</v>
      </c>
      <c r="C75">
        <v>2030</v>
      </c>
      <c r="D75">
        <f>CAPEX_Input!O97</f>
        <v>21.883333333333336</v>
      </c>
    </row>
    <row r="76" spans="1:4" x14ac:dyDescent="0.25">
      <c r="A76" t="s">
        <v>25</v>
      </c>
      <c r="B76" t="s">
        <v>19</v>
      </c>
      <c r="C76">
        <v>2030</v>
      </c>
      <c r="D76">
        <f>CAPEX_Input!O98</f>
        <v>21.883333333333336</v>
      </c>
    </row>
    <row r="77" spans="1:4" x14ac:dyDescent="0.25">
      <c r="A77" t="s">
        <v>25</v>
      </c>
      <c r="B77" t="s">
        <v>20</v>
      </c>
      <c r="C77">
        <v>2030</v>
      </c>
      <c r="D77">
        <f>CAPEX_Input!O99</f>
        <v>28.391666666666669</v>
      </c>
    </row>
    <row r="78" spans="1:4" x14ac:dyDescent="0.25">
      <c r="A78" t="s">
        <v>25</v>
      </c>
      <c r="B78" t="s">
        <v>21</v>
      </c>
      <c r="C78">
        <v>2030</v>
      </c>
      <c r="D78">
        <f>CAPEX_Input!O100</f>
        <v>28.391666666666669</v>
      </c>
    </row>
    <row r="79" spans="1:4" x14ac:dyDescent="0.25">
      <c r="A79" t="s">
        <v>25</v>
      </c>
      <c r="B79" t="s">
        <v>22</v>
      </c>
      <c r="C79">
        <v>2030</v>
      </c>
      <c r="D79">
        <f>CAPEX_Input!O101</f>
        <v>22.016666666666669</v>
      </c>
    </row>
    <row r="80" spans="1:4" x14ac:dyDescent="0.25">
      <c r="A80" t="s">
        <v>25</v>
      </c>
      <c r="B80" t="s">
        <v>23</v>
      </c>
      <c r="C80">
        <v>2030</v>
      </c>
      <c r="D80">
        <f>CAPEX_Input!O102</f>
        <v>28.56666666666667</v>
      </c>
    </row>
    <row r="81" spans="1:4" x14ac:dyDescent="0.25">
      <c r="A81" t="s">
        <v>25</v>
      </c>
      <c r="B81" t="s">
        <v>24</v>
      </c>
      <c r="C81">
        <v>2030</v>
      </c>
      <c r="D81">
        <f>CAPEX_Input!O103</f>
        <v>0</v>
      </c>
    </row>
    <row r="82" spans="1:4" x14ac:dyDescent="0.25">
      <c r="A82" t="s">
        <v>25</v>
      </c>
      <c r="B82" t="s">
        <v>7</v>
      </c>
      <c r="C82">
        <v>2040</v>
      </c>
      <c r="D82">
        <f>CAPEX_Input!P88</f>
        <v>17.641666666666669</v>
      </c>
    </row>
    <row r="83" spans="1:4" x14ac:dyDescent="0.25">
      <c r="A83" t="s">
        <v>25</v>
      </c>
      <c r="B83" t="s">
        <v>10</v>
      </c>
      <c r="C83">
        <v>2040</v>
      </c>
      <c r="D83">
        <f>CAPEX_Input!P89</f>
        <v>18.275000000000002</v>
      </c>
    </row>
    <row r="84" spans="1:4" x14ac:dyDescent="0.25">
      <c r="A84" t="s">
        <v>25</v>
      </c>
      <c r="B84" t="s">
        <v>11</v>
      </c>
      <c r="C84">
        <v>2040</v>
      </c>
      <c r="D84">
        <f>CAPEX_Input!P90</f>
        <v>18.908333333333335</v>
      </c>
    </row>
    <row r="85" spans="1:4" x14ac:dyDescent="0.25">
      <c r="A85" t="s">
        <v>25</v>
      </c>
      <c r="B85" t="s">
        <v>12</v>
      </c>
      <c r="C85">
        <v>2040</v>
      </c>
      <c r="D85">
        <f>CAPEX_Input!P91</f>
        <v>20.358333333333334</v>
      </c>
    </row>
    <row r="86" spans="1:4" x14ac:dyDescent="0.25">
      <c r="A86" t="s">
        <v>25</v>
      </c>
      <c r="B86" t="s">
        <v>13</v>
      </c>
      <c r="C86">
        <v>2040</v>
      </c>
      <c r="D86">
        <f>CAPEX_Input!P92</f>
        <v>20.524999999999999</v>
      </c>
    </row>
    <row r="87" spans="1:4" x14ac:dyDescent="0.25">
      <c r="A87" t="s">
        <v>25</v>
      </c>
      <c r="B87" t="s">
        <v>14</v>
      </c>
      <c r="C87">
        <v>2040</v>
      </c>
      <c r="D87">
        <f>CAPEX_Input!P93</f>
        <v>20.958333333333332</v>
      </c>
    </row>
    <row r="88" spans="1:4" x14ac:dyDescent="0.25">
      <c r="A88" t="s">
        <v>25</v>
      </c>
      <c r="B88" t="s">
        <v>15</v>
      </c>
      <c r="C88">
        <v>2040</v>
      </c>
      <c r="D88">
        <f>CAPEX_Input!P94</f>
        <v>20.483333333333334</v>
      </c>
    </row>
    <row r="89" spans="1:4" x14ac:dyDescent="0.25">
      <c r="A89" t="s">
        <v>25</v>
      </c>
      <c r="B89" t="s">
        <v>16</v>
      </c>
      <c r="C89">
        <v>2040</v>
      </c>
      <c r="D89">
        <f>CAPEX_Input!P95</f>
        <v>24.858333333333334</v>
      </c>
    </row>
    <row r="90" spans="1:4" x14ac:dyDescent="0.25">
      <c r="A90" t="s">
        <v>25</v>
      </c>
      <c r="B90" t="s">
        <v>17</v>
      </c>
      <c r="C90">
        <v>2040</v>
      </c>
      <c r="D90">
        <f>CAPEX_Input!P96</f>
        <v>28.833333333333336</v>
      </c>
    </row>
    <row r="91" spans="1:4" x14ac:dyDescent="0.25">
      <c r="A91" t="s">
        <v>25</v>
      </c>
      <c r="B91" t="s">
        <v>18</v>
      </c>
      <c r="C91">
        <v>2040</v>
      </c>
      <c r="D91">
        <f>CAPEX_Input!P97</f>
        <v>21.883333333333336</v>
      </c>
    </row>
    <row r="92" spans="1:4" x14ac:dyDescent="0.25">
      <c r="A92" t="s">
        <v>25</v>
      </c>
      <c r="B92" t="s">
        <v>19</v>
      </c>
      <c r="C92">
        <v>2040</v>
      </c>
      <c r="D92">
        <f>CAPEX_Input!P98</f>
        <v>21.883333333333336</v>
      </c>
    </row>
    <row r="93" spans="1:4" x14ac:dyDescent="0.25">
      <c r="A93" t="s">
        <v>25</v>
      </c>
      <c r="B93" t="s">
        <v>20</v>
      </c>
      <c r="C93">
        <v>2040</v>
      </c>
      <c r="D93">
        <f>CAPEX_Input!P99</f>
        <v>28.391666666666669</v>
      </c>
    </row>
    <row r="94" spans="1:4" x14ac:dyDescent="0.25">
      <c r="A94" t="s">
        <v>25</v>
      </c>
      <c r="B94" t="s">
        <v>21</v>
      </c>
      <c r="C94">
        <v>2040</v>
      </c>
      <c r="D94">
        <f>CAPEX_Input!P100</f>
        <v>28.391666666666669</v>
      </c>
    </row>
    <row r="95" spans="1:4" x14ac:dyDescent="0.25">
      <c r="A95" t="s">
        <v>25</v>
      </c>
      <c r="B95" t="s">
        <v>22</v>
      </c>
      <c r="C95">
        <v>2040</v>
      </c>
      <c r="D95">
        <f>CAPEX_Input!P101</f>
        <v>22.016666666666669</v>
      </c>
    </row>
    <row r="96" spans="1:4" x14ac:dyDescent="0.25">
      <c r="A96" t="s">
        <v>25</v>
      </c>
      <c r="B96" t="s">
        <v>23</v>
      </c>
      <c r="C96">
        <v>2040</v>
      </c>
      <c r="D96">
        <f>CAPEX_Input!P102</f>
        <v>28.56666666666667</v>
      </c>
    </row>
    <row r="97" spans="1:4" x14ac:dyDescent="0.25">
      <c r="A97" t="s">
        <v>25</v>
      </c>
      <c r="B97" t="s">
        <v>24</v>
      </c>
      <c r="C97">
        <v>2040</v>
      </c>
      <c r="D97">
        <f>CAPEX_Input!P103</f>
        <v>0</v>
      </c>
    </row>
    <row r="98" spans="1:4" x14ac:dyDescent="0.25">
      <c r="A98" t="s">
        <v>40</v>
      </c>
      <c r="B98" t="s">
        <v>7</v>
      </c>
      <c r="C98">
        <v>2022</v>
      </c>
      <c r="D98">
        <f>CAPEX_Input!U88</f>
        <v>0.57999999999999996</v>
      </c>
    </row>
    <row r="99" spans="1:4" x14ac:dyDescent="0.25">
      <c r="A99" t="s">
        <v>40</v>
      </c>
      <c r="B99" t="s">
        <v>10</v>
      </c>
      <c r="C99">
        <v>2022</v>
      </c>
      <c r="D99">
        <f>CAPEX_Input!U89</f>
        <v>0.6</v>
      </c>
    </row>
    <row r="100" spans="1:4" x14ac:dyDescent="0.25">
      <c r="A100" t="s">
        <v>40</v>
      </c>
      <c r="B100" t="s">
        <v>11</v>
      </c>
      <c r="C100">
        <v>2022</v>
      </c>
      <c r="D100">
        <f>CAPEX_Input!U90</f>
        <v>0.62</v>
      </c>
    </row>
    <row r="101" spans="1:4" x14ac:dyDescent="0.25">
      <c r="A101" t="s">
        <v>40</v>
      </c>
      <c r="B101" t="s">
        <v>12</v>
      </c>
      <c r="C101">
        <v>2022</v>
      </c>
      <c r="D101">
        <f>CAPEX_Input!U91</f>
        <v>0.8</v>
      </c>
    </row>
    <row r="102" spans="1:4" x14ac:dyDescent="0.25">
      <c r="A102" t="s">
        <v>40</v>
      </c>
      <c r="B102" t="s">
        <v>13</v>
      </c>
      <c r="C102">
        <v>2022</v>
      </c>
      <c r="D102">
        <f>CAPEX_Input!U92</f>
        <v>0.88</v>
      </c>
    </row>
    <row r="103" spans="1:4" x14ac:dyDescent="0.25">
      <c r="A103" t="s">
        <v>40</v>
      </c>
      <c r="B103" t="s">
        <v>14</v>
      </c>
      <c r="C103">
        <v>2022</v>
      </c>
      <c r="D103">
        <f>CAPEX_Input!U93</f>
        <v>0.95</v>
      </c>
    </row>
    <row r="104" spans="1:4" x14ac:dyDescent="0.25">
      <c r="A104" t="s">
        <v>40</v>
      </c>
      <c r="B104" t="s">
        <v>15</v>
      </c>
      <c r="C104">
        <v>2022</v>
      </c>
      <c r="D104">
        <f>CAPEX_Input!U94</f>
        <v>1.06</v>
      </c>
    </row>
    <row r="105" spans="1:4" x14ac:dyDescent="0.25">
      <c r="A105" t="s">
        <v>40</v>
      </c>
      <c r="B105" t="s">
        <v>16</v>
      </c>
      <c r="C105">
        <v>2022</v>
      </c>
      <c r="D105">
        <f>CAPEX_Input!U95</f>
        <v>1.18</v>
      </c>
    </row>
    <row r="106" spans="1:4" x14ac:dyDescent="0.25">
      <c r="A106" t="s">
        <v>40</v>
      </c>
      <c r="B106" t="s">
        <v>17</v>
      </c>
      <c r="C106">
        <v>2022</v>
      </c>
      <c r="D106">
        <f>CAPEX_Input!U96</f>
        <v>1.24</v>
      </c>
    </row>
    <row r="107" spans="1:4" x14ac:dyDescent="0.25">
      <c r="A107" t="s">
        <v>40</v>
      </c>
      <c r="B107" t="s">
        <v>18</v>
      </c>
      <c r="C107">
        <v>2022</v>
      </c>
      <c r="D107">
        <f>CAPEX_Input!U97</f>
        <v>0.96</v>
      </c>
    </row>
    <row r="108" spans="1:4" x14ac:dyDescent="0.25">
      <c r="A108" t="s">
        <v>40</v>
      </c>
      <c r="B108" t="s">
        <v>19</v>
      </c>
      <c r="C108">
        <v>2022</v>
      </c>
      <c r="D108">
        <f>CAPEX_Input!U98</f>
        <v>1.06</v>
      </c>
    </row>
    <row r="109" spans="1:4" x14ac:dyDescent="0.25">
      <c r="A109" t="s">
        <v>40</v>
      </c>
      <c r="B109" t="s">
        <v>20</v>
      </c>
      <c r="C109">
        <v>2022</v>
      </c>
      <c r="D109">
        <f>CAPEX_Input!U99</f>
        <v>1.2</v>
      </c>
    </row>
    <row r="110" spans="1:4" x14ac:dyDescent="0.25">
      <c r="A110" t="s">
        <v>40</v>
      </c>
      <c r="B110" t="s">
        <v>21</v>
      </c>
      <c r="C110">
        <v>2022</v>
      </c>
      <c r="D110">
        <f>CAPEX_Input!U100</f>
        <v>1.26</v>
      </c>
    </row>
    <row r="111" spans="1:4" x14ac:dyDescent="0.25">
      <c r="A111" t="s">
        <v>40</v>
      </c>
      <c r="B111" t="s">
        <v>22</v>
      </c>
      <c r="C111">
        <v>2022</v>
      </c>
      <c r="D111">
        <f>CAPEX_Input!U101</f>
        <v>1.03</v>
      </c>
    </row>
    <row r="112" spans="1:4" x14ac:dyDescent="0.25">
      <c r="A112" t="s">
        <v>40</v>
      </c>
      <c r="B112" t="s">
        <v>23</v>
      </c>
      <c r="C112">
        <v>2022</v>
      </c>
      <c r="D112">
        <f>CAPEX_Input!U102</f>
        <v>1.1399999999999999</v>
      </c>
    </row>
    <row r="113" spans="1:4" x14ac:dyDescent="0.25">
      <c r="A113" t="s">
        <v>40</v>
      </c>
      <c r="B113" t="s">
        <v>24</v>
      </c>
      <c r="C113">
        <v>2022</v>
      </c>
      <c r="D113">
        <f>CAPEX_Input!U103</f>
        <v>0.95</v>
      </c>
    </row>
    <row r="114" spans="1:4" x14ac:dyDescent="0.25">
      <c r="A114" t="s">
        <v>40</v>
      </c>
      <c r="B114" t="s">
        <v>7</v>
      </c>
      <c r="C114">
        <v>2030</v>
      </c>
      <c r="D114">
        <f>CAPEX_Input!V88</f>
        <v>0.48</v>
      </c>
    </row>
    <row r="115" spans="1:4" x14ac:dyDescent="0.25">
      <c r="A115" t="s">
        <v>40</v>
      </c>
      <c r="B115" t="s">
        <v>10</v>
      </c>
      <c r="C115">
        <v>2030</v>
      </c>
      <c r="D115">
        <f>CAPEX_Input!V89</f>
        <v>0.5</v>
      </c>
    </row>
    <row r="116" spans="1:4" x14ac:dyDescent="0.25">
      <c r="A116" t="s">
        <v>40</v>
      </c>
      <c r="B116" t="s">
        <v>11</v>
      </c>
      <c r="C116">
        <v>2030</v>
      </c>
      <c r="D116">
        <f>CAPEX_Input!V90</f>
        <v>0.51</v>
      </c>
    </row>
    <row r="117" spans="1:4" x14ac:dyDescent="0.25">
      <c r="A117" t="s">
        <v>40</v>
      </c>
      <c r="B117" t="s">
        <v>12</v>
      </c>
      <c r="C117">
        <v>2030</v>
      </c>
      <c r="D117">
        <f>CAPEX_Input!V91</f>
        <v>0.65</v>
      </c>
    </row>
    <row r="118" spans="1:4" x14ac:dyDescent="0.25">
      <c r="A118" t="s">
        <v>40</v>
      </c>
      <c r="B118" t="s">
        <v>13</v>
      </c>
      <c r="C118">
        <v>2030</v>
      </c>
      <c r="D118">
        <f>CAPEX_Input!V92</f>
        <v>0.66</v>
      </c>
    </row>
    <row r="119" spans="1:4" x14ac:dyDescent="0.25">
      <c r="A119" t="s">
        <v>40</v>
      </c>
      <c r="B119" t="s">
        <v>14</v>
      </c>
      <c r="C119">
        <v>2030</v>
      </c>
      <c r="D119">
        <f>CAPEX_Input!V93</f>
        <v>0.72</v>
      </c>
    </row>
    <row r="120" spans="1:4" x14ac:dyDescent="0.25">
      <c r="A120" t="s">
        <v>40</v>
      </c>
      <c r="B120" t="s">
        <v>15</v>
      </c>
      <c r="C120">
        <v>2030</v>
      </c>
      <c r="D120">
        <f>CAPEX_Input!V94</f>
        <v>0.81</v>
      </c>
    </row>
    <row r="121" spans="1:4" x14ac:dyDescent="0.25">
      <c r="A121" t="s">
        <v>40</v>
      </c>
      <c r="B121" t="s">
        <v>16</v>
      </c>
      <c r="C121">
        <v>2030</v>
      </c>
      <c r="D121">
        <f>CAPEX_Input!V95</f>
        <v>0.87</v>
      </c>
    </row>
    <row r="122" spans="1:4" x14ac:dyDescent="0.25">
      <c r="A122" t="s">
        <v>40</v>
      </c>
      <c r="B122" t="s">
        <v>17</v>
      </c>
      <c r="C122">
        <v>2030</v>
      </c>
      <c r="D122">
        <f>CAPEX_Input!V96</f>
        <v>0.91</v>
      </c>
    </row>
    <row r="123" spans="1:4" x14ac:dyDescent="0.25">
      <c r="A123" t="s">
        <v>40</v>
      </c>
      <c r="B123" t="s">
        <v>18</v>
      </c>
      <c r="C123">
        <v>2030</v>
      </c>
      <c r="D123">
        <f>CAPEX_Input!V97</f>
        <v>0.73</v>
      </c>
    </row>
    <row r="124" spans="1:4" x14ac:dyDescent="0.25">
      <c r="A124" t="s">
        <v>40</v>
      </c>
      <c r="B124" t="s">
        <v>19</v>
      </c>
      <c r="C124">
        <v>2030</v>
      </c>
      <c r="D124">
        <f>CAPEX_Input!V98</f>
        <v>0.8</v>
      </c>
    </row>
    <row r="125" spans="1:4" x14ac:dyDescent="0.25">
      <c r="A125" t="s">
        <v>40</v>
      </c>
      <c r="B125" t="s">
        <v>20</v>
      </c>
      <c r="C125">
        <v>2030</v>
      </c>
      <c r="D125">
        <f>CAPEX_Input!V99</f>
        <v>0.93</v>
      </c>
    </row>
    <row r="126" spans="1:4" x14ac:dyDescent="0.25">
      <c r="A126" t="s">
        <v>40</v>
      </c>
      <c r="B126" t="s">
        <v>21</v>
      </c>
      <c r="C126">
        <v>2030</v>
      </c>
      <c r="D126">
        <f>CAPEX_Input!V100</f>
        <v>0.97</v>
      </c>
    </row>
    <row r="127" spans="1:4" x14ac:dyDescent="0.25">
      <c r="A127" t="s">
        <v>40</v>
      </c>
      <c r="B127" t="s">
        <v>22</v>
      </c>
      <c r="C127">
        <v>2030</v>
      </c>
      <c r="D127">
        <f>CAPEX_Input!V101</f>
        <v>0.81</v>
      </c>
    </row>
    <row r="128" spans="1:4" x14ac:dyDescent="0.25">
      <c r="A128" t="s">
        <v>40</v>
      </c>
      <c r="B128" t="s">
        <v>23</v>
      </c>
      <c r="C128">
        <v>2030</v>
      </c>
      <c r="D128">
        <f>CAPEX_Input!V102</f>
        <v>0.9</v>
      </c>
    </row>
    <row r="129" spans="1:4" x14ac:dyDescent="0.25">
      <c r="A129" t="s">
        <v>40</v>
      </c>
      <c r="B129" t="s">
        <v>24</v>
      </c>
      <c r="C129">
        <v>2030</v>
      </c>
      <c r="D129">
        <f>CAPEX_Input!V103</f>
        <v>0.72</v>
      </c>
    </row>
    <row r="130" spans="1:4" x14ac:dyDescent="0.25">
      <c r="A130" t="s">
        <v>40</v>
      </c>
      <c r="B130" t="s">
        <v>7</v>
      </c>
      <c r="C130">
        <v>2040</v>
      </c>
      <c r="D130">
        <f>CAPEX_Input!W88</f>
        <v>0.48</v>
      </c>
    </row>
    <row r="131" spans="1:4" x14ac:dyDescent="0.25">
      <c r="A131" t="s">
        <v>40</v>
      </c>
      <c r="B131" t="s">
        <v>10</v>
      </c>
      <c r="C131">
        <v>2040</v>
      </c>
      <c r="D131">
        <f>CAPEX_Input!W89</f>
        <v>0.5</v>
      </c>
    </row>
    <row r="132" spans="1:4" x14ac:dyDescent="0.25">
      <c r="A132" t="s">
        <v>40</v>
      </c>
      <c r="B132" t="s">
        <v>11</v>
      </c>
      <c r="C132">
        <v>2040</v>
      </c>
      <c r="D132">
        <f>CAPEX_Input!W90</f>
        <v>0.51</v>
      </c>
    </row>
    <row r="133" spans="1:4" x14ac:dyDescent="0.25">
      <c r="A133" t="s">
        <v>40</v>
      </c>
      <c r="B133" t="s">
        <v>12</v>
      </c>
      <c r="C133">
        <v>2040</v>
      </c>
      <c r="D133">
        <f>CAPEX_Input!W91</f>
        <v>0.65</v>
      </c>
    </row>
    <row r="134" spans="1:4" x14ac:dyDescent="0.25">
      <c r="A134" t="s">
        <v>40</v>
      </c>
      <c r="B134" t="s">
        <v>13</v>
      </c>
      <c r="C134">
        <v>2040</v>
      </c>
      <c r="D134">
        <f>CAPEX_Input!W92</f>
        <v>0.66</v>
      </c>
    </row>
    <row r="135" spans="1:4" x14ac:dyDescent="0.25">
      <c r="A135" t="s">
        <v>40</v>
      </c>
      <c r="B135" t="s">
        <v>14</v>
      </c>
      <c r="C135">
        <v>2040</v>
      </c>
      <c r="D135">
        <f>CAPEX_Input!W93</f>
        <v>0.72</v>
      </c>
    </row>
    <row r="136" spans="1:4" x14ac:dyDescent="0.25">
      <c r="A136" t="s">
        <v>40</v>
      </c>
      <c r="B136" t="s">
        <v>15</v>
      </c>
      <c r="C136">
        <v>2040</v>
      </c>
      <c r="D136">
        <f>CAPEX_Input!W94</f>
        <v>0.81</v>
      </c>
    </row>
    <row r="137" spans="1:4" x14ac:dyDescent="0.25">
      <c r="A137" t="s">
        <v>40</v>
      </c>
      <c r="B137" t="s">
        <v>16</v>
      </c>
      <c r="C137">
        <v>2040</v>
      </c>
      <c r="D137">
        <f>CAPEX_Input!W95</f>
        <v>0.87</v>
      </c>
    </row>
    <row r="138" spans="1:4" x14ac:dyDescent="0.25">
      <c r="A138" t="s">
        <v>40</v>
      </c>
      <c r="B138" t="s">
        <v>17</v>
      </c>
      <c r="C138">
        <v>2040</v>
      </c>
      <c r="D138">
        <f>CAPEX_Input!W96</f>
        <v>0.91</v>
      </c>
    </row>
    <row r="139" spans="1:4" x14ac:dyDescent="0.25">
      <c r="A139" t="s">
        <v>40</v>
      </c>
      <c r="B139" t="s">
        <v>18</v>
      </c>
      <c r="C139">
        <v>2040</v>
      </c>
      <c r="D139">
        <f>CAPEX_Input!W97</f>
        <v>0.73</v>
      </c>
    </row>
    <row r="140" spans="1:4" x14ac:dyDescent="0.25">
      <c r="A140" t="s">
        <v>40</v>
      </c>
      <c r="B140" t="s">
        <v>19</v>
      </c>
      <c r="C140">
        <v>2040</v>
      </c>
      <c r="D140">
        <f>CAPEX_Input!W98</f>
        <v>0.8</v>
      </c>
    </row>
    <row r="141" spans="1:4" x14ac:dyDescent="0.25">
      <c r="A141" t="s">
        <v>40</v>
      </c>
      <c r="B141" t="s">
        <v>20</v>
      </c>
      <c r="C141">
        <v>2040</v>
      </c>
      <c r="D141">
        <f>CAPEX_Input!W99</f>
        <v>0.93</v>
      </c>
    </row>
    <row r="142" spans="1:4" x14ac:dyDescent="0.25">
      <c r="A142" t="s">
        <v>40</v>
      </c>
      <c r="B142" t="s">
        <v>21</v>
      </c>
      <c r="C142">
        <v>2040</v>
      </c>
      <c r="D142">
        <f>CAPEX_Input!W100</f>
        <v>0.97</v>
      </c>
    </row>
    <row r="143" spans="1:4" x14ac:dyDescent="0.25">
      <c r="A143" t="s">
        <v>40</v>
      </c>
      <c r="B143" t="s">
        <v>22</v>
      </c>
      <c r="C143">
        <v>2040</v>
      </c>
      <c r="D143">
        <f>CAPEX_Input!W101</f>
        <v>0.81</v>
      </c>
    </row>
    <row r="144" spans="1:4" x14ac:dyDescent="0.25">
      <c r="A144" t="s">
        <v>40</v>
      </c>
      <c r="B144" t="s">
        <v>23</v>
      </c>
      <c r="C144">
        <v>2040</v>
      </c>
      <c r="D144">
        <f>CAPEX_Input!W102</f>
        <v>0.9</v>
      </c>
    </row>
    <row r="145" spans="1:4" x14ac:dyDescent="0.25">
      <c r="A145" t="s">
        <v>40</v>
      </c>
      <c r="B145" t="s">
        <v>24</v>
      </c>
      <c r="C145">
        <v>2040</v>
      </c>
      <c r="D145">
        <f>CAPEX_Input!W103</f>
        <v>0.72</v>
      </c>
    </row>
    <row r="146" spans="1:4" x14ac:dyDescent="0.25">
      <c r="A146" t="s">
        <v>41</v>
      </c>
      <c r="B146" t="s">
        <v>7</v>
      </c>
      <c r="C146">
        <v>2022</v>
      </c>
      <c r="D146">
        <f>CAPEX_Input!AB88</f>
        <v>3.33</v>
      </c>
    </row>
    <row r="147" spans="1:4" x14ac:dyDescent="0.25">
      <c r="A147" t="s">
        <v>41</v>
      </c>
      <c r="B147" t="s">
        <v>10</v>
      </c>
      <c r="C147">
        <v>2022</v>
      </c>
      <c r="D147">
        <f>CAPEX_Input!AB89</f>
        <v>3.45</v>
      </c>
    </row>
    <row r="148" spans="1:4" x14ac:dyDescent="0.25">
      <c r="A148" t="s">
        <v>41</v>
      </c>
      <c r="B148" t="s">
        <v>11</v>
      </c>
      <c r="C148">
        <v>2022</v>
      </c>
      <c r="D148">
        <f>CAPEX_Input!AB90</f>
        <v>3.56</v>
      </c>
    </row>
    <row r="149" spans="1:4" x14ac:dyDescent="0.25">
      <c r="A149" t="s">
        <v>41</v>
      </c>
      <c r="B149" t="s">
        <v>12</v>
      </c>
      <c r="C149">
        <v>2022</v>
      </c>
      <c r="D149">
        <f>CAPEX_Input!AB91</f>
        <v>4.59</v>
      </c>
    </row>
    <row r="150" spans="1:4" x14ac:dyDescent="0.25">
      <c r="A150" t="s">
        <v>41</v>
      </c>
      <c r="B150" t="s">
        <v>13</v>
      </c>
      <c r="C150">
        <v>2022</v>
      </c>
      <c r="D150">
        <f>CAPEX_Input!AB92</f>
        <v>5.01</v>
      </c>
    </row>
    <row r="151" spans="1:4" x14ac:dyDescent="0.25">
      <c r="A151" t="s">
        <v>41</v>
      </c>
      <c r="B151" t="s">
        <v>14</v>
      </c>
      <c r="C151">
        <v>2022</v>
      </c>
      <c r="D151">
        <f>CAPEX_Input!AB93</f>
        <v>5.4</v>
      </c>
    </row>
    <row r="152" spans="1:4" x14ac:dyDescent="0.25">
      <c r="A152" t="s">
        <v>41</v>
      </c>
      <c r="B152" t="s">
        <v>15</v>
      </c>
      <c r="C152">
        <v>2022</v>
      </c>
      <c r="D152">
        <f>CAPEX_Input!AB94</f>
        <v>6.73</v>
      </c>
    </row>
    <row r="153" spans="1:4" x14ac:dyDescent="0.25">
      <c r="A153" t="s">
        <v>41</v>
      </c>
      <c r="B153" t="s">
        <v>16</v>
      </c>
      <c r="C153">
        <v>2022</v>
      </c>
      <c r="D153">
        <f>CAPEX_Input!AB95</f>
        <v>6.73</v>
      </c>
    </row>
    <row r="154" spans="1:4" x14ac:dyDescent="0.25">
      <c r="A154" t="s">
        <v>41</v>
      </c>
      <c r="B154" t="s">
        <v>17</v>
      </c>
      <c r="C154">
        <v>2022</v>
      </c>
      <c r="D154">
        <f>CAPEX_Input!AB96</f>
        <v>7.87</v>
      </c>
    </row>
    <row r="155" spans="1:4" x14ac:dyDescent="0.25">
      <c r="A155" t="s">
        <v>41</v>
      </c>
      <c r="B155" t="s">
        <v>18</v>
      </c>
      <c r="C155">
        <v>2022</v>
      </c>
      <c r="D155">
        <f>CAPEX_Input!AB97</f>
        <v>5.46</v>
      </c>
    </row>
    <row r="156" spans="1:4" x14ac:dyDescent="0.25">
      <c r="A156" t="s">
        <v>41</v>
      </c>
      <c r="B156" t="s">
        <v>19</v>
      </c>
      <c r="C156">
        <v>2022</v>
      </c>
      <c r="D156">
        <f>CAPEX_Input!AB98</f>
        <v>6.69</v>
      </c>
    </row>
    <row r="157" spans="1:4" x14ac:dyDescent="0.25">
      <c r="A157" t="s">
        <v>41</v>
      </c>
      <c r="B157" t="s">
        <v>20</v>
      </c>
      <c r="C157">
        <v>2022</v>
      </c>
      <c r="D157">
        <f>CAPEX_Input!AB99</f>
        <v>6.84</v>
      </c>
    </row>
    <row r="158" spans="1:4" x14ac:dyDescent="0.25">
      <c r="A158" t="s">
        <v>41</v>
      </c>
      <c r="B158" t="s">
        <v>21</v>
      </c>
      <c r="C158">
        <v>2022</v>
      </c>
      <c r="D158">
        <f>CAPEX_Input!AB100</f>
        <v>7.98</v>
      </c>
    </row>
    <row r="159" spans="1:4" x14ac:dyDescent="0.25">
      <c r="A159" t="s">
        <v>41</v>
      </c>
      <c r="B159" t="s">
        <v>22</v>
      </c>
      <c r="C159">
        <v>2022</v>
      </c>
      <c r="D159">
        <f>CAPEX_Input!AB101</f>
        <v>5.89</v>
      </c>
    </row>
    <row r="160" spans="1:4" x14ac:dyDescent="0.25">
      <c r="A160" t="s">
        <v>41</v>
      </c>
      <c r="B160" t="s">
        <v>23</v>
      </c>
      <c r="C160">
        <v>2022</v>
      </c>
      <c r="D160">
        <f>CAPEX_Input!AB102</f>
        <v>6.53</v>
      </c>
    </row>
    <row r="161" spans="1:4" x14ac:dyDescent="0.25">
      <c r="A161" t="s">
        <v>41</v>
      </c>
      <c r="B161" t="s">
        <v>24</v>
      </c>
      <c r="C161">
        <v>2022</v>
      </c>
      <c r="D161">
        <f>CAPEX_Input!AB103</f>
        <v>5.41</v>
      </c>
    </row>
    <row r="162" spans="1:4" x14ac:dyDescent="0.25">
      <c r="A162" t="s">
        <v>41</v>
      </c>
      <c r="B162" t="s">
        <v>7</v>
      </c>
      <c r="C162">
        <v>2030</v>
      </c>
      <c r="D162">
        <f>CAPEX_Input!AC88</f>
        <v>2.48</v>
      </c>
    </row>
    <row r="163" spans="1:4" x14ac:dyDescent="0.25">
      <c r="A163" t="s">
        <v>41</v>
      </c>
      <c r="B163" t="s">
        <v>10</v>
      </c>
      <c r="C163">
        <v>2030</v>
      </c>
      <c r="D163">
        <f>CAPEX_Input!AC89</f>
        <v>2.57</v>
      </c>
    </row>
    <row r="164" spans="1:4" x14ac:dyDescent="0.25">
      <c r="A164" t="s">
        <v>41</v>
      </c>
      <c r="B164" t="s">
        <v>11</v>
      </c>
      <c r="C164">
        <v>2030</v>
      </c>
      <c r="D164">
        <f>CAPEX_Input!AC90</f>
        <v>2.64</v>
      </c>
    </row>
    <row r="165" spans="1:4" x14ac:dyDescent="0.25">
      <c r="A165" t="s">
        <v>41</v>
      </c>
      <c r="B165" t="s">
        <v>12</v>
      </c>
      <c r="C165">
        <v>2030</v>
      </c>
      <c r="D165">
        <f>CAPEX_Input!AC91</f>
        <v>3.37</v>
      </c>
    </row>
    <row r="166" spans="1:4" x14ac:dyDescent="0.25">
      <c r="A166" t="s">
        <v>41</v>
      </c>
      <c r="B166" t="s">
        <v>13</v>
      </c>
      <c r="C166">
        <v>2030</v>
      </c>
      <c r="D166">
        <f>CAPEX_Input!AC92</f>
        <v>3.45</v>
      </c>
    </row>
    <row r="167" spans="1:4" x14ac:dyDescent="0.25">
      <c r="A167" t="s">
        <v>41</v>
      </c>
      <c r="B167" t="s">
        <v>14</v>
      </c>
      <c r="C167">
        <v>2030</v>
      </c>
      <c r="D167">
        <f>CAPEX_Input!AC93</f>
        <v>3.72</v>
      </c>
    </row>
    <row r="168" spans="1:4" x14ac:dyDescent="0.25">
      <c r="A168" t="s">
        <v>41</v>
      </c>
      <c r="B168" t="s">
        <v>15</v>
      </c>
      <c r="C168">
        <v>2030</v>
      </c>
      <c r="D168">
        <f>CAPEX_Input!AC94</f>
        <v>4.8899999999999997</v>
      </c>
    </row>
    <row r="169" spans="1:4" x14ac:dyDescent="0.25">
      <c r="A169" t="s">
        <v>41</v>
      </c>
      <c r="B169" t="s">
        <v>16</v>
      </c>
      <c r="C169">
        <v>2030</v>
      </c>
      <c r="D169">
        <f>CAPEX_Input!AC95</f>
        <v>4.51</v>
      </c>
    </row>
    <row r="170" spans="1:4" x14ac:dyDescent="0.25">
      <c r="A170" t="s">
        <v>41</v>
      </c>
      <c r="B170" t="s">
        <v>17</v>
      </c>
      <c r="C170">
        <v>2030</v>
      </c>
      <c r="D170">
        <f>CAPEX_Input!AC96</f>
        <v>5.54</v>
      </c>
    </row>
    <row r="171" spans="1:4" x14ac:dyDescent="0.25">
      <c r="A171" t="s">
        <v>41</v>
      </c>
      <c r="B171" t="s">
        <v>18</v>
      </c>
      <c r="C171">
        <v>2030</v>
      </c>
      <c r="D171">
        <f>CAPEX_Input!AC97</f>
        <v>3.81</v>
      </c>
    </row>
    <row r="172" spans="1:4" x14ac:dyDescent="0.25">
      <c r="A172" t="s">
        <v>41</v>
      </c>
      <c r="B172" t="s">
        <v>19</v>
      </c>
      <c r="C172">
        <v>2030</v>
      </c>
      <c r="D172">
        <f>CAPEX_Input!AC98</f>
        <v>4.8899999999999997</v>
      </c>
    </row>
    <row r="173" spans="1:4" x14ac:dyDescent="0.25">
      <c r="A173" t="s">
        <v>41</v>
      </c>
      <c r="B173" t="s">
        <v>20</v>
      </c>
      <c r="C173">
        <v>2030</v>
      </c>
      <c r="D173">
        <f>CAPEX_Input!AC99</f>
        <v>4.8099999999999996</v>
      </c>
    </row>
    <row r="174" spans="1:4" x14ac:dyDescent="0.25">
      <c r="A174" t="s">
        <v>41</v>
      </c>
      <c r="B174" t="s">
        <v>21</v>
      </c>
      <c r="C174">
        <v>2030</v>
      </c>
      <c r="D174">
        <f>CAPEX_Input!AC100</f>
        <v>5.9</v>
      </c>
    </row>
    <row r="175" spans="1:4" x14ac:dyDescent="0.25">
      <c r="A175" t="s">
        <v>41</v>
      </c>
      <c r="B175" t="s">
        <v>22</v>
      </c>
      <c r="C175">
        <v>2030</v>
      </c>
      <c r="D175">
        <f>CAPEX_Input!AC101</f>
        <v>4.2</v>
      </c>
    </row>
    <row r="176" spans="1:4" x14ac:dyDescent="0.25">
      <c r="A176" t="s">
        <v>41</v>
      </c>
      <c r="B176" t="s">
        <v>23</v>
      </c>
      <c r="C176">
        <v>2030</v>
      </c>
      <c r="D176">
        <f>CAPEX_Input!AC102</f>
        <v>4.67</v>
      </c>
    </row>
    <row r="177" spans="1:4" x14ac:dyDescent="0.25">
      <c r="A177" t="s">
        <v>41</v>
      </c>
      <c r="B177" t="s">
        <v>24</v>
      </c>
      <c r="C177">
        <v>2030</v>
      </c>
      <c r="D177">
        <f>CAPEX_Input!AC103</f>
        <v>3.76</v>
      </c>
    </row>
    <row r="178" spans="1:4" x14ac:dyDescent="0.25">
      <c r="A178" t="s">
        <v>41</v>
      </c>
      <c r="B178" t="s">
        <v>7</v>
      </c>
      <c r="C178">
        <v>2040</v>
      </c>
      <c r="D178">
        <f>CAPEX_Input!AD88</f>
        <v>2.27</v>
      </c>
    </row>
    <row r="179" spans="1:4" x14ac:dyDescent="0.25">
      <c r="A179" t="s">
        <v>41</v>
      </c>
      <c r="B179" t="s">
        <v>10</v>
      </c>
      <c r="C179">
        <v>2040</v>
      </c>
      <c r="D179">
        <f>CAPEX_Input!AD89</f>
        <v>2.35</v>
      </c>
    </row>
    <row r="180" spans="1:4" x14ac:dyDescent="0.25">
      <c r="A180" t="s">
        <v>41</v>
      </c>
      <c r="B180" t="s">
        <v>11</v>
      </c>
      <c r="C180">
        <v>2040</v>
      </c>
      <c r="D180">
        <f>CAPEX_Input!AD90</f>
        <v>2.42</v>
      </c>
    </row>
    <row r="181" spans="1:4" x14ac:dyDescent="0.25">
      <c r="A181" t="s">
        <v>41</v>
      </c>
      <c r="B181" t="s">
        <v>12</v>
      </c>
      <c r="C181">
        <v>2040</v>
      </c>
      <c r="D181">
        <f>CAPEX_Input!AD91</f>
        <v>3.09</v>
      </c>
    </row>
    <row r="182" spans="1:4" x14ac:dyDescent="0.25">
      <c r="A182" t="s">
        <v>41</v>
      </c>
      <c r="B182" t="s">
        <v>13</v>
      </c>
      <c r="C182">
        <v>2040</v>
      </c>
      <c r="D182">
        <f>CAPEX_Input!AD92</f>
        <v>3.16</v>
      </c>
    </row>
    <row r="183" spans="1:4" x14ac:dyDescent="0.25">
      <c r="A183" t="s">
        <v>41</v>
      </c>
      <c r="B183" t="s">
        <v>14</v>
      </c>
      <c r="C183">
        <v>2040</v>
      </c>
      <c r="D183">
        <f>CAPEX_Input!AD93</f>
        <v>3.41</v>
      </c>
    </row>
    <row r="184" spans="1:4" x14ac:dyDescent="0.25">
      <c r="A184" t="s">
        <v>41</v>
      </c>
      <c r="B184" t="s">
        <v>15</v>
      </c>
      <c r="C184">
        <v>2040</v>
      </c>
      <c r="D184">
        <f>CAPEX_Input!AD94</f>
        <v>4.59</v>
      </c>
    </row>
    <row r="185" spans="1:4" x14ac:dyDescent="0.25">
      <c r="A185" t="s">
        <v>41</v>
      </c>
      <c r="B185" t="s">
        <v>16</v>
      </c>
      <c r="C185">
        <v>2040</v>
      </c>
      <c r="D185">
        <f>CAPEX_Input!AD95</f>
        <v>4.1399999999999997</v>
      </c>
    </row>
    <row r="186" spans="1:4" x14ac:dyDescent="0.25">
      <c r="A186" t="s">
        <v>41</v>
      </c>
      <c r="B186" t="s">
        <v>17</v>
      </c>
      <c r="C186">
        <v>2040</v>
      </c>
      <c r="D186">
        <f>CAPEX_Input!AD96</f>
        <v>5.21</v>
      </c>
    </row>
    <row r="187" spans="1:4" x14ac:dyDescent="0.25">
      <c r="A187" t="s">
        <v>41</v>
      </c>
      <c r="B187" t="s">
        <v>18</v>
      </c>
      <c r="C187">
        <v>2040</v>
      </c>
      <c r="D187">
        <f>CAPEX_Input!AD97</f>
        <v>3.49</v>
      </c>
    </row>
    <row r="188" spans="1:4" x14ac:dyDescent="0.25">
      <c r="A188" t="s">
        <v>41</v>
      </c>
      <c r="B188" t="s">
        <v>19</v>
      </c>
      <c r="C188">
        <v>2040</v>
      </c>
      <c r="D188">
        <f>CAPEX_Input!AD98</f>
        <v>4.59</v>
      </c>
    </row>
    <row r="189" spans="1:4" x14ac:dyDescent="0.25">
      <c r="A189" t="s">
        <v>41</v>
      </c>
      <c r="B189" t="s">
        <v>20</v>
      </c>
      <c r="C189">
        <v>2040</v>
      </c>
      <c r="D189">
        <f>CAPEX_Input!AD99</f>
        <v>4.41</v>
      </c>
    </row>
    <row r="190" spans="1:4" x14ac:dyDescent="0.25">
      <c r="A190" t="s">
        <v>41</v>
      </c>
      <c r="B190" t="s">
        <v>21</v>
      </c>
      <c r="C190">
        <v>2040</v>
      </c>
      <c r="D190">
        <f>CAPEX_Input!AD100</f>
        <v>5.54</v>
      </c>
    </row>
    <row r="191" spans="1:4" x14ac:dyDescent="0.25">
      <c r="A191" t="s">
        <v>41</v>
      </c>
      <c r="B191" t="s">
        <v>22</v>
      </c>
      <c r="C191">
        <v>2040</v>
      </c>
      <c r="D191">
        <f>CAPEX_Input!AD101</f>
        <v>3.85</v>
      </c>
    </row>
    <row r="192" spans="1:4" x14ac:dyDescent="0.25">
      <c r="A192" t="s">
        <v>41</v>
      </c>
      <c r="B192" t="s">
        <v>23</v>
      </c>
      <c r="C192">
        <v>2040</v>
      </c>
      <c r="D192">
        <f>CAPEX_Input!AD102</f>
        <v>4.28</v>
      </c>
    </row>
    <row r="193" spans="1:4" x14ac:dyDescent="0.25">
      <c r="A193" t="s">
        <v>41</v>
      </c>
      <c r="B193" t="s">
        <v>24</v>
      </c>
      <c r="C193">
        <v>2040</v>
      </c>
      <c r="D193">
        <f>CAPEX_Input!AD103</f>
        <v>3.45</v>
      </c>
    </row>
    <row r="194" spans="1:4" x14ac:dyDescent="0.25">
      <c r="A194" t="s">
        <v>77</v>
      </c>
      <c r="B194" t="s">
        <v>7</v>
      </c>
      <c r="C194">
        <v>2022</v>
      </c>
      <c r="D194">
        <f>D2</f>
        <v>21.17</v>
      </c>
    </row>
    <row r="195" spans="1:4" x14ac:dyDescent="0.25">
      <c r="A195" t="s">
        <v>77</v>
      </c>
      <c r="B195" t="s">
        <v>10</v>
      </c>
      <c r="C195">
        <v>2022</v>
      </c>
      <c r="D195">
        <f t="shared" ref="D195:D241" si="0">D3</f>
        <v>21.93</v>
      </c>
    </row>
    <row r="196" spans="1:4" x14ac:dyDescent="0.25">
      <c r="A196" t="s">
        <v>77</v>
      </c>
      <c r="B196" t="s">
        <v>11</v>
      </c>
      <c r="C196">
        <v>2022</v>
      </c>
      <c r="D196">
        <f t="shared" si="0"/>
        <v>22.69</v>
      </c>
    </row>
    <row r="197" spans="1:4" x14ac:dyDescent="0.25">
      <c r="A197" t="s">
        <v>77</v>
      </c>
      <c r="B197" t="s">
        <v>12</v>
      </c>
      <c r="C197">
        <v>2022</v>
      </c>
      <c r="D197">
        <f t="shared" si="0"/>
        <v>24.43</v>
      </c>
    </row>
    <row r="198" spans="1:4" x14ac:dyDescent="0.25">
      <c r="A198" t="s">
        <v>77</v>
      </c>
      <c r="B198" t="s">
        <v>13</v>
      </c>
      <c r="C198">
        <v>2022</v>
      </c>
      <c r="D198">
        <f t="shared" si="0"/>
        <v>24.63</v>
      </c>
    </row>
    <row r="199" spans="1:4" x14ac:dyDescent="0.25">
      <c r="A199" t="s">
        <v>77</v>
      </c>
      <c r="B199" t="s">
        <v>14</v>
      </c>
      <c r="C199">
        <v>2022</v>
      </c>
      <c r="D199">
        <f t="shared" si="0"/>
        <v>25.15</v>
      </c>
    </row>
    <row r="200" spans="1:4" x14ac:dyDescent="0.25">
      <c r="A200" t="s">
        <v>77</v>
      </c>
      <c r="B200" t="s">
        <v>15</v>
      </c>
      <c r="C200">
        <v>2022</v>
      </c>
      <c r="D200">
        <f t="shared" si="0"/>
        <v>24.58</v>
      </c>
    </row>
    <row r="201" spans="1:4" x14ac:dyDescent="0.25">
      <c r="A201" t="s">
        <v>77</v>
      </c>
      <c r="B201" t="s">
        <v>16</v>
      </c>
      <c r="C201">
        <v>2022</v>
      </c>
      <c r="D201">
        <f t="shared" si="0"/>
        <v>29.83</v>
      </c>
    </row>
    <row r="202" spans="1:4" x14ac:dyDescent="0.25">
      <c r="A202" t="s">
        <v>77</v>
      </c>
      <c r="B202" t="s">
        <v>17</v>
      </c>
      <c r="C202">
        <v>2022</v>
      </c>
      <c r="D202">
        <f t="shared" si="0"/>
        <v>34.6</v>
      </c>
    </row>
    <row r="203" spans="1:4" x14ac:dyDescent="0.25">
      <c r="A203" t="s">
        <v>77</v>
      </c>
      <c r="B203" t="s">
        <v>18</v>
      </c>
      <c r="C203">
        <v>2022</v>
      </c>
      <c r="D203">
        <f t="shared" si="0"/>
        <v>26.26</v>
      </c>
    </row>
    <row r="204" spans="1:4" x14ac:dyDescent="0.25">
      <c r="A204" t="s">
        <v>77</v>
      </c>
      <c r="B204" t="s">
        <v>19</v>
      </c>
      <c r="C204">
        <v>2022</v>
      </c>
      <c r="D204">
        <f t="shared" si="0"/>
        <v>26.26</v>
      </c>
    </row>
    <row r="205" spans="1:4" x14ac:dyDescent="0.25">
      <c r="A205" t="s">
        <v>77</v>
      </c>
      <c r="B205" t="s">
        <v>20</v>
      </c>
      <c r="C205">
        <v>2022</v>
      </c>
      <c r="D205">
        <f t="shared" si="0"/>
        <v>34.07</v>
      </c>
    </row>
    <row r="206" spans="1:4" x14ac:dyDescent="0.25">
      <c r="A206" t="s">
        <v>77</v>
      </c>
      <c r="B206" t="s">
        <v>21</v>
      </c>
      <c r="C206">
        <v>2022</v>
      </c>
      <c r="D206">
        <f t="shared" si="0"/>
        <v>34.07</v>
      </c>
    </row>
    <row r="207" spans="1:4" x14ac:dyDescent="0.25">
      <c r="A207" t="s">
        <v>77</v>
      </c>
      <c r="B207" t="s">
        <v>22</v>
      </c>
      <c r="C207">
        <v>2022</v>
      </c>
      <c r="D207">
        <f t="shared" si="0"/>
        <v>26.42</v>
      </c>
    </row>
    <row r="208" spans="1:4" x14ac:dyDescent="0.25">
      <c r="A208" t="s">
        <v>77</v>
      </c>
      <c r="B208" t="s">
        <v>23</v>
      </c>
      <c r="C208">
        <v>2022</v>
      </c>
      <c r="D208">
        <f t="shared" si="0"/>
        <v>34.28</v>
      </c>
    </row>
    <row r="209" spans="1:4" x14ac:dyDescent="0.25">
      <c r="A209" t="s">
        <v>77</v>
      </c>
      <c r="B209" t="s">
        <v>24</v>
      </c>
      <c r="C209">
        <v>2022</v>
      </c>
      <c r="D209" t="str">
        <f t="shared" si="0"/>
        <v>-</v>
      </c>
    </row>
    <row r="210" spans="1:4" x14ac:dyDescent="0.25">
      <c r="A210" t="s">
        <v>77</v>
      </c>
      <c r="B210" t="s">
        <v>7</v>
      </c>
      <c r="C210">
        <v>2030</v>
      </c>
      <c r="D210">
        <f t="shared" si="0"/>
        <v>21.17</v>
      </c>
    </row>
    <row r="211" spans="1:4" x14ac:dyDescent="0.25">
      <c r="A211" t="s">
        <v>77</v>
      </c>
      <c r="B211" t="s">
        <v>10</v>
      </c>
      <c r="C211">
        <v>2030</v>
      </c>
      <c r="D211">
        <f t="shared" si="0"/>
        <v>21.93</v>
      </c>
    </row>
    <row r="212" spans="1:4" x14ac:dyDescent="0.25">
      <c r="A212" t="s">
        <v>77</v>
      </c>
      <c r="B212" t="s">
        <v>11</v>
      </c>
      <c r="C212">
        <v>2030</v>
      </c>
      <c r="D212">
        <f t="shared" si="0"/>
        <v>22.69</v>
      </c>
    </row>
    <row r="213" spans="1:4" x14ac:dyDescent="0.25">
      <c r="A213" t="s">
        <v>77</v>
      </c>
      <c r="B213" t="s">
        <v>12</v>
      </c>
      <c r="C213">
        <v>2030</v>
      </c>
      <c r="D213">
        <f t="shared" si="0"/>
        <v>24.43</v>
      </c>
    </row>
    <row r="214" spans="1:4" x14ac:dyDescent="0.25">
      <c r="A214" t="s">
        <v>77</v>
      </c>
      <c r="B214" t="s">
        <v>13</v>
      </c>
      <c r="C214">
        <v>2030</v>
      </c>
      <c r="D214">
        <f t="shared" si="0"/>
        <v>24.63</v>
      </c>
    </row>
    <row r="215" spans="1:4" x14ac:dyDescent="0.25">
      <c r="A215" t="s">
        <v>77</v>
      </c>
      <c r="B215" t="s">
        <v>14</v>
      </c>
      <c r="C215">
        <v>2030</v>
      </c>
      <c r="D215">
        <f t="shared" si="0"/>
        <v>25.15</v>
      </c>
    </row>
    <row r="216" spans="1:4" x14ac:dyDescent="0.25">
      <c r="A216" t="s">
        <v>77</v>
      </c>
      <c r="B216" t="s">
        <v>15</v>
      </c>
      <c r="C216">
        <v>2030</v>
      </c>
      <c r="D216">
        <f t="shared" si="0"/>
        <v>24.58</v>
      </c>
    </row>
    <row r="217" spans="1:4" x14ac:dyDescent="0.25">
      <c r="A217" t="s">
        <v>77</v>
      </c>
      <c r="B217" t="s">
        <v>16</v>
      </c>
      <c r="C217">
        <v>2030</v>
      </c>
      <c r="D217">
        <f t="shared" si="0"/>
        <v>29.83</v>
      </c>
    </row>
    <row r="218" spans="1:4" x14ac:dyDescent="0.25">
      <c r="A218" t="s">
        <v>77</v>
      </c>
      <c r="B218" t="s">
        <v>17</v>
      </c>
      <c r="C218">
        <v>2030</v>
      </c>
      <c r="D218">
        <f t="shared" si="0"/>
        <v>34.6</v>
      </c>
    </row>
    <row r="219" spans="1:4" x14ac:dyDescent="0.25">
      <c r="A219" t="s">
        <v>77</v>
      </c>
      <c r="B219" t="s">
        <v>18</v>
      </c>
      <c r="C219">
        <v>2030</v>
      </c>
      <c r="D219">
        <f t="shared" si="0"/>
        <v>26.26</v>
      </c>
    </row>
    <row r="220" spans="1:4" x14ac:dyDescent="0.25">
      <c r="A220" t="s">
        <v>77</v>
      </c>
      <c r="B220" t="s">
        <v>19</v>
      </c>
      <c r="C220">
        <v>2030</v>
      </c>
      <c r="D220">
        <f t="shared" si="0"/>
        <v>26.26</v>
      </c>
    </row>
    <row r="221" spans="1:4" x14ac:dyDescent="0.25">
      <c r="A221" t="s">
        <v>77</v>
      </c>
      <c r="B221" t="s">
        <v>20</v>
      </c>
      <c r="C221">
        <v>2030</v>
      </c>
      <c r="D221">
        <f t="shared" si="0"/>
        <v>34.07</v>
      </c>
    </row>
    <row r="222" spans="1:4" x14ac:dyDescent="0.25">
      <c r="A222" t="s">
        <v>77</v>
      </c>
      <c r="B222" t="s">
        <v>21</v>
      </c>
      <c r="C222">
        <v>2030</v>
      </c>
      <c r="D222">
        <f t="shared" si="0"/>
        <v>34.07</v>
      </c>
    </row>
    <row r="223" spans="1:4" x14ac:dyDescent="0.25">
      <c r="A223" t="s">
        <v>77</v>
      </c>
      <c r="B223" t="s">
        <v>22</v>
      </c>
      <c r="C223">
        <v>2030</v>
      </c>
      <c r="D223">
        <f t="shared" si="0"/>
        <v>26.42</v>
      </c>
    </row>
    <row r="224" spans="1:4" x14ac:dyDescent="0.25">
      <c r="A224" t="s">
        <v>77</v>
      </c>
      <c r="B224" t="s">
        <v>23</v>
      </c>
      <c r="C224">
        <v>2030</v>
      </c>
      <c r="D224">
        <f t="shared" si="0"/>
        <v>34.28</v>
      </c>
    </row>
    <row r="225" spans="1:4" x14ac:dyDescent="0.25">
      <c r="A225" t="s">
        <v>77</v>
      </c>
      <c r="B225" t="s">
        <v>24</v>
      </c>
      <c r="C225">
        <v>2030</v>
      </c>
      <c r="D225" t="str">
        <f t="shared" si="0"/>
        <v>-</v>
      </c>
    </row>
    <row r="226" spans="1:4" x14ac:dyDescent="0.25">
      <c r="A226" t="s">
        <v>77</v>
      </c>
      <c r="B226" t="s">
        <v>7</v>
      </c>
      <c r="C226">
        <v>2040</v>
      </c>
      <c r="D226">
        <f t="shared" si="0"/>
        <v>21.17</v>
      </c>
    </row>
    <row r="227" spans="1:4" x14ac:dyDescent="0.25">
      <c r="A227" t="s">
        <v>77</v>
      </c>
      <c r="B227" t="s">
        <v>10</v>
      </c>
      <c r="C227">
        <v>2040</v>
      </c>
      <c r="D227">
        <f t="shared" si="0"/>
        <v>21.93</v>
      </c>
    </row>
    <row r="228" spans="1:4" x14ac:dyDescent="0.25">
      <c r="A228" t="s">
        <v>77</v>
      </c>
      <c r="B228" t="s">
        <v>11</v>
      </c>
      <c r="C228">
        <v>2040</v>
      </c>
      <c r="D228">
        <f t="shared" si="0"/>
        <v>22.69</v>
      </c>
    </row>
    <row r="229" spans="1:4" x14ac:dyDescent="0.25">
      <c r="A229" t="s">
        <v>77</v>
      </c>
      <c r="B229" t="s">
        <v>12</v>
      </c>
      <c r="C229">
        <v>2040</v>
      </c>
      <c r="D229">
        <f t="shared" si="0"/>
        <v>24.43</v>
      </c>
    </row>
    <row r="230" spans="1:4" x14ac:dyDescent="0.25">
      <c r="A230" t="s">
        <v>77</v>
      </c>
      <c r="B230" t="s">
        <v>13</v>
      </c>
      <c r="C230">
        <v>2040</v>
      </c>
      <c r="D230">
        <f t="shared" si="0"/>
        <v>24.63</v>
      </c>
    </row>
    <row r="231" spans="1:4" x14ac:dyDescent="0.25">
      <c r="A231" t="s">
        <v>77</v>
      </c>
      <c r="B231" t="s">
        <v>14</v>
      </c>
      <c r="C231">
        <v>2040</v>
      </c>
      <c r="D231">
        <f t="shared" si="0"/>
        <v>25.15</v>
      </c>
    </row>
    <row r="232" spans="1:4" x14ac:dyDescent="0.25">
      <c r="A232" t="s">
        <v>77</v>
      </c>
      <c r="B232" t="s">
        <v>15</v>
      </c>
      <c r="C232">
        <v>2040</v>
      </c>
      <c r="D232">
        <f t="shared" si="0"/>
        <v>24.58</v>
      </c>
    </row>
    <row r="233" spans="1:4" x14ac:dyDescent="0.25">
      <c r="A233" t="s">
        <v>77</v>
      </c>
      <c r="B233" t="s">
        <v>16</v>
      </c>
      <c r="C233">
        <v>2040</v>
      </c>
      <c r="D233">
        <f t="shared" si="0"/>
        <v>29.83</v>
      </c>
    </row>
    <row r="234" spans="1:4" x14ac:dyDescent="0.25">
      <c r="A234" t="s">
        <v>77</v>
      </c>
      <c r="B234" t="s">
        <v>17</v>
      </c>
      <c r="C234">
        <v>2040</v>
      </c>
      <c r="D234">
        <f t="shared" si="0"/>
        <v>34.6</v>
      </c>
    </row>
    <row r="235" spans="1:4" x14ac:dyDescent="0.25">
      <c r="A235" t="s">
        <v>77</v>
      </c>
      <c r="B235" t="s">
        <v>18</v>
      </c>
      <c r="C235">
        <v>2040</v>
      </c>
      <c r="D235">
        <f t="shared" si="0"/>
        <v>26.26</v>
      </c>
    </row>
    <row r="236" spans="1:4" x14ac:dyDescent="0.25">
      <c r="A236" t="s">
        <v>77</v>
      </c>
      <c r="B236" t="s">
        <v>19</v>
      </c>
      <c r="C236">
        <v>2040</v>
      </c>
      <c r="D236">
        <f t="shared" si="0"/>
        <v>26.26</v>
      </c>
    </row>
    <row r="237" spans="1:4" x14ac:dyDescent="0.25">
      <c r="A237" t="s">
        <v>77</v>
      </c>
      <c r="B237" t="s">
        <v>20</v>
      </c>
      <c r="C237">
        <v>2040</v>
      </c>
      <c r="D237">
        <f t="shared" si="0"/>
        <v>34.07</v>
      </c>
    </row>
    <row r="238" spans="1:4" x14ac:dyDescent="0.25">
      <c r="A238" t="s">
        <v>77</v>
      </c>
      <c r="B238" t="s">
        <v>21</v>
      </c>
      <c r="C238">
        <v>2040</v>
      </c>
      <c r="D238">
        <f t="shared" si="0"/>
        <v>34.07</v>
      </c>
    </row>
    <row r="239" spans="1:4" x14ac:dyDescent="0.25">
      <c r="A239" t="s">
        <v>77</v>
      </c>
      <c r="B239" t="s">
        <v>22</v>
      </c>
      <c r="C239">
        <v>2040</v>
      </c>
      <c r="D239">
        <f t="shared" si="0"/>
        <v>26.42</v>
      </c>
    </row>
    <row r="240" spans="1:4" x14ac:dyDescent="0.25">
      <c r="A240" t="s">
        <v>77</v>
      </c>
      <c r="B240" t="s">
        <v>23</v>
      </c>
      <c r="C240">
        <v>2040</v>
      </c>
      <c r="D240">
        <f t="shared" si="0"/>
        <v>34.28</v>
      </c>
    </row>
    <row r="241" spans="1:4" x14ac:dyDescent="0.25">
      <c r="A241" t="s">
        <v>77</v>
      </c>
      <c r="B241" t="s">
        <v>24</v>
      </c>
      <c r="C241">
        <v>2040</v>
      </c>
      <c r="D241" t="str">
        <f t="shared" si="0"/>
        <v>-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5468A2-8A50-40F2-B5B4-B151A293C543}">
  <sheetPr codeName="Hoja4"/>
  <dimension ref="A1:F129"/>
  <sheetViews>
    <sheetView topLeftCell="A102" zoomScale="115" zoomScaleNormal="115" workbookViewId="0">
      <selection activeCell="D109" sqref="D109"/>
    </sheetView>
  </sheetViews>
  <sheetFormatPr baseColWidth="10" defaultRowHeight="15" x14ac:dyDescent="0.25"/>
  <sheetData>
    <row r="1" spans="1:6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 x14ac:dyDescent="0.25">
      <c r="A2" t="s">
        <v>6</v>
      </c>
      <c r="B2" t="s">
        <v>7</v>
      </c>
      <c r="C2">
        <v>2022</v>
      </c>
      <c r="D2" t="s">
        <v>8</v>
      </c>
      <c r="E2" t="s">
        <v>9</v>
      </c>
      <c r="F2" s="2">
        <f>CAPEX_Input!F12</f>
        <v>49900</v>
      </c>
    </row>
    <row r="3" spans="1:6" x14ac:dyDescent="0.25">
      <c r="A3" t="s">
        <v>6</v>
      </c>
      <c r="B3" t="s">
        <v>10</v>
      </c>
      <c r="C3">
        <v>2022</v>
      </c>
      <c r="D3" t="s">
        <v>8</v>
      </c>
      <c r="E3" t="s">
        <v>9</v>
      </c>
      <c r="F3" s="2">
        <f>CAPEX_Input!F13</f>
        <v>49900</v>
      </c>
    </row>
    <row r="4" spans="1:6" x14ac:dyDescent="0.25">
      <c r="A4" t="s">
        <v>6</v>
      </c>
      <c r="B4" t="s">
        <v>11</v>
      </c>
      <c r="C4">
        <v>2022</v>
      </c>
      <c r="D4" t="s">
        <v>8</v>
      </c>
      <c r="E4" t="s">
        <v>9</v>
      </c>
      <c r="F4" s="2">
        <f>CAPEX_Input!F14</f>
        <v>72572</v>
      </c>
    </row>
    <row r="5" spans="1:6" x14ac:dyDescent="0.25">
      <c r="A5" t="s">
        <v>6</v>
      </c>
      <c r="B5" t="s">
        <v>12</v>
      </c>
      <c r="C5">
        <v>2022</v>
      </c>
      <c r="D5" t="s">
        <v>8</v>
      </c>
      <c r="E5" t="s">
        <v>9</v>
      </c>
      <c r="F5" s="2">
        <f>CAPEX_Input!F15</f>
        <v>78155</v>
      </c>
    </row>
    <row r="6" spans="1:6" x14ac:dyDescent="0.25">
      <c r="A6" t="s">
        <v>6</v>
      </c>
      <c r="B6" t="s">
        <v>13</v>
      </c>
      <c r="C6">
        <v>2022</v>
      </c>
      <c r="D6" t="s">
        <v>8</v>
      </c>
      <c r="E6" t="s">
        <v>9</v>
      </c>
      <c r="F6" s="2">
        <f>CAPEX_Input!F16</f>
        <v>78155</v>
      </c>
    </row>
    <row r="7" spans="1:6" x14ac:dyDescent="0.25">
      <c r="A7" t="s">
        <v>6</v>
      </c>
      <c r="B7" t="s">
        <v>14</v>
      </c>
      <c r="C7">
        <v>2022</v>
      </c>
      <c r="D7" t="s">
        <v>8</v>
      </c>
      <c r="E7" t="s">
        <v>9</v>
      </c>
      <c r="F7" s="2">
        <f>CAPEX_Input!F17</f>
        <v>83738</v>
      </c>
    </row>
    <row r="8" spans="1:6" x14ac:dyDescent="0.25">
      <c r="A8" t="s">
        <v>6</v>
      </c>
      <c r="B8" t="s">
        <v>15</v>
      </c>
      <c r="C8">
        <v>2022</v>
      </c>
      <c r="D8" t="s">
        <v>8</v>
      </c>
      <c r="E8" t="s">
        <v>9</v>
      </c>
      <c r="F8" s="2">
        <f>CAPEX_Input!F18</f>
        <v>110423</v>
      </c>
    </row>
    <row r="9" spans="1:6" x14ac:dyDescent="0.25">
      <c r="A9" t="s">
        <v>6</v>
      </c>
      <c r="B9" t="s">
        <v>16</v>
      </c>
      <c r="C9">
        <v>2022</v>
      </c>
      <c r="D9" t="s">
        <v>8</v>
      </c>
      <c r="E9" t="s">
        <v>9</v>
      </c>
      <c r="F9" s="2">
        <f>CAPEX_Input!F19</f>
        <v>89320</v>
      </c>
    </row>
    <row r="10" spans="1:6" x14ac:dyDescent="0.25">
      <c r="A10" t="s">
        <v>6</v>
      </c>
      <c r="B10" t="s">
        <v>17</v>
      </c>
      <c r="C10">
        <v>2022</v>
      </c>
      <c r="D10" t="s">
        <v>8</v>
      </c>
      <c r="E10" t="s">
        <v>9</v>
      </c>
      <c r="F10" s="2">
        <f>CAPEX_Input!F20</f>
        <v>115000</v>
      </c>
    </row>
    <row r="11" spans="1:6" x14ac:dyDescent="0.25">
      <c r="A11" t="s">
        <v>6</v>
      </c>
      <c r="B11" t="s">
        <v>18</v>
      </c>
      <c r="C11">
        <v>2022</v>
      </c>
      <c r="D11" t="s">
        <v>8</v>
      </c>
      <c r="E11" t="s">
        <v>9</v>
      </c>
      <c r="F11" s="2">
        <f>CAPEX_Input!F21</f>
        <v>90438</v>
      </c>
    </row>
    <row r="12" spans="1:6" x14ac:dyDescent="0.25">
      <c r="A12" t="s">
        <v>6</v>
      </c>
      <c r="B12" t="s">
        <v>19</v>
      </c>
      <c r="C12">
        <v>2022</v>
      </c>
      <c r="D12" t="s">
        <v>8</v>
      </c>
      <c r="E12" t="s">
        <v>9</v>
      </c>
      <c r="F12" s="2">
        <f>CAPEX_Input!F22</f>
        <v>117233</v>
      </c>
    </row>
    <row r="13" spans="1:6" x14ac:dyDescent="0.25">
      <c r="A13" t="s">
        <v>6</v>
      </c>
      <c r="B13" t="s">
        <v>20</v>
      </c>
      <c r="C13">
        <v>2022</v>
      </c>
      <c r="D13" t="s">
        <v>8</v>
      </c>
      <c r="E13" t="s">
        <v>9</v>
      </c>
      <c r="F13" s="2">
        <f>CAPEX_Input!F23</f>
        <v>96018</v>
      </c>
    </row>
    <row r="14" spans="1:6" x14ac:dyDescent="0.25">
      <c r="A14" t="s">
        <v>6</v>
      </c>
      <c r="B14" t="s">
        <v>21</v>
      </c>
      <c r="C14">
        <v>2022</v>
      </c>
      <c r="D14" t="s">
        <v>8</v>
      </c>
      <c r="E14" t="s">
        <v>9</v>
      </c>
      <c r="F14" s="2">
        <f>CAPEX_Input!F24</f>
        <v>121700</v>
      </c>
    </row>
    <row r="15" spans="1:6" x14ac:dyDescent="0.25">
      <c r="A15" t="s">
        <v>6</v>
      </c>
      <c r="B15" t="s">
        <v>22</v>
      </c>
      <c r="C15">
        <v>2022</v>
      </c>
      <c r="D15" t="s">
        <v>8</v>
      </c>
      <c r="E15" t="s">
        <v>9</v>
      </c>
      <c r="F15" s="2">
        <f>CAPEX_Input!F25</f>
        <v>150728</v>
      </c>
    </row>
    <row r="16" spans="1:6" x14ac:dyDescent="0.25">
      <c r="A16" t="s">
        <v>6</v>
      </c>
      <c r="B16" t="s">
        <v>23</v>
      </c>
      <c r="C16">
        <v>2022</v>
      </c>
      <c r="D16" t="s">
        <v>8</v>
      </c>
      <c r="E16" t="s">
        <v>9</v>
      </c>
      <c r="F16" s="2">
        <f>CAPEX_Input!F26</f>
        <v>156312</v>
      </c>
    </row>
    <row r="17" spans="1:6" x14ac:dyDescent="0.25">
      <c r="A17" t="s">
        <v>6</v>
      </c>
      <c r="B17" t="s">
        <v>24</v>
      </c>
      <c r="C17">
        <v>2022</v>
      </c>
      <c r="D17" t="s">
        <v>8</v>
      </c>
      <c r="E17" t="s">
        <v>9</v>
      </c>
      <c r="F17" s="2">
        <f>CAPEX_Input!F27</f>
        <v>173057</v>
      </c>
    </row>
    <row r="18" spans="1:6" x14ac:dyDescent="0.25">
      <c r="A18" t="s">
        <v>25</v>
      </c>
      <c r="B18" t="s">
        <v>7</v>
      </c>
      <c r="C18">
        <v>2022</v>
      </c>
      <c r="D18" t="s">
        <v>8</v>
      </c>
      <c r="E18" t="s">
        <v>9</v>
      </c>
      <c r="F18" s="2">
        <f>CAPEX_Input!H12</f>
        <v>54890.000000000007</v>
      </c>
    </row>
    <row r="19" spans="1:6" x14ac:dyDescent="0.25">
      <c r="A19" t="s">
        <v>25</v>
      </c>
      <c r="B19" t="s">
        <v>10</v>
      </c>
      <c r="C19">
        <v>2022</v>
      </c>
      <c r="D19" t="s">
        <v>8</v>
      </c>
      <c r="E19" t="s">
        <v>9</v>
      </c>
      <c r="F19" s="2">
        <f>CAPEX_Input!H13</f>
        <v>54890.000000000007</v>
      </c>
    </row>
    <row r="20" spans="1:6" x14ac:dyDescent="0.25">
      <c r="A20" t="s">
        <v>25</v>
      </c>
      <c r="B20" t="s">
        <v>11</v>
      </c>
      <c r="C20">
        <v>2022</v>
      </c>
      <c r="D20" t="s">
        <v>8</v>
      </c>
      <c r="E20" t="s">
        <v>9</v>
      </c>
      <c r="F20" s="2">
        <f>CAPEX_Input!H14</f>
        <v>79829.200000000012</v>
      </c>
    </row>
    <row r="21" spans="1:6" x14ac:dyDescent="0.25">
      <c r="A21" t="s">
        <v>25</v>
      </c>
      <c r="B21" t="s">
        <v>12</v>
      </c>
      <c r="C21">
        <v>2022</v>
      </c>
      <c r="D21" t="s">
        <v>8</v>
      </c>
      <c r="E21" t="s">
        <v>9</v>
      </c>
      <c r="F21" s="2">
        <f>CAPEX_Input!H15</f>
        <v>85970.5</v>
      </c>
    </row>
    <row r="22" spans="1:6" x14ac:dyDescent="0.25">
      <c r="A22" t="s">
        <v>25</v>
      </c>
      <c r="B22" t="s">
        <v>13</v>
      </c>
      <c r="C22">
        <v>2022</v>
      </c>
      <c r="D22" t="s">
        <v>8</v>
      </c>
      <c r="E22" t="s">
        <v>9</v>
      </c>
      <c r="F22" s="2">
        <f>CAPEX_Input!H16</f>
        <v>85970.5</v>
      </c>
    </row>
    <row r="23" spans="1:6" x14ac:dyDescent="0.25">
      <c r="A23" t="s">
        <v>25</v>
      </c>
      <c r="B23" t="s">
        <v>14</v>
      </c>
      <c r="C23">
        <v>2022</v>
      </c>
      <c r="D23" t="s">
        <v>8</v>
      </c>
      <c r="E23" t="s">
        <v>9</v>
      </c>
      <c r="F23" s="2">
        <f>CAPEX_Input!H17</f>
        <v>92111.8</v>
      </c>
    </row>
    <row r="24" spans="1:6" x14ac:dyDescent="0.25">
      <c r="A24" t="s">
        <v>25</v>
      </c>
      <c r="B24" t="s">
        <v>15</v>
      </c>
      <c r="C24">
        <v>2022</v>
      </c>
      <c r="D24" t="s">
        <v>8</v>
      </c>
      <c r="E24" t="s">
        <v>9</v>
      </c>
      <c r="F24" s="2">
        <f>CAPEX_Input!H18</f>
        <v>121465.3</v>
      </c>
    </row>
    <row r="25" spans="1:6" x14ac:dyDescent="0.25">
      <c r="A25" t="s">
        <v>25</v>
      </c>
      <c r="B25" t="s">
        <v>16</v>
      </c>
      <c r="C25">
        <v>2022</v>
      </c>
      <c r="D25" t="s">
        <v>8</v>
      </c>
      <c r="E25" t="s">
        <v>9</v>
      </c>
      <c r="F25" s="2">
        <f>CAPEX_Input!H19</f>
        <v>98252.000000000015</v>
      </c>
    </row>
    <row r="26" spans="1:6" x14ac:dyDescent="0.25">
      <c r="A26" t="s">
        <v>25</v>
      </c>
      <c r="B26" t="s">
        <v>17</v>
      </c>
      <c r="C26">
        <v>2022</v>
      </c>
      <c r="D26" t="s">
        <v>8</v>
      </c>
      <c r="E26" t="s">
        <v>9</v>
      </c>
      <c r="F26" s="2">
        <f>CAPEX_Input!H20</f>
        <v>126500.00000000001</v>
      </c>
    </row>
    <row r="27" spans="1:6" x14ac:dyDescent="0.25">
      <c r="A27" t="s">
        <v>25</v>
      </c>
      <c r="B27" t="s">
        <v>18</v>
      </c>
      <c r="C27">
        <v>2022</v>
      </c>
      <c r="D27" t="s">
        <v>8</v>
      </c>
      <c r="E27" t="s">
        <v>9</v>
      </c>
      <c r="F27" s="2">
        <f>CAPEX_Input!H21</f>
        <v>99481.8</v>
      </c>
    </row>
    <row r="28" spans="1:6" x14ac:dyDescent="0.25">
      <c r="A28" t="s">
        <v>25</v>
      </c>
      <c r="B28" t="s">
        <v>19</v>
      </c>
      <c r="C28">
        <v>2022</v>
      </c>
      <c r="D28" t="s">
        <v>8</v>
      </c>
      <c r="E28" t="s">
        <v>9</v>
      </c>
      <c r="F28" s="2">
        <f>CAPEX_Input!H22</f>
        <v>128956.30000000002</v>
      </c>
    </row>
    <row r="29" spans="1:6" x14ac:dyDescent="0.25">
      <c r="A29" t="s">
        <v>25</v>
      </c>
      <c r="B29" t="s">
        <v>20</v>
      </c>
      <c r="C29">
        <v>2022</v>
      </c>
      <c r="D29" t="s">
        <v>8</v>
      </c>
      <c r="E29" t="s">
        <v>9</v>
      </c>
      <c r="F29" s="2">
        <f>CAPEX_Input!H23</f>
        <v>105619.8</v>
      </c>
    </row>
    <row r="30" spans="1:6" x14ac:dyDescent="0.25">
      <c r="A30" t="s">
        <v>25</v>
      </c>
      <c r="B30" t="s">
        <v>21</v>
      </c>
      <c r="C30">
        <v>2022</v>
      </c>
      <c r="D30" t="s">
        <v>8</v>
      </c>
      <c r="E30" t="s">
        <v>9</v>
      </c>
      <c r="F30" s="2">
        <f>CAPEX_Input!H24</f>
        <v>133870</v>
      </c>
    </row>
    <row r="31" spans="1:6" x14ac:dyDescent="0.25">
      <c r="A31" t="s">
        <v>25</v>
      </c>
      <c r="B31" t="s">
        <v>22</v>
      </c>
      <c r="C31">
        <v>2022</v>
      </c>
      <c r="D31" t="s">
        <v>8</v>
      </c>
      <c r="E31" t="s">
        <v>9</v>
      </c>
      <c r="F31" s="2">
        <f>CAPEX_Input!H25</f>
        <v>165800.80000000002</v>
      </c>
    </row>
    <row r="32" spans="1:6" x14ac:dyDescent="0.25">
      <c r="A32" t="s">
        <v>25</v>
      </c>
      <c r="B32" t="s">
        <v>23</v>
      </c>
      <c r="C32">
        <v>2022</v>
      </c>
      <c r="D32" t="s">
        <v>8</v>
      </c>
      <c r="E32" t="s">
        <v>9</v>
      </c>
      <c r="F32" s="2">
        <f>CAPEX_Input!H26</f>
        <v>171943.2</v>
      </c>
    </row>
    <row r="33" spans="1:6" x14ac:dyDescent="0.25">
      <c r="A33" t="s">
        <v>25</v>
      </c>
      <c r="B33" t="s">
        <v>24</v>
      </c>
      <c r="C33">
        <v>2022</v>
      </c>
      <c r="D33" t="s">
        <v>8</v>
      </c>
      <c r="E33" t="s">
        <v>9</v>
      </c>
      <c r="F33" s="2">
        <f>CAPEX_Input!H27</f>
        <v>190362.7</v>
      </c>
    </row>
    <row r="34" spans="1:6" x14ac:dyDescent="0.25">
      <c r="A34" t="s">
        <v>26</v>
      </c>
      <c r="B34" t="s">
        <v>7</v>
      </c>
      <c r="C34">
        <v>2022</v>
      </c>
      <c r="D34" t="s">
        <v>8</v>
      </c>
      <c r="E34" t="s">
        <v>9</v>
      </c>
      <c r="F34" s="2">
        <f>CAPEX_Input!J12</f>
        <v>54890.000000000007</v>
      </c>
    </row>
    <row r="35" spans="1:6" x14ac:dyDescent="0.25">
      <c r="A35" t="s">
        <v>26</v>
      </c>
      <c r="B35" t="s">
        <v>10</v>
      </c>
      <c r="C35">
        <v>2022</v>
      </c>
      <c r="D35" t="s">
        <v>8</v>
      </c>
      <c r="E35" t="s">
        <v>9</v>
      </c>
      <c r="F35" s="2">
        <f>CAPEX_Input!J13</f>
        <v>54890.000000000007</v>
      </c>
    </row>
    <row r="36" spans="1:6" x14ac:dyDescent="0.25">
      <c r="A36" t="s">
        <v>26</v>
      </c>
      <c r="B36" t="s">
        <v>11</v>
      </c>
      <c r="C36">
        <v>2022</v>
      </c>
      <c r="D36" t="s">
        <v>8</v>
      </c>
      <c r="E36" t="s">
        <v>9</v>
      </c>
      <c r="F36" s="2">
        <f>CAPEX_Input!J14</f>
        <v>79829.200000000012</v>
      </c>
    </row>
    <row r="37" spans="1:6" x14ac:dyDescent="0.25">
      <c r="A37" t="s">
        <v>26</v>
      </c>
      <c r="B37" t="s">
        <v>12</v>
      </c>
      <c r="C37">
        <v>2022</v>
      </c>
      <c r="D37" t="s">
        <v>8</v>
      </c>
      <c r="E37" t="s">
        <v>9</v>
      </c>
      <c r="F37" s="2">
        <f>CAPEX_Input!J15</f>
        <v>85970.5</v>
      </c>
    </row>
    <row r="38" spans="1:6" x14ac:dyDescent="0.25">
      <c r="A38" t="s">
        <v>26</v>
      </c>
      <c r="B38" t="s">
        <v>13</v>
      </c>
      <c r="C38">
        <v>2022</v>
      </c>
      <c r="D38" t="s">
        <v>8</v>
      </c>
      <c r="E38" t="s">
        <v>9</v>
      </c>
      <c r="F38" s="2">
        <f>CAPEX_Input!J16</f>
        <v>85970.5</v>
      </c>
    </row>
    <row r="39" spans="1:6" x14ac:dyDescent="0.25">
      <c r="A39" t="s">
        <v>26</v>
      </c>
      <c r="B39" t="s">
        <v>14</v>
      </c>
      <c r="C39">
        <v>2022</v>
      </c>
      <c r="D39" t="s">
        <v>8</v>
      </c>
      <c r="E39" t="s">
        <v>9</v>
      </c>
      <c r="F39" s="2">
        <f>CAPEX_Input!J17</f>
        <v>92111.8</v>
      </c>
    </row>
    <row r="40" spans="1:6" x14ac:dyDescent="0.25">
      <c r="A40" t="s">
        <v>26</v>
      </c>
      <c r="B40" t="s">
        <v>15</v>
      </c>
      <c r="C40">
        <v>2022</v>
      </c>
      <c r="D40" t="s">
        <v>8</v>
      </c>
      <c r="E40" t="s">
        <v>9</v>
      </c>
      <c r="F40" s="2">
        <f>CAPEX_Input!J18</f>
        <v>121465.3</v>
      </c>
    </row>
    <row r="41" spans="1:6" x14ac:dyDescent="0.25">
      <c r="A41" t="s">
        <v>26</v>
      </c>
      <c r="B41" t="s">
        <v>16</v>
      </c>
      <c r="C41">
        <v>2022</v>
      </c>
      <c r="D41" t="s">
        <v>8</v>
      </c>
      <c r="E41" t="s">
        <v>9</v>
      </c>
      <c r="F41" s="2">
        <f>CAPEX_Input!J19</f>
        <v>98252.000000000015</v>
      </c>
    </row>
    <row r="42" spans="1:6" x14ac:dyDescent="0.25">
      <c r="A42" t="s">
        <v>26</v>
      </c>
      <c r="B42" t="s">
        <v>17</v>
      </c>
      <c r="C42">
        <v>2022</v>
      </c>
      <c r="D42" t="s">
        <v>8</v>
      </c>
      <c r="E42" t="s">
        <v>9</v>
      </c>
      <c r="F42" s="2">
        <f>CAPEX_Input!J20</f>
        <v>126500.00000000001</v>
      </c>
    </row>
    <row r="43" spans="1:6" x14ac:dyDescent="0.25">
      <c r="A43" t="s">
        <v>26</v>
      </c>
      <c r="B43" t="s">
        <v>18</v>
      </c>
      <c r="C43">
        <v>2022</v>
      </c>
      <c r="D43" t="s">
        <v>8</v>
      </c>
      <c r="E43" t="s">
        <v>9</v>
      </c>
      <c r="F43" s="2">
        <f>CAPEX_Input!J21</f>
        <v>99481.8</v>
      </c>
    </row>
    <row r="44" spans="1:6" x14ac:dyDescent="0.25">
      <c r="A44" t="s">
        <v>26</v>
      </c>
      <c r="B44" t="s">
        <v>19</v>
      </c>
      <c r="C44">
        <v>2022</v>
      </c>
      <c r="D44" t="s">
        <v>8</v>
      </c>
      <c r="E44" t="s">
        <v>9</v>
      </c>
      <c r="F44" s="2">
        <f>CAPEX_Input!J22</f>
        <v>128956.30000000002</v>
      </c>
    </row>
    <row r="45" spans="1:6" x14ac:dyDescent="0.25">
      <c r="A45" t="s">
        <v>26</v>
      </c>
      <c r="B45" t="s">
        <v>20</v>
      </c>
      <c r="C45">
        <v>2022</v>
      </c>
      <c r="D45" t="s">
        <v>8</v>
      </c>
      <c r="E45" t="s">
        <v>9</v>
      </c>
      <c r="F45" s="2">
        <f>CAPEX_Input!J23</f>
        <v>105619.8</v>
      </c>
    </row>
    <row r="46" spans="1:6" x14ac:dyDescent="0.25">
      <c r="A46" t="s">
        <v>26</v>
      </c>
      <c r="B46" t="s">
        <v>21</v>
      </c>
      <c r="C46">
        <v>2022</v>
      </c>
      <c r="D46" t="s">
        <v>8</v>
      </c>
      <c r="E46" t="s">
        <v>9</v>
      </c>
      <c r="F46" s="2">
        <f>CAPEX_Input!J24</f>
        <v>133870</v>
      </c>
    </row>
    <row r="47" spans="1:6" x14ac:dyDescent="0.25">
      <c r="A47" t="s">
        <v>26</v>
      </c>
      <c r="B47" t="s">
        <v>22</v>
      </c>
      <c r="C47">
        <v>2022</v>
      </c>
      <c r="D47" t="s">
        <v>8</v>
      </c>
      <c r="E47" t="s">
        <v>9</v>
      </c>
      <c r="F47" s="2">
        <f>CAPEX_Input!J25</f>
        <v>165800.80000000002</v>
      </c>
    </row>
    <row r="48" spans="1:6" x14ac:dyDescent="0.25">
      <c r="A48" t="s">
        <v>26</v>
      </c>
      <c r="B48" t="s">
        <v>23</v>
      </c>
      <c r="C48">
        <v>2022</v>
      </c>
      <c r="D48" t="s">
        <v>8</v>
      </c>
      <c r="E48" t="s">
        <v>9</v>
      </c>
      <c r="F48" s="2">
        <f>CAPEX_Input!J26</f>
        <v>171943.2</v>
      </c>
    </row>
    <row r="49" spans="1:6" x14ac:dyDescent="0.25">
      <c r="A49" t="s">
        <v>26</v>
      </c>
      <c r="B49" t="s">
        <v>24</v>
      </c>
      <c r="C49">
        <v>2022</v>
      </c>
      <c r="D49" t="s">
        <v>8</v>
      </c>
      <c r="E49" t="s">
        <v>9</v>
      </c>
      <c r="F49" s="2">
        <f>CAPEX_Input!J27</f>
        <v>190362.7</v>
      </c>
    </row>
    <row r="50" spans="1:6" x14ac:dyDescent="0.25">
      <c r="A50" t="s">
        <v>6</v>
      </c>
      <c r="B50" t="s">
        <v>7</v>
      </c>
      <c r="C50">
        <v>2040</v>
      </c>
      <c r="D50" t="s">
        <v>8</v>
      </c>
      <c r="E50" t="s">
        <v>9</v>
      </c>
      <c r="F50">
        <f>CAPEX_Input!P12</f>
        <v>49900</v>
      </c>
    </row>
    <row r="51" spans="1:6" x14ac:dyDescent="0.25">
      <c r="A51" t="s">
        <v>6</v>
      </c>
      <c r="B51" t="s">
        <v>10</v>
      </c>
      <c r="C51">
        <v>2040</v>
      </c>
      <c r="D51" t="s">
        <v>8</v>
      </c>
      <c r="E51" t="s">
        <v>9</v>
      </c>
      <c r="F51">
        <f>CAPEX_Input!P13</f>
        <v>49900</v>
      </c>
    </row>
    <row r="52" spans="1:6" x14ac:dyDescent="0.25">
      <c r="A52" t="s">
        <v>6</v>
      </c>
      <c r="B52" t="s">
        <v>11</v>
      </c>
      <c r="C52">
        <v>2040</v>
      </c>
      <c r="D52" t="s">
        <v>8</v>
      </c>
      <c r="E52" t="s">
        <v>9</v>
      </c>
      <c r="F52">
        <f>CAPEX_Input!P14</f>
        <v>72572</v>
      </c>
    </row>
    <row r="53" spans="1:6" x14ac:dyDescent="0.25">
      <c r="A53" t="s">
        <v>6</v>
      </c>
      <c r="B53" t="s">
        <v>12</v>
      </c>
      <c r="C53">
        <v>2040</v>
      </c>
      <c r="D53" t="s">
        <v>8</v>
      </c>
      <c r="E53" t="s">
        <v>9</v>
      </c>
      <c r="F53">
        <f>CAPEX_Input!P15</f>
        <v>78155</v>
      </c>
    </row>
    <row r="54" spans="1:6" x14ac:dyDescent="0.25">
      <c r="A54" t="s">
        <v>6</v>
      </c>
      <c r="B54" t="s">
        <v>13</v>
      </c>
      <c r="C54">
        <v>2040</v>
      </c>
      <c r="D54" t="s">
        <v>8</v>
      </c>
      <c r="E54" t="s">
        <v>9</v>
      </c>
      <c r="F54">
        <f>CAPEX_Input!P16</f>
        <v>78155</v>
      </c>
    </row>
    <row r="55" spans="1:6" x14ac:dyDescent="0.25">
      <c r="A55" t="s">
        <v>6</v>
      </c>
      <c r="B55" t="s">
        <v>14</v>
      </c>
      <c r="C55">
        <v>2040</v>
      </c>
      <c r="D55" t="s">
        <v>8</v>
      </c>
      <c r="E55" t="s">
        <v>9</v>
      </c>
      <c r="F55">
        <f>CAPEX_Input!P17</f>
        <v>83738</v>
      </c>
    </row>
    <row r="56" spans="1:6" x14ac:dyDescent="0.25">
      <c r="A56" t="s">
        <v>6</v>
      </c>
      <c r="B56" t="s">
        <v>15</v>
      </c>
      <c r="C56">
        <v>2040</v>
      </c>
      <c r="D56" t="s">
        <v>8</v>
      </c>
      <c r="E56" t="s">
        <v>9</v>
      </c>
      <c r="F56">
        <f>CAPEX_Input!P18</f>
        <v>110423</v>
      </c>
    </row>
    <row r="57" spans="1:6" x14ac:dyDescent="0.25">
      <c r="A57" t="s">
        <v>6</v>
      </c>
      <c r="B57" t="s">
        <v>16</v>
      </c>
      <c r="C57">
        <v>2040</v>
      </c>
      <c r="D57" t="s">
        <v>8</v>
      </c>
      <c r="E57" t="s">
        <v>9</v>
      </c>
      <c r="F57">
        <f>CAPEX_Input!P19</f>
        <v>89320</v>
      </c>
    </row>
    <row r="58" spans="1:6" x14ac:dyDescent="0.25">
      <c r="A58" t="s">
        <v>6</v>
      </c>
      <c r="B58" t="s">
        <v>17</v>
      </c>
      <c r="C58">
        <v>2040</v>
      </c>
      <c r="D58" t="s">
        <v>8</v>
      </c>
      <c r="E58" t="s">
        <v>9</v>
      </c>
      <c r="F58">
        <f>CAPEX_Input!P20</f>
        <v>115000</v>
      </c>
    </row>
    <row r="59" spans="1:6" x14ac:dyDescent="0.25">
      <c r="A59" t="s">
        <v>6</v>
      </c>
      <c r="B59" t="s">
        <v>18</v>
      </c>
      <c r="C59">
        <v>2040</v>
      </c>
      <c r="D59" t="s">
        <v>8</v>
      </c>
      <c r="E59" t="s">
        <v>9</v>
      </c>
      <c r="F59">
        <f>CAPEX_Input!P21</f>
        <v>90438</v>
      </c>
    </row>
    <row r="60" spans="1:6" x14ac:dyDescent="0.25">
      <c r="A60" t="s">
        <v>6</v>
      </c>
      <c r="B60" t="s">
        <v>19</v>
      </c>
      <c r="C60">
        <v>2040</v>
      </c>
      <c r="D60" t="s">
        <v>8</v>
      </c>
      <c r="E60" t="s">
        <v>9</v>
      </c>
      <c r="F60">
        <f>CAPEX_Input!P22</f>
        <v>117233</v>
      </c>
    </row>
    <row r="61" spans="1:6" x14ac:dyDescent="0.25">
      <c r="A61" t="s">
        <v>6</v>
      </c>
      <c r="B61" t="s">
        <v>20</v>
      </c>
      <c r="C61">
        <v>2040</v>
      </c>
      <c r="D61" t="s">
        <v>8</v>
      </c>
      <c r="E61" t="s">
        <v>9</v>
      </c>
      <c r="F61">
        <f>CAPEX_Input!P23</f>
        <v>96018</v>
      </c>
    </row>
    <row r="62" spans="1:6" x14ac:dyDescent="0.25">
      <c r="A62" t="s">
        <v>6</v>
      </c>
      <c r="B62" t="s">
        <v>21</v>
      </c>
      <c r="C62">
        <v>2040</v>
      </c>
      <c r="D62" t="s">
        <v>8</v>
      </c>
      <c r="E62" t="s">
        <v>9</v>
      </c>
      <c r="F62">
        <f>CAPEX_Input!P24</f>
        <v>121700</v>
      </c>
    </row>
    <row r="63" spans="1:6" x14ac:dyDescent="0.25">
      <c r="A63" t="s">
        <v>6</v>
      </c>
      <c r="B63" t="s">
        <v>22</v>
      </c>
      <c r="C63">
        <v>2040</v>
      </c>
      <c r="D63" t="s">
        <v>8</v>
      </c>
      <c r="E63" t="s">
        <v>9</v>
      </c>
      <c r="F63">
        <f>CAPEX_Input!P25</f>
        <v>150728</v>
      </c>
    </row>
    <row r="64" spans="1:6" x14ac:dyDescent="0.25">
      <c r="A64" t="s">
        <v>6</v>
      </c>
      <c r="B64" t="s">
        <v>23</v>
      </c>
      <c r="C64">
        <v>2040</v>
      </c>
      <c r="D64" t="s">
        <v>8</v>
      </c>
      <c r="E64" t="s">
        <v>9</v>
      </c>
      <c r="F64">
        <f>CAPEX_Input!P26</f>
        <v>156312</v>
      </c>
    </row>
    <row r="65" spans="1:6" x14ac:dyDescent="0.25">
      <c r="A65" t="s">
        <v>6</v>
      </c>
      <c r="B65" t="s">
        <v>24</v>
      </c>
      <c r="C65">
        <v>2040</v>
      </c>
      <c r="D65" t="s">
        <v>8</v>
      </c>
      <c r="E65" t="s">
        <v>9</v>
      </c>
      <c r="F65">
        <f>CAPEX_Input!P27</f>
        <v>173057</v>
      </c>
    </row>
    <row r="66" spans="1:6" x14ac:dyDescent="0.25">
      <c r="A66" t="s">
        <v>25</v>
      </c>
      <c r="B66" t="s">
        <v>7</v>
      </c>
      <c r="C66">
        <v>2040</v>
      </c>
      <c r="D66" t="s">
        <v>8</v>
      </c>
      <c r="E66" t="s">
        <v>9</v>
      </c>
      <c r="F66" s="2">
        <f>CAPEX_Input!R12</f>
        <v>54890.000000000007</v>
      </c>
    </row>
    <row r="67" spans="1:6" x14ac:dyDescent="0.25">
      <c r="A67" t="s">
        <v>25</v>
      </c>
      <c r="B67" t="s">
        <v>10</v>
      </c>
      <c r="C67">
        <v>2040</v>
      </c>
      <c r="D67" t="s">
        <v>8</v>
      </c>
      <c r="E67" t="s">
        <v>9</v>
      </c>
      <c r="F67" s="2">
        <f>CAPEX_Input!R13</f>
        <v>54890.000000000007</v>
      </c>
    </row>
    <row r="68" spans="1:6" x14ac:dyDescent="0.25">
      <c r="A68" t="s">
        <v>25</v>
      </c>
      <c r="B68" t="s">
        <v>11</v>
      </c>
      <c r="C68">
        <v>2040</v>
      </c>
      <c r="D68" t="s">
        <v>8</v>
      </c>
      <c r="E68" t="s">
        <v>9</v>
      </c>
      <c r="F68" s="2">
        <f>CAPEX_Input!R14</f>
        <v>79829.200000000012</v>
      </c>
    </row>
    <row r="69" spans="1:6" x14ac:dyDescent="0.25">
      <c r="A69" t="s">
        <v>25</v>
      </c>
      <c r="B69" t="s">
        <v>12</v>
      </c>
      <c r="C69">
        <v>2040</v>
      </c>
      <c r="D69" t="s">
        <v>8</v>
      </c>
      <c r="E69" t="s">
        <v>9</v>
      </c>
      <c r="F69" s="2">
        <f>CAPEX_Input!R15</f>
        <v>85970.5</v>
      </c>
    </row>
    <row r="70" spans="1:6" x14ac:dyDescent="0.25">
      <c r="A70" t="s">
        <v>25</v>
      </c>
      <c r="B70" t="s">
        <v>13</v>
      </c>
      <c r="C70">
        <v>2040</v>
      </c>
      <c r="D70" t="s">
        <v>8</v>
      </c>
      <c r="E70" t="s">
        <v>9</v>
      </c>
      <c r="F70" s="2">
        <f>CAPEX_Input!R16</f>
        <v>85970.5</v>
      </c>
    </row>
    <row r="71" spans="1:6" x14ac:dyDescent="0.25">
      <c r="A71" t="s">
        <v>25</v>
      </c>
      <c r="B71" t="s">
        <v>14</v>
      </c>
      <c r="C71">
        <v>2040</v>
      </c>
      <c r="D71" t="s">
        <v>8</v>
      </c>
      <c r="E71" t="s">
        <v>9</v>
      </c>
      <c r="F71" s="2">
        <f>CAPEX_Input!R17</f>
        <v>92111.8</v>
      </c>
    </row>
    <row r="72" spans="1:6" x14ac:dyDescent="0.25">
      <c r="A72" t="s">
        <v>25</v>
      </c>
      <c r="B72" t="s">
        <v>15</v>
      </c>
      <c r="C72">
        <v>2040</v>
      </c>
      <c r="D72" t="s">
        <v>8</v>
      </c>
      <c r="E72" t="s">
        <v>9</v>
      </c>
      <c r="F72" s="2">
        <f>CAPEX_Input!R18</f>
        <v>121465.3</v>
      </c>
    </row>
    <row r="73" spans="1:6" x14ac:dyDescent="0.25">
      <c r="A73" t="s">
        <v>25</v>
      </c>
      <c r="B73" t="s">
        <v>16</v>
      </c>
      <c r="C73">
        <v>2040</v>
      </c>
      <c r="D73" t="s">
        <v>8</v>
      </c>
      <c r="E73" t="s">
        <v>9</v>
      </c>
      <c r="F73" s="2">
        <f>CAPEX_Input!R19</f>
        <v>98252.000000000015</v>
      </c>
    </row>
    <row r="74" spans="1:6" x14ac:dyDescent="0.25">
      <c r="A74" t="s">
        <v>25</v>
      </c>
      <c r="B74" t="s">
        <v>17</v>
      </c>
      <c r="C74">
        <v>2040</v>
      </c>
      <c r="D74" t="s">
        <v>8</v>
      </c>
      <c r="E74" t="s">
        <v>9</v>
      </c>
      <c r="F74" s="2">
        <f>CAPEX_Input!R20</f>
        <v>126500.00000000001</v>
      </c>
    </row>
    <row r="75" spans="1:6" x14ac:dyDescent="0.25">
      <c r="A75" t="s">
        <v>25</v>
      </c>
      <c r="B75" t="s">
        <v>18</v>
      </c>
      <c r="C75">
        <v>2040</v>
      </c>
      <c r="D75" t="s">
        <v>8</v>
      </c>
      <c r="E75" t="s">
        <v>9</v>
      </c>
      <c r="F75" s="2">
        <f>CAPEX_Input!R21</f>
        <v>99481.8</v>
      </c>
    </row>
    <row r="76" spans="1:6" x14ac:dyDescent="0.25">
      <c r="A76" t="s">
        <v>25</v>
      </c>
      <c r="B76" t="s">
        <v>19</v>
      </c>
      <c r="C76">
        <v>2040</v>
      </c>
      <c r="D76" t="s">
        <v>8</v>
      </c>
      <c r="E76" t="s">
        <v>9</v>
      </c>
      <c r="F76" s="2">
        <f>CAPEX_Input!R22</f>
        <v>128956.30000000002</v>
      </c>
    </row>
    <row r="77" spans="1:6" x14ac:dyDescent="0.25">
      <c r="A77" t="s">
        <v>25</v>
      </c>
      <c r="B77" t="s">
        <v>20</v>
      </c>
      <c r="C77">
        <v>2040</v>
      </c>
      <c r="D77" t="s">
        <v>8</v>
      </c>
      <c r="E77" t="s">
        <v>9</v>
      </c>
      <c r="F77" s="2">
        <f>CAPEX_Input!R23</f>
        <v>105619.8</v>
      </c>
    </row>
    <row r="78" spans="1:6" x14ac:dyDescent="0.25">
      <c r="A78" t="s">
        <v>25</v>
      </c>
      <c r="B78" t="s">
        <v>21</v>
      </c>
      <c r="C78">
        <v>2040</v>
      </c>
      <c r="D78" t="s">
        <v>8</v>
      </c>
      <c r="E78" t="s">
        <v>9</v>
      </c>
      <c r="F78" s="2">
        <f>CAPEX_Input!R24</f>
        <v>133870</v>
      </c>
    </row>
    <row r="79" spans="1:6" x14ac:dyDescent="0.25">
      <c r="A79" t="s">
        <v>25</v>
      </c>
      <c r="B79" t="s">
        <v>22</v>
      </c>
      <c r="C79">
        <v>2040</v>
      </c>
      <c r="D79" t="s">
        <v>8</v>
      </c>
      <c r="E79" t="s">
        <v>9</v>
      </c>
      <c r="F79" s="2">
        <f>CAPEX_Input!R25</f>
        <v>165800.80000000002</v>
      </c>
    </row>
    <row r="80" spans="1:6" x14ac:dyDescent="0.25">
      <c r="A80" t="s">
        <v>25</v>
      </c>
      <c r="B80" t="s">
        <v>23</v>
      </c>
      <c r="C80">
        <v>2040</v>
      </c>
      <c r="D80" t="s">
        <v>8</v>
      </c>
      <c r="E80" t="s">
        <v>9</v>
      </c>
      <c r="F80" s="2">
        <f>CAPEX_Input!R26</f>
        <v>171943.2</v>
      </c>
    </row>
    <row r="81" spans="1:6" x14ac:dyDescent="0.25">
      <c r="A81" t="s">
        <v>25</v>
      </c>
      <c r="B81" t="s">
        <v>24</v>
      </c>
      <c r="C81">
        <v>2040</v>
      </c>
      <c r="D81" t="s">
        <v>8</v>
      </c>
      <c r="E81" t="s">
        <v>9</v>
      </c>
      <c r="F81" s="2">
        <f>CAPEX_Input!R27</f>
        <v>190362.7</v>
      </c>
    </row>
    <row r="82" spans="1:6" x14ac:dyDescent="0.25">
      <c r="A82" t="s">
        <v>26</v>
      </c>
      <c r="B82" t="s">
        <v>7</v>
      </c>
      <c r="C82">
        <v>2040</v>
      </c>
      <c r="D82" t="s">
        <v>8</v>
      </c>
      <c r="E82" t="s">
        <v>9</v>
      </c>
      <c r="F82" s="2">
        <f>CAPEX_Input!T12</f>
        <v>54890.000000000007</v>
      </c>
    </row>
    <row r="83" spans="1:6" x14ac:dyDescent="0.25">
      <c r="A83" t="s">
        <v>26</v>
      </c>
      <c r="B83" t="s">
        <v>10</v>
      </c>
      <c r="C83">
        <v>2040</v>
      </c>
      <c r="D83" t="s">
        <v>8</v>
      </c>
      <c r="E83" t="s">
        <v>9</v>
      </c>
      <c r="F83" s="2">
        <f>CAPEX_Input!T13</f>
        <v>54890.000000000007</v>
      </c>
    </row>
    <row r="84" spans="1:6" x14ac:dyDescent="0.25">
      <c r="A84" t="s">
        <v>26</v>
      </c>
      <c r="B84" t="s">
        <v>11</v>
      </c>
      <c r="C84">
        <v>2040</v>
      </c>
      <c r="D84" t="s">
        <v>8</v>
      </c>
      <c r="E84" t="s">
        <v>9</v>
      </c>
      <c r="F84" s="2">
        <f>CAPEX_Input!T14</f>
        <v>79829.200000000012</v>
      </c>
    </row>
    <row r="85" spans="1:6" x14ac:dyDescent="0.25">
      <c r="A85" t="s">
        <v>26</v>
      </c>
      <c r="B85" t="s">
        <v>12</v>
      </c>
      <c r="C85">
        <v>2040</v>
      </c>
      <c r="D85" t="s">
        <v>8</v>
      </c>
      <c r="E85" t="s">
        <v>9</v>
      </c>
      <c r="F85" s="2">
        <f>CAPEX_Input!T15</f>
        <v>85970.5</v>
      </c>
    </row>
    <row r="86" spans="1:6" x14ac:dyDescent="0.25">
      <c r="A86" t="s">
        <v>26</v>
      </c>
      <c r="B86" t="s">
        <v>13</v>
      </c>
      <c r="C86">
        <v>2040</v>
      </c>
      <c r="D86" t="s">
        <v>8</v>
      </c>
      <c r="E86" t="s">
        <v>9</v>
      </c>
      <c r="F86" s="2">
        <f>CAPEX_Input!T16</f>
        <v>85970.5</v>
      </c>
    </row>
    <row r="87" spans="1:6" x14ac:dyDescent="0.25">
      <c r="A87" t="s">
        <v>26</v>
      </c>
      <c r="B87" t="s">
        <v>14</v>
      </c>
      <c r="C87">
        <v>2040</v>
      </c>
      <c r="D87" t="s">
        <v>8</v>
      </c>
      <c r="E87" t="s">
        <v>9</v>
      </c>
      <c r="F87" s="2">
        <f>CAPEX_Input!T17</f>
        <v>92111.8</v>
      </c>
    </row>
    <row r="88" spans="1:6" x14ac:dyDescent="0.25">
      <c r="A88" t="s">
        <v>26</v>
      </c>
      <c r="B88" t="s">
        <v>15</v>
      </c>
      <c r="C88">
        <v>2040</v>
      </c>
      <c r="D88" t="s">
        <v>8</v>
      </c>
      <c r="E88" t="s">
        <v>9</v>
      </c>
      <c r="F88" s="2">
        <f>CAPEX_Input!T18</f>
        <v>121465.3</v>
      </c>
    </row>
    <row r="89" spans="1:6" x14ac:dyDescent="0.25">
      <c r="A89" t="s">
        <v>26</v>
      </c>
      <c r="B89" t="s">
        <v>16</v>
      </c>
      <c r="C89">
        <v>2040</v>
      </c>
      <c r="D89" t="s">
        <v>8</v>
      </c>
      <c r="E89" t="s">
        <v>9</v>
      </c>
      <c r="F89" s="2">
        <f>CAPEX_Input!T19</f>
        <v>98252.000000000015</v>
      </c>
    </row>
    <row r="90" spans="1:6" x14ac:dyDescent="0.25">
      <c r="A90" t="s">
        <v>26</v>
      </c>
      <c r="B90" t="s">
        <v>17</v>
      </c>
      <c r="C90">
        <v>2040</v>
      </c>
      <c r="D90" t="s">
        <v>8</v>
      </c>
      <c r="E90" t="s">
        <v>9</v>
      </c>
      <c r="F90" s="2">
        <f>CAPEX_Input!T20</f>
        <v>126500.00000000001</v>
      </c>
    </row>
    <row r="91" spans="1:6" x14ac:dyDescent="0.25">
      <c r="A91" t="s">
        <v>26</v>
      </c>
      <c r="B91" t="s">
        <v>18</v>
      </c>
      <c r="C91">
        <v>2040</v>
      </c>
      <c r="D91" t="s">
        <v>8</v>
      </c>
      <c r="E91" t="s">
        <v>9</v>
      </c>
      <c r="F91" s="2">
        <f>CAPEX_Input!T21</f>
        <v>99481.8</v>
      </c>
    </row>
    <row r="92" spans="1:6" x14ac:dyDescent="0.25">
      <c r="A92" t="s">
        <v>26</v>
      </c>
      <c r="B92" t="s">
        <v>19</v>
      </c>
      <c r="C92">
        <v>2040</v>
      </c>
      <c r="D92" t="s">
        <v>8</v>
      </c>
      <c r="E92" t="s">
        <v>9</v>
      </c>
      <c r="F92" s="2">
        <f>CAPEX_Input!T22</f>
        <v>128956.30000000002</v>
      </c>
    </row>
    <row r="93" spans="1:6" x14ac:dyDescent="0.25">
      <c r="A93" t="s">
        <v>26</v>
      </c>
      <c r="B93" t="s">
        <v>20</v>
      </c>
      <c r="C93">
        <v>2040</v>
      </c>
      <c r="D93" t="s">
        <v>8</v>
      </c>
      <c r="E93" t="s">
        <v>9</v>
      </c>
      <c r="F93" s="2">
        <f>CAPEX_Input!T23</f>
        <v>105619.8</v>
      </c>
    </row>
    <row r="94" spans="1:6" x14ac:dyDescent="0.25">
      <c r="A94" t="s">
        <v>26</v>
      </c>
      <c r="B94" t="s">
        <v>21</v>
      </c>
      <c r="C94">
        <v>2040</v>
      </c>
      <c r="D94" t="s">
        <v>8</v>
      </c>
      <c r="E94" t="s">
        <v>9</v>
      </c>
      <c r="F94" s="2">
        <f>CAPEX_Input!T24</f>
        <v>133870</v>
      </c>
    </row>
    <row r="95" spans="1:6" x14ac:dyDescent="0.25">
      <c r="A95" t="s">
        <v>26</v>
      </c>
      <c r="B95" t="s">
        <v>22</v>
      </c>
      <c r="C95">
        <v>2040</v>
      </c>
      <c r="D95" t="s">
        <v>8</v>
      </c>
      <c r="E95" t="s">
        <v>9</v>
      </c>
      <c r="F95" s="2">
        <f>CAPEX_Input!T25</f>
        <v>165800.80000000002</v>
      </c>
    </row>
    <row r="96" spans="1:6" x14ac:dyDescent="0.25">
      <c r="A96" t="s">
        <v>26</v>
      </c>
      <c r="B96" t="s">
        <v>23</v>
      </c>
      <c r="C96">
        <v>2040</v>
      </c>
      <c r="D96" t="s">
        <v>8</v>
      </c>
      <c r="E96" t="s">
        <v>9</v>
      </c>
      <c r="F96" s="2">
        <f>CAPEX_Input!T26</f>
        <v>171943.2</v>
      </c>
    </row>
    <row r="97" spans="1:6" x14ac:dyDescent="0.25">
      <c r="A97" t="s">
        <v>26</v>
      </c>
      <c r="B97" t="s">
        <v>24</v>
      </c>
      <c r="C97">
        <v>2040</v>
      </c>
      <c r="D97" t="s">
        <v>8</v>
      </c>
      <c r="E97" t="s">
        <v>9</v>
      </c>
      <c r="F97" s="2">
        <f>CAPEX_Input!T27</f>
        <v>190362.7</v>
      </c>
    </row>
    <row r="98" spans="1:6" x14ac:dyDescent="0.25">
      <c r="A98" t="s">
        <v>77</v>
      </c>
      <c r="B98" t="s">
        <v>7</v>
      </c>
      <c r="C98">
        <v>2022</v>
      </c>
      <c r="D98" t="s">
        <v>8</v>
      </c>
      <c r="E98" t="s">
        <v>9</v>
      </c>
      <c r="F98" s="2">
        <f>F2</f>
        <v>49900</v>
      </c>
    </row>
    <row r="99" spans="1:6" x14ac:dyDescent="0.25">
      <c r="A99" t="s">
        <v>77</v>
      </c>
      <c r="B99" t="s">
        <v>10</v>
      </c>
      <c r="C99">
        <v>2022</v>
      </c>
      <c r="D99" t="s">
        <v>8</v>
      </c>
      <c r="E99" t="s">
        <v>9</v>
      </c>
      <c r="F99" s="2">
        <f t="shared" ref="F99:F113" si="0">F3</f>
        <v>49900</v>
      </c>
    </row>
    <row r="100" spans="1:6" x14ac:dyDescent="0.25">
      <c r="A100" t="s">
        <v>77</v>
      </c>
      <c r="B100" t="s">
        <v>11</v>
      </c>
      <c r="C100">
        <v>2022</v>
      </c>
      <c r="D100" t="s">
        <v>8</v>
      </c>
      <c r="E100" t="s">
        <v>9</v>
      </c>
      <c r="F100" s="2">
        <f t="shared" si="0"/>
        <v>72572</v>
      </c>
    </row>
    <row r="101" spans="1:6" x14ac:dyDescent="0.25">
      <c r="A101" t="s">
        <v>77</v>
      </c>
      <c r="B101" t="s">
        <v>12</v>
      </c>
      <c r="C101">
        <v>2022</v>
      </c>
      <c r="D101" t="s">
        <v>8</v>
      </c>
      <c r="E101" t="s">
        <v>9</v>
      </c>
      <c r="F101" s="2">
        <f t="shared" si="0"/>
        <v>78155</v>
      </c>
    </row>
    <row r="102" spans="1:6" x14ac:dyDescent="0.25">
      <c r="A102" t="s">
        <v>77</v>
      </c>
      <c r="B102" t="s">
        <v>13</v>
      </c>
      <c r="C102">
        <v>2022</v>
      </c>
      <c r="D102" t="s">
        <v>8</v>
      </c>
      <c r="E102" t="s">
        <v>9</v>
      </c>
      <c r="F102" s="2">
        <f t="shared" si="0"/>
        <v>78155</v>
      </c>
    </row>
    <row r="103" spans="1:6" x14ac:dyDescent="0.25">
      <c r="A103" t="s">
        <v>77</v>
      </c>
      <c r="B103" t="s">
        <v>14</v>
      </c>
      <c r="C103">
        <v>2022</v>
      </c>
      <c r="D103" t="s">
        <v>8</v>
      </c>
      <c r="E103" t="s">
        <v>9</v>
      </c>
      <c r="F103" s="2">
        <f t="shared" si="0"/>
        <v>83738</v>
      </c>
    </row>
    <row r="104" spans="1:6" x14ac:dyDescent="0.25">
      <c r="A104" t="s">
        <v>77</v>
      </c>
      <c r="B104" t="s">
        <v>15</v>
      </c>
      <c r="C104">
        <v>2022</v>
      </c>
      <c r="D104" t="s">
        <v>8</v>
      </c>
      <c r="E104" t="s">
        <v>9</v>
      </c>
      <c r="F104" s="2">
        <f t="shared" si="0"/>
        <v>110423</v>
      </c>
    </row>
    <row r="105" spans="1:6" x14ac:dyDescent="0.25">
      <c r="A105" t="s">
        <v>77</v>
      </c>
      <c r="B105" t="s">
        <v>16</v>
      </c>
      <c r="C105">
        <v>2022</v>
      </c>
      <c r="D105" t="s">
        <v>8</v>
      </c>
      <c r="E105" t="s">
        <v>9</v>
      </c>
      <c r="F105" s="2">
        <f t="shared" si="0"/>
        <v>89320</v>
      </c>
    </row>
    <row r="106" spans="1:6" x14ac:dyDescent="0.25">
      <c r="A106" t="s">
        <v>77</v>
      </c>
      <c r="B106" t="s">
        <v>17</v>
      </c>
      <c r="C106">
        <v>2022</v>
      </c>
      <c r="D106" t="s">
        <v>8</v>
      </c>
      <c r="E106" t="s">
        <v>9</v>
      </c>
      <c r="F106" s="2">
        <f t="shared" si="0"/>
        <v>115000</v>
      </c>
    </row>
    <row r="107" spans="1:6" x14ac:dyDescent="0.25">
      <c r="A107" t="s">
        <v>77</v>
      </c>
      <c r="B107" t="s">
        <v>18</v>
      </c>
      <c r="C107">
        <v>2022</v>
      </c>
      <c r="D107" t="s">
        <v>8</v>
      </c>
      <c r="E107" t="s">
        <v>9</v>
      </c>
      <c r="F107" s="2">
        <f t="shared" si="0"/>
        <v>90438</v>
      </c>
    </row>
    <row r="108" spans="1:6" x14ac:dyDescent="0.25">
      <c r="A108" t="s">
        <v>77</v>
      </c>
      <c r="B108" t="s">
        <v>19</v>
      </c>
      <c r="C108">
        <v>2022</v>
      </c>
      <c r="D108" t="s">
        <v>8</v>
      </c>
      <c r="E108" t="s">
        <v>9</v>
      </c>
      <c r="F108" s="2">
        <f t="shared" si="0"/>
        <v>117233</v>
      </c>
    </row>
    <row r="109" spans="1:6" x14ac:dyDescent="0.25">
      <c r="A109" t="s">
        <v>77</v>
      </c>
      <c r="B109" t="s">
        <v>20</v>
      </c>
      <c r="C109">
        <v>2022</v>
      </c>
      <c r="D109" t="s">
        <v>8</v>
      </c>
      <c r="E109" t="s">
        <v>9</v>
      </c>
      <c r="F109" s="2">
        <f t="shared" si="0"/>
        <v>96018</v>
      </c>
    </row>
    <row r="110" spans="1:6" x14ac:dyDescent="0.25">
      <c r="A110" t="s">
        <v>77</v>
      </c>
      <c r="B110" t="s">
        <v>21</v>
      </c>
      <c r="C110">
        <v>2022</v>
      </c>
      <c r="D110" t="s">
        <v>8</v>
      </c>
      <c r="E110" t="s">
        <v>9</v>
      </c>
      <c r="F110" s="2">
        <f t="shared" si="0"/>
        <v>121700</v>
      </c>
    </row>
    <row r="111" spans="1:6" x14ac:dyDescent="0.25">
      <c r="A111" t="s">
        <v>77</v>
      </c>
      <c r="B111" t="s">
        <v>22</v>
      </c>
      <c r="C111">
        <v>2022</v>
      </c>
      <c r="D111" t="s">
        <v>8</v>
      </c>
      <c r="E111" t="s">
        <v>9</v>
      </c>
      <c r="F111" s="2">
        <f t="shared" si="0"/>
        <v>150728</v>
      </c>
    </row>
    <row r="112" spans="1:6" x14ac:dyDescent="0.25">
      <c r="A112" t="s">
        <v>77</v>
      </c>
      <c r="B112" t="s">
        <v>23</v>
      </c>
      <c r="C112">
        <v>2022</v>
      </c>
      <c r="D112" t="s">
        <v>8</v>
      </c>
      <c r="E112" t="s">
        <v>9</v>
      </c>
      <c r="F112" s="2">
        <f t="shared" si="0"/>
        <v>156312</v>
      </c>
    </row>
    <row r="113" spans="1:6" x14ac:dyDescent="0.25">
      <c r="A113" t="s">
        <v>77</v>
      </c>
      <c r="B113" t="s">
        <v>24</v>
      </c>
      <c r="C113">
        <v>2022</v>
      </c>
      <c r="D113" t="s">
        <v>8</v>
      </c>
      <c r="E113" t="s">
        <v>9</v>
      </c>
      <c r="F113" s="2">
        <f t="shared" si="0"/>
        <v>173057</v>
      </c>
    </row>
    <row r="114" spans="1:6" x14ac:dyDescent="0.25">
      <c r="A114" t="s">
        <v>77</v>
      </c>
      <c r="B114" t="s">
        <v>7</v>
      </c>
      <c r="C114">
        <v>2040</v>
      </c>
      <c r="D114" t="s">
        <v>8</v>
      </c>
      <c r="E114" t="s">
        <v>9</v>
      </c>
      <c r="F114" s="2">
        <f>F50</f>
        <v>49900</v>
      </c>
    </row>
    <row r="115" spans="1:6" x14ac:dyDescent="0.25">
      <c r="A115" t="s">
        <v>77</v>
      </c>
      <c r="B115" t="s">
        <v>10</v>
      </c>
      <c r="C115">
        <v>2040</v>
      </c>
      <c r="D115" t="s">
        <v>8</v>
      </c>
      <c r="E115" t="s">
        <v>9</v>
      </c>
      <c r="F115" s="2">
        <f t="shared" ref="F115:F129" si="1">F51</f>
        <v>49900</v>
      </c>
    </row>
    <row r="116" spans="1:6" x14ac:dyDescent="0.25">
      <c r="A116" t="s">
        <v>77</v>
      </c>
      <c r="B116" t="s">
        <v>11</v>
      </c>
      <c r="C116">
        <v>2040</v>
      </c>
      <c r="D116" t="s">
        <v>8</v>
      </c>
      <c r="E116" t="s">
        <v>9</v>
      </c>
      <c r="F116" s="2">
        <f t="shared" si="1"/>
        <v>72572</v>
      </c>
    </row>
    <row r="117" spans="1:6" x14ac:dyDescent="0.25">
      <c r="A117" t="s">
        <v>77</v>
      </c>
      <c r="B117" t="s">
        <v>12</v>
      </c>
      <c r="C117">
        <v>2040</v>
      </c>
      <c r="D117" t="s">
        <v>8</v>
      </c>
      <c r="E117" t="s">
        <v>9</v>
      </c>
      <c r="F117" s="2">
        <f t="shared" si="1"/>
        <v>78155</v>
      </c>
    </row>
    <row r="118" spans="1:6" x14ac:dyDescent="0.25">
      <c r="A118" t="s">
        <v>77</v>
      </c>
      <c r="B118" t="s">
        <v>13</v>
      </c>
      <c r="C118">
        <v>2040</v>
      </c>
      <c r="D118" t="s">
        <v>8</v>
      </c>
      <c r="E118" t="s">
        <v>9</v>
      </c>
      <c r="F118" s="2">
        <f t="shared" si="1"/>
        <v>78155</v>
      </c>
    </row>
    <row r="119" spans="1:6" x14ac:dyDescent="0.25">
      <c r="A119" t="s">
        <v>77</v>
      </c>
      <c r="B119" t="s">
        <v>14</v>
      </c>
      <c r="C119">
        <v>2040</v>
      </c>
      <c r="D119" t="s">
        <v>8</v>
      </c>
      <c r="E119" t="s">
        <v>9</v>
      </c>
      <c r="F119" s="2">
        <f t="shared" si="1"/>
        <v>83738</v>
      </c>
    </row>
    <row r="120" spans="1:6" x14ac:dyDescent="0.25">
      <c r="A120" t="s">
        <v>77</v>
      </c>
      <c r="B120" t="s">
        <v>15</v>
      </c>
      <c r="C120">
        <v>2040</v>
      </c>
      <c r="D120" t="s">
        <v>8</v>
      </c>
      <c r="E120" t="s">
        <v>9</v>
      </c>
      <c r="F120" s="2">
        <f t="shared" si="1"/>
        <v>110423</v>
      </c>
    </row>
    <row r="121" spans="1:6" x14ac:dyDescent="0.25">
      <c r="A121" t="s">
        <v>77</v>
      </c>
      <c r="B121" t="s">
        <v>16</v>
      </c>
      <c r="C121">
        <v>2040</v>
      </c>
      <c r="D121" t="s">
        <v>8</v>
      </c>
      <c r="E121" t="s">
        <v>9</v>
      </c>
      <c r="F121" s="2">
        <f t="shared" si="1"/>
        <v>89320</v>
      </c>
    </row>
    <row r="122" spans="1:6" x14ac:dyDescent="0.25">
      <c r="A122" t="s">
        <v>77</v>
      </c>
      <c r="B122" t="s">
        <v>17</v>
      </c>
      <c r="C122">
        <v>2040</v>
      </c>
      <c r="D122" t="s">
        <v>8</v>
      </c>
      <c r="E122" t="s">
        <v>9</v>
      </c>
      <c r="F122" s="2">
        <f t="shared" si="1"/>
        <v>115000</v>
      </c>
    </row>
    <row r="123" spans="1:6" x14ac:dyDescent="0.25">
      <c r="A123" t="s">
        <v>77</v>
      </c>
      <c r="B123" t="s">
        <v>18</v>
      </c>
      <c r="C123">
        <v>2040</v>
      </c>
      <c r="D123" t="s">
        <v>8</v>
      </c>
      <c r="E123" t="s">
        <v>9</v>
      </c>
      <c r="F123" s="2">
        <f t="shared" si="1"/>
        <v>90438</v>
      </c>
    </row>
    <row r="124" spans="1:6" x14ac:dyDescent="0.25">
      <c r="A124" t="s">
        <v>77</v>
      </c>
      <c r="B124" t="s">
        <v>19</v>
      </c>
      <c r="C124">
        <v>2040</v>
      </c>
      <c r="D124" t="s">
        <v>8</v>
      </c>
      <c r="E124" t="s">
        <v>9</v>
      </c>
      <c r="F124" s="2">
        <f t="shared" si="1"/>
        <v>117233</v>
      </c>
    </row>
    <row r="125" spans="1:6" x14ac:dyDescent="0.25">
      <c r="A125" t="s">
        <v>77</v>
      </c>
      <c r="B125" t="s">
        <v>20</v>
      </c>
      <c r="C125">
        <v>2040</v>
      </c>
      <c r="D125" t="s">
        <v>8</v>
      </c>
      <c r="E125" t="s">
        <v>9</v>
      </c>
      <c r="F125" s="2">
        <f t="shared" si="1"/>
        <v>96018</v>
      </c>
    </row>
    <row r="126" spans="1:6" x14ac:dyDescent="0.25">
      <c r="A126" t="s">
        <v>77</v>
      </c>
      <c r="B126" t="s">
        <v>21</v>
      </c>
      <c r="C126">
        <v>2040</v>
      </c>
      <c r="D126" t="s">
        <v>8</v>
      </c>
      <c r="E126" t="s">
        <v>9</v>
      </c>
      <c r="F126" s="2">
        <f t="shared" si="1"/>
        <v>121700</v>
      </c>
    </row>
    <row r="127" spans="1:6" x14ac:dyDescent="0.25">
      <c r="A127" t="s">
        <v>77</v>
      </c>
      <c r="B127" t="s">
        <v>22</v>
      </c>
      <c r="C127">
        <v>2040</v>
      </c>
      <c r="D127" t="s">
        <v>8</v>
      </c>
      <c r="E127" t="s">
        <v>9</v>
      </c>
      <c r="F127" s="2">
        <f t="shared" si="1"/>
        <v>150728</v>
      </c>
    </row>
    <row r="128" spans="1:6" x14ac:dyDescent="0.25">
      <c r="A128" t="s">
        <v>77</v>
      </c>
      <c r="B128" t="s">
        <v>23</v>
      </c>
      <c r="C128">
        <v>2040</v>
      </c>
      <c r="D128" t="s">
        <v>8</v>
      </c>
      <c r="E128" t="s">
        <v>9</v>
      </c>
      <c r="F128" s="2">
        <f t="shared" si="1"/>
        <v>156312</v>
      </c>
    </row>
    <row r="129" spans="1:6" x14ac:dyDescent="0.25">
      <c r="A129" t="s">
        <v>77</v>
      </c>
      <c r="B129" t="s">
        <v>24</v>
      </c>
      <c r="C129">
        <v>2040</v>
      </c>
      <c r="D129" t="s">
        <v>8</v>
      </c>
      <c r="E129" t="s">
        <v>9</v>
      </c>
      <c r="F129" s="2">
        <f t="shared" si="1"/>
        <v>173057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1D1E60-5769-4EED-8BF7-B0CEC34654AE}">
  <sheetPr codeName="Hoja5"/>
  <dimension ref="A1:D89"/>
  <sheetViews>
    <sheetView workbookViewId="0">
      <selection activeCell="D17" sqref="D17"/>
    </sheetView>
  </sheetViews>
  <sheetFormatPr baseColWidth="10" defaultRowHeight="15" x14ac:dyDescent="0.25"/>
  <cols>
    <col min="1" max="2" width="21.85546875" customWidth="1"/>
  </cols>
  <sheetData>
    <row r="1" spans="1:4" x14ac:dyDescent="0.25">
      <c r="A1" t="s">
        <v>4</v>
      </c>
      <c r="B1" t="s">
        <v>3</v>
      </c>
      <c r="C1" t="s">
        <v>2</v>
      </c>
      <c r="D1" t="s">
        <v>31</v>
      </c>
    </row>
    <row r="2" spans="1:4" x14ac:dyDescent="0.25">
      <c r="A2" t="s">
        <v>32</v>
      </c>
      <c r="B2" t="s">
        <v>64</v>
      </c>
      <c r="C2">
        <v>2020</v>
      </c>
      <c r="D2">
        <f>CAPEX_Input!E55</f>
        <v>221</v>
      </c>
    </row>
    <row r="3" spans="1:4" x14ac:dyDescent="0.25">
      <c r="A3" t="s">
        <v>33</v>
      </c>
      <c r="B3" t="s">
        <v>64</v>
      </c>
      <c r="C3">
        <v>2020</v>
      </c>
      <c r="D3">
        <f>CAPEX_Input!E56</f>
        <v>382</v>
      </c>
    </row>
    <row r="4" spans="1:4" x14ac:dyDescent="0.25">
      <c r="A4" t="s">
        <v>34</v>
      </c>
      <c r="B4" t="s">
        <v>64</v>
      </c>
      <c r="C4">
        <v>2020</v>
      </c>
      <c r="D4">
        <f>CAPEX_Input!E57</f>
        <v>793</v>
      </c>
    </row>
    <row r="5" spans="1:4" x14ac:dyDescent="0.25">
      <c r="A5" t="s">
        <v>35</v>
      </c>
      <c r="B5" t="s">
        <v>64</v>
      </c>
      <c r="C5">
        <v>2020</v>
      </c>
      <c r="D5">
        <f>CAPEX_Input!E58</f>
        <v>900</v>
      </c>
    </row>
    <row r="6" spans="1:4" x14ac:dyDescent="0.25">
      <c r="A6" t="s">
        <v>36</v>
      </c>
      <c r="B6" t="s">
        <v>64</v>
      </c>
      <c r="C6">
        <v>2020</v>
      </c>
      <c r="D6">
        <f>CAPEX_Input!E59</f>
        <v>58</v>
      </c>
    </row>
    <row r="7" spans="1:4" x14ac:dyDescent="0.25">
      <c r="A7" t="s">
        <v>37</v>
      </c>
      <c r="B7" t="s">
        <v>64</v>
      </c>
      <c r="C7">
        <v>2020</v>
      </c>
      <c r="D7">
        <f>CAPEX_Input!E60</f>
        <v>25</v>
      </c>
    </row>
    <row r="8" spans="1:4" x14ac:dyDescent="0.25">
      <c r="A8" t="s">
        <v>32</v>
      </c>
      <c r="B8" t="s">
        <v>64</v>
      </c>
      <c r="C8">
        <v>2030</v>
      </c>
      <c r="D8">
        <f>INDEX(CAPEX_Input!$E$55:$H$60,MATCH(data_Components_Prices!A8,CAPEX_Input!$C$55:$C$60,0),MATCH(data_Components_Prices!C8,CAPEX_Input!$E$54:$H$54,0))</f>
        <v>118</v>
      </c>
    </row>
    <row r="9" spans="1:4" x14ac:dyDescent="0.25">
      <c r="A9" t="s">
        <v>32</v>
      </c>
      <c r="B9" t="s">
        <v>64</v>
      </c>
      <c r="C9">
        <v>2040</v>
      </c>
      <c r="D9">
        <f>INDEX(CAPEX_Input!$E$55:$H$60,MATCH(data_Components_Prices!A9,CAPEX_Input!$C$55:$C$60,0),MATCH(data_Components_Prices!C9,CAPEX_Input!$E$54:$H$54,0))</f>
        <v>95</v>
      </c>
    </row>
    <row r="10" spans="1:4" x14ac:dyDescent="0.25">
      <c r="A10" t="s">
        <v>32</v>
      </c>
      <c r="B10" t="s">
        <v>64</v>
      </c>
      <c r="C10">
        <v>2050</v>
      </c>
      <c r="D10">
        <f>INDEX(CAPEX_Input!$E$55:$H$60,MATCH(data_Components_Prices!A10,CAPEX_Input!$C$55:$C$60,0),MATCH(data_Components_Prices!C10,CAPEX_Input!$E$54:$H$54,0))</f>
        <v>95</v>
      </c>
    </row>
    <row r="11" spans="1:4" x14ac:dyDescent="0.25">
      <c r="A11" t="s">
        <v>33</v>
      </c>
      <c r="B11" t="s">
        <v>64</v>
      </c>
      <c r="C11">
        <v>2030</v>
      </c>
      <c r="D11">
        <f>INDEX(CAPEX_Input!$E$55:$H$60,MATCH(data_Components_Prices!A11,CAPEX_Input!$C$55:$C$60,0),MATCH(data_Components_Prices!C11,CAPEX_Input!$E$54:$H$54,0))</f>
        <v>232</v>
      </c>
    </row>
    <row r="12" spans="1:4" x14ac:dyDescent="0.25">
      <c r="A12" t="s">
        <v>33</v>
      </c>
      <c r="B12" t="s">
        <v>64</v>
      </c>
      <c r="C12">
        <v>2040</v>
      </c>
      <c r="D12">
        <f>INDEX(CAPEX_Input!$E$55:$H$60,MATCH(data_Components_Prices!A12,CAPEX_Input!$C$55:$C$60,0),MATCH(data_Components_Prices!C12,CAPEX_Input!$E$54:$H$54,0))</f>
        <v>186</v>
      </c>
    </row>
    <row r="13" spans="1:4" x14ac:dyDescent="0.25">
      <c r="A13" t="s">
        <v>33</v>
      </c>
      <c r="B13" t="s">
        <v>64</v>
      </c>
      <c r="C13">
        <v>2050</v>
      </c>
      <c r="D13">
        <f>INDEX(CAPEX_Input!$E$55:$H$60,MATCH(data_Components_Prices!A13,CAPEX_Input!$C$55:$C$60,0),MATCH(data_Components_Prices!C13,CAPEX_Input!$E$54:$H$54,0))</f>
        <v>186</v>
      </c>
    </row>
    <row r="14" spans="1:4" x14ac:dyDescent="0.25">
      <c r="A14" t="s">
        <v>34</v>
      </c>
      <c r="B14" t="s">
        <v>64</v>
      </c>
      <c r="C14">
        <v>2030</v>
      </c>
      <c r="D14">
        <f>INDEX(CAPEX_Input!$E$55:$H$60,MATCH(data_Components_Prices!A14,CAPEX_Input!$C$55:$C$60,0),MATCH(data_Components_Prices!C14,CAPEX_Input!$E$54:$H$54,0))</f>
        <v>289</v>
      </c>
    </row>
    <row r="15" spans="1:4" x14ac:dyDescent="0.25">
      <c r="A15" t="s">
        <v>34</v>
      </c>
      <c r="B15" t="s">
        <v>64</v>
      </c>
      <c r="C15">
        <v>2040</v>
      </c>
      <c r="D15">
        <f>INDEX(CAPEX_Input!$E$55:$H$60,MATCH(data_Components_Prices!A15,CAPEX_Input!$C$55:$C$60,0),MATCH(data_Components_Prices!C15,CAPEX_Input!$E$54:$H$54,0))</f>
        <v>232</v>
      </c>
    </row>
    <row r="16" spans="1:4" x14ac:dyDescent="0.25">
      <c r="A16" t="s">
        <v>34</v>
      </c>
      <c r="B16" t="s">
        <v>64</v>
      </c>
      <c r="C16">
        <v>2050</v>
      </c>
      <c r="D16">
        <f>INDEX(CAPEX_Input!$E$55:$H$60,MATCH(data_Components_Prices!A16,CAPEX_Input!$C$55:$C$60,0),MATCH(data_Components_Prices!C16,CAPEX_Input!$E$54:$H$54,0))</f>
        <v>232</v>
      </c>
    </row>
    <row r="17" spans="1:4" x14ac:dyDescent="0.25">
      <c r="A17" t="s">
        <v>35</v>
      </c>
      <c r="B17" t="s">
        <v>64</v>
      </c>
      <c r="C17">
        <v>2030</v>
      </c>
      <c r="D17">
        <f>INDEX(CAPEX_Input!$E$55:$H$60,MATCH(data_Components_Prices!A17,CAPEX_Input!$C$55:$C$60,0),MATCH(data_Components_Prices!C17,CAPEX_Input!$E$54:$H$54,0))</f>
        <v>525</v>
      </c>
    </row>
    <row r="18" spans="1:4" x14ac:dyDescent="0.25">
      <c r="A18" t="s">
        <v>35</v>
      </c>
      <c r="B18" t="s">
        <v>64</v>
      </c>
      <c r="C18">
        <v>2040</v>
      </c>
      <c r="D18">
        <f>INDEX(CAPEX_Input!$E$55:$H$60,MATCH(data_Components_Prices!A18,CAPEX_Input!$C$55:$C$60,0),MATCH(data_Components_Prices!C18,CAPEX_Input!$E$54:$H$54,0))</f>
        <v>450</v>
      </c>
    </row>
    <row r="19" spans="1:4" x14ac:dyDescent="0.25">
      <c r="A19" t="s">
        <v>35</v>
      </c>
      <c r="B19" t="s">
        <v>64</v>
      </c>
      <c r="C19">
        <v>2050</v>
      </c>
      <c r="D19">
        <f>INDEX(CAPEX_Input!$E$55:$H$60,MATCH(data_Components_Prices!A19,CAPEX_Input!$C$55:$C$60,0),MATCH(data_Components_Prices!C19,CAPEX_Input!$E$54:$H$54,0))</f>
        <v>450</v>
      </c>
    </row>
    <row r="20" spans="1:4" x14ac:dyDescent="0.25">
      <c r="A20" t="s">
        <v>36</v>
      </c>
      <c r="B20" t="s">
        <v>64</v>
      </c>
      <c r="C20">
        <v>2030</v>
      </c>
      <c r="D20">
        <f>INDEX(CAPEX_Input!$E$55:$H$60,MATCH(data_Components_Prices!A20,CAPEX_Input!$C$55:$C$60,0),MATCH(data_Components_Prices!C20,CAPEX_Input!$E$54:$H$54,0))</f>
        <v>22</v>
      </c>
    </row>
    <row r="21" spans="1:4" x14ac:dyDescent="0.25">
      <c r="A21" t="s">
        <v>36</v>
      </c>
      <c r="B21" t="s">
        <v>64</v>
      </c>
      <c r="C21">
        <v>2040</v>
      </c>
      <c r="D21">
        <f>INDEX(CAPEX_Input!$E$55:$H$60,MATCH(data_Components_Prices!A21,CAPEX_Input!$C$55:$C$60,0),MATCH(data_Components_Prices!C21,CAPEX_Input!$E$54:$H$54,0))</f>
        <v>17</v>
      </c>
    </row>
    <row r="22" spans="1:4" x14ac:dyDescent="0.25">
      <c r="A22" t="s">
        <v>36</v>
      </c>
      <c r="B22" t="s">
        <v>64</v>
      </c>
      <c r="C22">
        <v>2050</v>
      </c>
      <c r="D22">
        <f>INDEX(CAPEX_Input!$E$55:$H$60,MATCH(data_Components_Prices!A22,CAPEX_Input!$C$55:$C$60,0),MATCH(data_Components_Prices!C22,CAPEX_Input!$E$54:$H$54,0))</f>
        <v>17</v>
      </c>
    </row>
    <row r="23" spans="1:4" x14ac:dyDescent="0.25">
      <c r="A23" t="s">
        <v>37</v>
      </c>
      <c r="B23" t="s">
        <v>64</v>
      </c>
      <c r="C23">
        <v>2030</v>
      </c>
      <c r="D23">
        <f>INDEX(CAPEX_Input!$E$55:$H$60,MATCH(data_Components_Prices!A23,CAPEX_Input!$C$55:$C$60,0),MATCH(data_Components_Prices!C23,CAPEX_Input!$E$54:$H$54,0))</f>
        <v>25</v>
      </c>
    </row>
    <row r="24" spans="1:4" x14ac:dyDescent="0.25">
      <c r="A24" t="s">
        <v>37</v>
      </c>
      <c r="B24" t="s">
        <v>64</v>
      </c>
      <c r="C24">
        <v>2040</v>
      </c>
      <c r="D24">
        <f>INDEX(CAPEX_Input!$E$55:$H$60,MATCH(data_Components_Prices!A24,CAPEX_Input!$C$55:$C$60,0),MATCH(data_Components_Prices!C24,CAPEX_Input!$E$54:$H$54,0))</f>
        <v>25</v>
      </c>
    </row>
    <row r="25" spans="1:4" x14ac:dyDescent="0.25">
      <c r="A25" t="s">
        <v>37</v>
      </c>
      <c r="B25" t="s">
        <v>64</v>
      </c>
      <c r="C25">
        <v>2050</v>
      </c>
      <c r="D25">
        <f>INDEX(CAPEX_Input!$E$55:$H$60,MATCH(data_Components_Prices!A25,CAPEX_Input!$C$55:$C$60,0),MATCH(data_Components_Prices!C25,CAPEX_Input!$E$54:$H$54,0))</f>
        <v>25</v>
      </c>
    </row>
    <row r="26" spans="1:4" x14ac:dyDescent="0.25">
      <c r="A26" s="4" t="s">
        <v>32</v>
      </c>
      <c r="B26" s="24" t="s">
        <v>53</v>
      </c>
      <c r="C26" s="25">
        <v>2020</v>
      </c>
      <c r="D26" s="27">
        <f>CAPEX_Input!E66</f>
        <v>275</v>
      </c>
    </row>
    <row r="27" spans="1:4" x14ac:dyDescent="0.25">
      <c r="A27" s="4" t="s">
        <v>32</v>
      </c>
      <c r="B27" s="24" t="s">
        <v>54</v>
      </c>
      <c r="C27" s="25">
        <v>2020</v>
      </c>
      <c r="D27" s="27">
        <f>CAPEX_Input!E67</f>
        <v>310</v>
      </c>
    </row>
    <row r="28" spans="1:4" x14ac:dyDescent="0.25">
      <c r="A28" s="4" t="s">
        <v>32</v>
      </c>
      <c r="B28" s="24" t="s">
        <v>55</v>
      </c>
      <c r="C28" s="25">
        <v>2020</v>
      </c>
      <c r="D28" s="27">
        <f>CAPEX_Input!E68</f>
        <v>316</v>
      </c>
    </row>
    <row r="29" spans="1:4" x14ac:dyDescent="0.25">
      <c r="A29" s="4" t="s">
        <v>32</v>
      </c>
      <c r="B29" s="24" t="s">
        <v>56</v>
      </c>
      <c r="C29" s="25">
        <v>2020</v>
      </c>
      <c r="D29" s="27">
        <f>CAPEX_Input!E69</f>
        <v>300</v>
      </c>
    </row>
    <row r="30" spans="1:4" x14ac:dyDescent="0.25">
      <c r="A30" s="3" t="s">
        <v>34</v>
      </c>
      <c r="B30" s="24" t="s">
        <v>53</v>
      </c>
      <c r="C30" s="25">
        <v>2020</v>
      </c>
      <c r="D30" s="27">
        <f>CAPEX_Input!E70</f>
        <v>538</v>
      </c>
    </row>
    <row r="31" spans="1:4" x14ac:dyDescent="0.25">
      <c r="A31" s="3" t="s">
        <v>34</v>
      </c>
      <c r="B31" s="24" t="s">
        <v>54</v>
      </c>
      <c r="C31" s="25">
        <v>2020</v>
      </c>
      <c r="D31" s="27">
        <f>CAPEX_Input!E71</f>
        <v>219</v>
      </c>
    </row>
    <row r="32" spans="1:4" x14ac:dyDescent="0.25">
      <c r="A32" s="3" t="s">
        <v>34</v>
      </c>
      <c r="B32" s="24" t="s">
        <v>55</v>
      </c>
      <c r="C32" s="25">
        <v>2020</v>
      </c>
      <c r="D32" s="27">
        <f>CAPEX_Input!E72</f>
        <v>415</v>
      </c>
    </row>
    <row r="33" spans="1:4" x14ac:dyDescent="0.25">
      <c r="A33" s="3" t="s">
        <v>34</v>
      </c>
      <c r="B33" s="24" t="s">
        <v>56</v>
      </c>
      <c r="C33" s="25">
        <v>2020</v>
      </c>
      <c r="D33" s="27">
        <f>CAPEX_Input!E73</f>
        <v>392</v>
      </c>
    </row>
    <row r="34" spans="1:4" x14ac:dyDescent="0.25">
      <c r="A34" t="s">
        <v>36</v>
      </c>
      <c r="B34" s="24" t="s">
        <v>56</v>
      </c>
      <c r="C34" s="25">
        <v>2020</v>
      </c>
      <c r="D34" s="27">
        <f>CAPEX_Input!E74</f>
        <v>42</v>
      </c>
    </row>
    <row r="35" spans="1:4" x14ac:dyDescent="0.25">
      <c r="A35" s="4" t="s">
        <v>37</v>
      </c>
      <c r="B35" s="24" t="s">
        <v>56</v>
      </c>
      <c r="C35" s="25">
        <v>2020</v>
      </c>
      <c r="D35" s="27">
        <f>CAPEX_Input!E75</f>
        <v>48</v>
      </c>
    </row>
    <row r="36" spans="1:4" x14ac:dyDescent="0.25">
      <c r="A36" t="s">
        <v>35</v>
      </c>
      <c r="B36" s="24" t="s">
        <v>56</v>
      </c>
      <c r="C36" s="25">
        <v>2020</v>
      </c>
      <c r="D36" s="27">
        <f>CAPEX_Input!E76</f>
        <v>799.19999999999993</v>
      </c>
    </row>
    <row r="37" spans="1:4" x14ac:dyDescent="0.25">
      <c r="A37" s="4" t="s">
        <v>32</v>
      </c>
      <c r="B37" s="24" t="s">
        <v>53</v>
      </c>
      <c r="C37" s="25">
        <v>2030</v>
      </c>
      <c r="D37" s="27">
        <f>CAPEX_Input!F66</f>
        <v>141</v>
      </c>
    </row>
    <row r="38" spans="1:4" x14ac:dyDescent="0.25">
      <c r="A38" s="4" t="s">
        <v>32</v>
      </c>
      <c r="B38" s="24" t="s">
        <v>54</v>
      </c>
      <c r="C38" s="25">
        <v>2030</v>
      </c>
      <c r="D38" s="27">
        <f>CAPEX_Input!F67</f>
        <v>178</v>
      </c>
    </row>
    <row r="39" spans="1:4" x14ac:dyDescent="0.25">
      <c r="A39" s="4" t="s">
        <v>32</v>
      </c>
      <c r="B39" s="24" t="s">
        <v>55</v>
      </c>
      <c r="C39" s="25">
        <v>2030</v>
      </c>
      <c r="D39" s="27">
        <f>CAPEX_Input!F68</f>
        <v>193</v>
      </c>
    </row>
    <row r="40" spans="1:4" x14ac:dyDescent="0.25">
      <c r="A40" s="4" t="s">
        <v>32</v>
      </c>
      <c r="B40" s="24" t="s">
        <v>56</v>
      </c>
      <c r="C40" s="25">
        <v>2030</v>
      </c>
      <c r="D40" s="27">
        <f>CAPEX_Input!F69</f>
        <v>174</v>
      </c>
    </row>
    <row r="41" spans="1:4" x14ac:dyDescent="0.25">
      <c r="A41" s="3" t="s">
        <v>34</v>
      </c>
      <c r="B41" s="24" t="s">
        <v>53</v>
      </c>
      <c r="C41" s="25">
        <v>2030</v>
      </c>
      <c r="D41" s="27">
        <f>CAPEX_Input!F70</f>
        <v>216</v>
      </c>
    </row>
    <row r="42" spans="1:4" x14ac:dyDescent="0.25">
      <c r="A42" s="3" t="s">
        <v>34</v>
      </c>
      <c r="B42" s="24" t="s">
        <v>54</v>
      </c>
      <c r="C42" s="25">
        <v>2030</v>
      </c>
      <c r="D42" s="27">
        <f>CAPEX_Input!F71</f>
        <v>132</v>
      </c>
    </row>
    <row r="43" spans="1:4" x14ac:dyDescent="0.25">
      <c r="A43" s="3" t="s">
        <v>34</v>
      </c>
      <c r="B43" s="24" t="s">
        <v>55</v>
      </c>
      <c r="C43" s="25">
        <v>2030</v>
      </c>
      <c r="D43" s="27">
        <f>CAPEX_Input!F72</f>
        <v>219</v>
      </c>
    </row>
    <row r="44" spans="1:4" x14ac:dyDescent="0.25">
      <c r="A44" s="3" t="s">
        <v>34</v>
      </c>
      <c r="B44" s="24" t="s">
        <v>56</v>
      </c>
      <c r="C44" s="25">
        <v>2030</v>
      </c>
      <c r="D44" s="27">
        <f>CAPEX_Input!F73</f>
        <v>204</v>
      </c>
    </row>
    <row r="45" spans="1:4" x14ac:dyDescent="0.25">
      <c r="A45" t="s">
        <v>36</v>
      </c>
      <c r="B45" s="24" t="s">
        <v>56</v>
      </c>
      <c r="C45" s="25">
        <v>2030</v>
      </c>
      <c r="D45" s="27">
        <f>CAPEX_Input!F74</f>
        <v>35</v>
      </c>
    </row>
    <row r="46" spans="1:4" x14ac:dyDescent="0.25">
      <c r="A46" s="4" t="s">
        <v>37</v>
      </c>
      <c r="B46" s="24" t="s">
        <v>56</v>
      </c>
      <c r="C46" s="25">
        <v>2030</v>
      </c>
      <c r="D46" s="27">
        <f>CAPEX_Input!F75</f>
        <v>48</v>
      </c>
    </row>
    <row r="47" spans="1:4" x14ac:dyDescent="0.25">
      <c r="A47" t="s">
        <v>35</v>
      </c>
      <c r="B47" s="24" t="s">
        <v>56</v>
      </c>
      <c r="C47" s="25">
        <v>2030</v>
      </c>
      <c r="D47" s="27">
        <f>CAPEX_Input!F76</f>
        <v>532.79999999999995</v>
      </c>
    </row>
    <row r="48" spans="1:4" x14ac:dyDescent="0.25">
      <c r="A48" s="4" t="s">
        <v>32</v>
      </c>
      <c r="B48" s="24" t="s">
        <v>53</v>
      </c>
      <c r="C48" s="25">
        <v>2040</v>
      </c>
      <c r="D48" s="27">
        <f>CAPEX_Input!G66</f>
        <v>94</v>
      </c>
    </row>
    <row r="49" spans="1:4" x14ac:dyDescent="0.25">
      <c r="A49" s="4" t="s">
        <v>32</v>
      </c>
      <c r="B49" s="24" t="s">
        <v>54</v>
      </c>
      <c r="C49" s="25">
        <v>2040</v>
      </c>
      <c r="D49" s="27">
        <f>CAPEX_Input!G67</f>
        <v>127</v>
      </c>
    </row>
    <row r="50" spans="1:4" x14ac:dyDescent="0.25">
      <c r="A50" s="4" t="s">
        <v>32</v>
      </c>
      <c r="B50" s="24" t="s">
        <v>55</v>
      </c>
      <c r="C50" s="25">
        <v>2040</v>
      </c>
      <c r="D50" s="27">
        <f>CAPEX_Input!G68</f>
        <v>143</v>
      </c>
    </row>
    <row r="51" spans="1:4" x14ac:dyDescent="0.25">
      <c r="A51" s="4" t="s">
        <v>32</v>
      </c>
      <c r="B51" s="24" t="s">
        <v>56</v>
      </c>
      <c r="C51" s="25">
        <v>2040</v>
      </c>
      <c r="D51" s="27">
        <f>CAPEX_Input!G69</f>
        <v>126</v>
      </c>
    </row>
    <row r="52" spans="1:4" x14ac:dyDescent="0.25">
      <c r="A52" s="3" t="s">
        <v>34</v>
      </c>
      <c r="B52" s="24" t="s">
        <v>53</v>
      </c>
      <c r="C52" s="25">
        <v>2040</v>
      </c>
      <c r="D52" s="27">
        <f>CAPEX_Input!G70</f>
        <v>125</v>
      </c>
    </row>
    <row r="53" spans="1:4" x14ac:dyDescent="0.25">
      <c r="A53" s="3" t="s">
        <v>34</v>
      </c>
      <c r="B53" s="24" t="s">
        <v>54</v>
      </c>
      <c r="C53" s="25">
        <v>2040</v>
      </c>
      <c r="D53" s="27">
        <f>CAPEX_Input!G71</f>
        <v>97</v>
      </c>
    </row>
    <row r="54" spans="1:4" x14ac:dyDescent="0.25">
      <c r="A54" s="3" t="s">
        <v>34</v>
      </c>
      <c r="B54" s="24" t="s">
        <v>55</v>
      </c>
      <c r="C54" s="25">
        <v>2040</v>
      </c>
      <c r="D54" s="27">
        <f>CAPEX_Input!G72</f>
        <v>149</v>
      </c>
    </row>
    <row r="55" spans="1:4" x14ac:dyDescent="0.25">
      <c r="A55" s="3" t="s">
        <v>34</v>
      </c>
      <c r="B55" s="24" t="s">
        <v>56</v>
      </c>
      <c r="C55" s="25">
        <v>2040</v>
      </c>
      <c r="D55" s="27">
        <f>CAPEX_Input!G73</f>
        <v>138</v>
      </c>
    </row>
    <row r="56" spans="1:4" x14ac:dyDescent="0.25">
      <c r="A56" t="s">
        <v>36</v>
      </c>
      <c r="B56" s="24" t="s">
        <v>56</v>
      </c>
      <c r="C56" s="25">
        <v>2040</v>
      </c>
      <c r="D56" s="27">
        <f>CAPEX_Input!G74</f>
        <v>32</v>
      </c>
    </row>
    <row r="57" spans="1:4" x14ac:dyDescent="0.25">
      <c r="A57" s="4" t="s">
        <v>37</v>
      </c>
      <c r="B57" s="24" t="s">
        <v>56</v>
      </c>
      <c r="C57" s="25">
        <v>2040</v>
      </c>
      <c r="D57" s="27">
        <f>CAPEX_Input!G75</f>
        <v>49</v>
      </c>
    </row>
    <row r="58" spans="1:4" x14ac:dyDescent="0.25">
      <c r="A58" t="s">
        <v>35</v>
      </c>
      <c r="B58" s="24" t="s">
        <v>56</v>
      </c>
      <c r="C58" s="25">
        <v>2040</v>
      </c>
      <c r="D58" s="27">
        <f>CAPEX_Input!G76</f>
        <v>432.9</v>
      </c>
    </row>
    <row r="59" spans="1:4" x14ac:dyDescent="0.25">
      <c r="A59" s="4" t="s">
        <v>32</v>
      </c>
      <c r="B59" s="24" t="s">
        <v>53</v>
      </c>
      <c r="C59" s="25">
        <v>2050</v>
      </c>
      <c r="D59" s="27">
        <f>CAPEX_Input!H66</f>
        <v>70</v>
      </c>
    </row>
    <row r="60" spans="1:4" x14ac:dyDescent="0.25">
      <c r="A60" s="4" t="s">
        <v>32</v>
      </c>
      <c r="B60" s="24" t="s">
        <v>54</v>
      </c>
      <c r="C60" s="25">
        <v>2050</v>
      </c>
      <c r="D60" s="27">
        <f>CAPEX_Input!H67</f>
        <v>100</v>
      </c>
    </row>
    <row r="61" spans="1:4" x14ac:dyDescent="0.25">
      <c r="A61" s="4" t="s">
        <v>32</v>
      </c>
      <c r="B61" s="24" t="s">
        <v>55</v>
      </c>
      <c r="C61" s="25">
        <v>2050</v>
      </c>
      <c r="D61" s="27">
        <f>CAPEX_Input!H68</f>
        <v>116</v>
      </c>
    </row>
    <row r="62" spans="1:4" x14ac:dyDescent="0.25">
      <c r="A62" s="4" t="s">
        <v>32</v>
      </c>
      <c r="B62" s="24" t="s">
        <v>56</v>
      </c>
      <c r="C62" s="25">
        <v>2050</v>
      </c>
      <c r="D62" s="27">
        <f>CAPEX_Input!H69</f>
        <v>99</v>
      </c>
    </row>
    <row r="63" spans="1:4" x14ac:dyDescent="0.25">
      <c r="A63" s="3" t="s">
        <v>34</v>
      </c>
      <c r="B63" s="24" t="s">
        <v>53</v>
      </c>
      <c r="C63" s="25">
        <v>2050</v>
      </c>
      <c r="D63" s="27">
        <f>CAPEX_Input!H70</f>
        <v>84</v>
      </c>
    </row>
    <row r="64" spans="1:4" x14ac:dyDescent="0.25">
      <c r="A64" s="3" t="s">
        <v>34</v>
      </c>
      <c r="B64" s="24" t="s">
        <v>54</v>
      </c>
      <c r="C64" s="25">
        <v>2050</v>
      </c>
      <c r="D64" s="27">
        <f>CAPEX_Input!H71</f>
        <v>78</v>
      </c>
    </row>
    <row r="65" spans="1:4" x14ac:dyDescent="0.25">
      <c r="A65" s="3" t="s">
        <v>34</v>
      </c>
      <c r="B65" s="24" t="s">
        <v>55</v>
      </c>
      <c r="C65" s="25">
        <v>2050</v>
      </c>
      <c r="D65" s="27">
        <f>CAPEX_Input!H72</f>
        <v>113</v>
      </c>
    </row>
    <row r="66" spans="1:4" x14ac:dyDescent="0.25">
      <c r="A66" s="3" t="s">
        <v>34</v>
      </c>
      <c r="B66" s="24" t="s">
        <v>56</v>
      </c>
      <c r="C66" s="25">
        <v>2050</v>
      </c>
      <c r="D66" s="27">
        <f>CAPEX_Input!H73</f>
        <v>104</v>
      </c>
    </row>
    <row r="67" spans="1:4" x14ac:dyDescent="0.25">
      <c r="A67" t="s">
        <v>36</v>
      </c>
      <c r="B67" s="24" t="s">
        <v>56</v>
      </c>
      <c r="C67" s="25">
        <v>2050</v>
      </c>
      <c r="D67" s="27">
        <f>CAPEX_Input!H74</f>
        <v>29</v>
      </c>
    </row>
    <row r="68" spans="1:4" x14ac:dyDescent="0.25">
      <c r="A68" s="4" t="s">
        <v>37</v>
      </c>
      <c r="B68" s="24" t="s">
        <v>56</v>
      </c>
      <c r="C68" s="25">
        <v>2050</v>
      </c>
      <c r="D68" s="27">
        <f>CAPEX_Input!H75</f>
        <v>49</v>
      </c>
    </row>
    <row r="69" spans="1:4" x14ac:dyDescent="0.25">
      <c r="A69" t="s">
        <v>35</v>
      </c>
      <c r="B69" s="24" t="s">
        <v>56</v>
      </c>
      <c r="C69" s="25">
        <v>2050</v>
      </c>
      <c r="D69" s="27">
        <f>CAPEX_Input!H76</f>
        <v>366.29999999999995</v>
      </c>
    </row>
    <row r="70" spans="1:4" x14ac:dyDescent="0.25">
      <c r="A70" t="s">
        <v>71</v>
      </c>
      <c r="B70" t="s">
        <v>64</v>
      </c>
      <c r="C70">
        <v>2020</v>
      </c>
      <c r="D70">
        <v>221</v>
      </c>
    </row>
    <row r="71" spans="1:4" x14ac:dyDescent="0.25">
      <c r="A71" t="s">
        <v>71</v>
      </c>
      <c r="B71" t="s">
        <v>64</v>
      </c>
      <c r="C71">
        <v>2030</v>
      </c>
      <c r="D71">
        <v>118</v>
      </c>
    </row>
    <row r="72" spans="1:4" x14ac:dyDescent="0.25">
      <c r="A72" t="s">
        <v>71</v>
      </c>
      <c r="B72" t="s">
        <v>64</v>
      </c>
      <c r="C72">
        <v>2040</v>
      </c>
      <c r="D72">
        <v>95</v>
      </c>
    </row>
    <row r="73" spans="1:4" x14ac:dyDescent="0.25">
      <c r="A73" t="s">
        <v>71</v>
      </c>
      <c r="B73" t="s">
        <v>64</v>
      </c>
      <c r="C73">
        <v>2050</v>
      </c>
      <c r="D73">
        <v>95</v>
      </c>
    </row>
    <row r="74" spans="1:4" x14ac:dyDescent="0.25">
      <c r="A74" t="s">
        <v>71</v>
      </c>
      <c r="B74" s="24" t="s">
        <v>53</v>
      </c>
      <c r="C74" s="25">
        <v>2020</v>
      </c>
      <c r="D74" s="27">
        <f>CAPEX_Input!E77</f>
        <v>495</v>
      </c>
    </row>
    <row r="75" spans="1:4" x14ac:dyDescent="0.25">
      <c r="A75" t="s">
        <v>71</v>
      </c>
      <c r="B75" s="24" t="s">
        <v>54</v>
      </c>
      <c r="C75" s="25">
        <v>2020</v>
      </c>
      <c r="D75" s="27">
        <f>CAPEX_Input!E78</f>
        <v>558</v>
      </c>
    </row>
    <row r="76" spans="1:4" x14ac:dyDescent="0.25">
      <c r="A76" t="s">
        <v>71</v>
      </c>
      <c r="B76" s="24" t="s">
        <v>55</v>
      </c>
      <c r="C76" s="25">
        <v>2020</v>
      </c>
      <c r="D76" s="27">
        <f>CAPEX_Input!E79</f>
        <v>568.80000000000007</v>
      </c>
    </row>
    <row r="77" spans="1:4" x14ac:dyDescent="0.25">
      <c r="A77" t="s">
        <v>71</v>
      </c>
      <c r="B77" s="24" t="s">
        <v>56</v>
      </c>
      <c r="C77" s="25">
        <v>2020</v>
      </c>
      <c r="D77" s="27">
        <f>CAPEX_Input!E80</f>
        <v>540</v>
      </c>
    </row>
    <row r="78" spans="1:4" x14ac:dyDescent="0.25">
      <c r="A78" t="s">
        <v>71</v>
      </c>
      <c r="B78" s="24" t="s">
        <v>53</v>
      </c>
      <c r="C78" s="25">
        <v>2030</v>
      </c>
      <c r="D78" s="27">
        <f>CAPEX_Input!F77</f>
        <v>253.8</v>
      </c>
    </row>
    <row r="79" spans="1:4" x14ac:dyDescent="0.25">
      <c r="A79" t="s">
        <v>71</v>
      </c>
      <c r="B79" s="24" t="s">
        <v>54</v>
      </c>
      <c r="C79" s="25">
        <v>2030</v>
      </c>
      <c r="D79" s="27">
        <f>CAPEX_Input!F78</f>
        <v>320.40000000000003</v>
      </c>
    </row>
    <row r="80" spans="1:4" x14ac:dyDescent="0.25">
      <c r="A80" t="s">
        <v>71</v>
      </c>
      <c r="B80" s="24" t="s">
        <v>55</v>
      </c>
      <c r="C80" s="25">
        <v>2030</v>
      </c>
      <c r="D80" s="27">
        <f>CAPEX_Input!F79</f>
        <v>347.40000000000003</v>
      </c>
    </row>
    <row r="81" spans="1:4" x14ac:dyDescent="0.25">
      <c r="A81" t="s">
        <v>71</v>
      </c>
      <c r="B81" s="24" t="s">
        <v>56</v>
      </c>
      <c r="C81" s="25">
        <v>2030</v>
      </c>
      <c r="D81" s="27">
        <f>CAPEX_Input!F80</f>
        <v>313.2</v>
      </c>
    </row>
    <row r="82" spans="1:4" x14ac:dyDescent="0.25">
      <c r="A82" t="s">
        <v>71</v>
      </c>
      <c r="B82" s="24" t="s">
        <v>53</v>
      </c>
      <c r="C82" s="25">
        <v>2040</v>
      </c>
      <c r="D82" s="27">
        <f>CAPEX_Input!G77</f>
        <v>169.20000000000002</v>
      </c>
    </row>
    <row r="83" spans="1:4" x14ac:dyDescent="0.25">
      <c r="A83" t="s">
        <v>71</v>
      </c>
      <c r="B83" s="24" t="s">
        <v>54</v>
      </c>
      <c r="C83" s="25">
        <v>2040</v>
      </c>
      <c r="D83" s="27">
        <f>CAPEX_Input!G78</f>
        <v>228.6</v>
      </c>
    </row>
    <row r="84" spans="1:4" x14ac:dyDescent="0.25">
      <c r="A84" t="s">
        <v>71</v>
      </c>
      <c r="B84" s="24" t="s">
        <v>55</v>
      </c>
      <c r="C84" s="25">
        <v>2040</v>
      </c>
      <c r="D84" s="27">
        <f>CAPEX_Input!G79</f>
        <v>257.40000000000003</v>
      </c>
    </row>
    <row r="85" spans="1:4" x14ac:dyDescent="0.25">
      <c r="A85" t="s">
        <v>71</v>
      </c>
      <c r="B85" s="24" t="s">
        <v>56</v>
      </c>
      <c r="C85" s="25">
        <v>2040</v>
      </c>
      <c r="D85" s="27">
        <f>CAPEX_Input!G80</f>
        <v>226.8</v>
      </c>
    </row>
    <row r="86" spans="1:4" x14ac:dyDescent="0.25">
      <c r="A86" t="s">
        <v>71</v>
      </c>
      <c r="B86" s="24" t="s">
        <v>53</v>
      </c>
      <c r="C86" s="25">
        <v>2050</v>
      </c>
      <c r="D86" s="27">
        <f>CAPEX_Input!H77</f>
        <v>126</v>
      </c>
    </row>
    <row r="87" spans="1:4" x14ac:dyDescent="0.25">
      <c r="A87" t="s">
        <v>71</v>
      </c>
      <c r="B87" s="24" t="s">
        <v>54</v>
      </c>
      <c r="C87" s="25">
        <v>2050</v>
      </c>
      <c r="D87" s="27">
        <f>CAPEX_Input!H78</f>
        <v>180</v>
      </c>
    </row>
    <row r="88" spans="1:4" x14ac:dyDescent="0.25">
      <c r="A88" t="s">
        <v>71</v>
      </c>
      <c r="B88" s="24" t="s">
        <v>55</v>
      </c>
      <c r="C88" s="25">
        <v>2050</v>
      </c>
      <c r="D88" s="27">
        <f>CAPEX_Input!H79</f>
        <v>208.8</v>
      </c>
    </row>
    <row r="89" spans="1:4" x14ac:dyDescent="0.25">
      <c r="A89" t="s">
        <v>71</v>
      </c>
      <c r="B89" s="24" t="s">
        <v>56</v>
      </c>
      <c r="C89" s="25">
        <v>2050</v>
      </c>
      <c r="D89" s="27">
        <f>CAPEX_Input!H80</f>
        <v>178.20000000000002</v>
      </c>
    </row>
  </sheetData>
  <autoFilter ref="A1:D89" xr:uid="{8A1D1E60-5769-4EED-8BF7-B0CEC34654AE}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86C57B-5496-4DBD-BA4F-246EC7884B1B}">
  <sheetPr codeName="Hoja6"/>
  <dimension ref="A1:B17"/>
  <sheetViews>
    <sheetView workbookViewId="0">
      <selection activeCell="G29" sqref="G29"/>
    </sheetView>
  </sheetViews>
  <sheetFormatPr baseColWidth="10" defaultRowHeight="15" x14ac:dyDescent="0.25"/>
  <sheetData>
    <row r="1" spans="1:2" x14ac:dyDescent="0.25">
      <c r="A1" t="s">
        <v>1</v>
      </c>
      <c r="B1" t="s">
        <v>28</v>
      </c>
    </row>
    <row r="2" spans="1:2" x14ac:dyDescent="0.25">
      <c r="A2" t="s">
        <v>7</v>
      </c>
      <c r="B2">
        <f>CAPEX_Input!D33</f>
        <v>12475</v>
      </c>
    </row>
    <row r="3" spans="1:2" x14ac:dyDescent="0.25">
      <c r="A3" t="s">
        <v>10</v>
      </c>
      <c r="B3">
        <f>CAPEX_Input!D34</f>
        <v>12475</v>
      </c>
    </row>
    <row r="4" spans="1:2" x14ac:dyDescent="0.25">
      <c r="A4" t="s">
        <v>11</v>
      </c>
      <c r="B4">
        <f>CAPEX_Input!D35</f>
        <v>18143</v>
      </c>
    </row>
    <row r="5" spans="1:2" x14ac:dyDescent="0.25">
      <c r="A5" t="s">
        <v>12</v>
      </c>
      <c r="B5">
        <f>CAPEX_Input!D36</f>
        <v>19539</v>
      </c>
    </row>
    <row r="6" spans="1:2" x14ac:dyDescent="0.25">
      <c r="A6" t="s">
        <v>13</v>
      </c>
      <c r="B6">
        <f>CAPEX_Input!D37</f>
        <v>19539</v>
      </c>
    </row>
    <row r="7" spans="1:2" x14ac:dyDescent="0.25">
      <c r="A7" t="s">
        <v>14</v>
      </c>
      <c r="B7">
        <f>CAPEX_Input!D38</f>
        <v>20934</v>
      </c>
    </row>
    <row r="8" spans="1:2" x14ac:dyDescent="0.25">
      <c r="A8" t="s">
        <v>15</v>
      </c>
      <c r="B8">
        <f>CAPEX_Input!D39</f>
        <v>27606</v>
      </c>
    </row>
    <row r="9" spans="1:2" x14ac:dyDescent="0.25">
      <c r="A9" t="s">
        <v>16</v>
      </c>
      <c r="B9">
        <f>CAPEX_Input!D40</f>
        <v>22330</v>
      </c>
    </row>
    <row r="10" spans="1:2" x14ac:dyDescent="0.25">
      <c r="A10" t="s">
        <v>17</v>
      </c>
      <c r="B10">
        <f>CAPEX_Input!D41</f>
        <v>28750</v>
      </c>
    </row>
    <row r="11" spans="1:2" x14ac:dyDescent="0.25">
      <c r="A11" t="s">
        <v>18</v>
      </c>
      <c r="B11">
        <f>CAPEX_Input!D42</f>
        <v>22609</v>
      </c>
    </row>
    <row r="12" spans="1:2" x14ac:dyDescent="0.25">
      <c r="A12" t="s">
        <v>19</v>
      </c>
      <c r="B12">
        <f>CAPEX_Input!D43</f>
        <v>29308</v>
      </c>
    </row>
    <row r="13" spans="1:2" x14ac:dyDescent="0.25">
      <c r="A13" t="s">
        <v>20</v>
      </c>
      <c r="B13">
        <f>CAPEX_Input!D44</f>
        <v>24005</v>
      </c>
    </row>
    <row r="14" spans="1:2" x14ac:dyDescent="0.25">
      <c r="A14" t="s">
        <v>21</v>
      </c>
      <c r="B14">
        <f>CAPEX_Input!D45</f>
        <v>30425</v>
      </c>
    </row>
    <row r="15" spans="1:2" x14ac:dyDescent="0.25">
      <c r="A15" t="s">
        <v>22</v>
      </c>
      <c r="B15">
        <f>CAPEX_Input!D46</f>
        <v>37682</v>
      </c>
    </row>
    <row r="16" spans="1:2" x14ac:dyDescent="0.25">
      <c r="A16" t="s">
        <v>23</v>
      </c>
      <c r="B16">
        <f>CAPEX_Input!D47</f>
        <v>39078</v>
      </c>
    </row>
    <row r="17" spans="1:2" x14ac:dyDescent="0.25">
      <c r="A17" t="s">
        <v>24</v>
      </c>
      <c r="B17">
        <f>CAPEX_Input!D48</f>
        <v>43265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6CE1A8-5361-40A0-ACE0-B910DA20CBCF}">
  <sheetPr codeName="Hoja8"/>
  <dimension ref="A3:AN492"/>
  <sheetViews>
    <sheetView zoomScale="54" zoomScaleNormal="70" workbookViewId="0">
      <selection activeCell="B61" sqref="B61:D66"/>
    </sheetView>
  </sheetViews>
  <sheetFormatPr baseColWidth="10" defaultColWidth="10.85546875" defaultRowHeight="15" x14ac:dyDescent="0.25"/>
  <cols>
    <col min="1" max="1" width="10.85546875" style="34"/>
    <col min="2" max="2" width="22.42578125" style="34" bestFit="1" customWidth="1"/>
    <col min="3" max="3" width="19.140625" style="34" bestFit="1" customWidth="1"/>
    <col min="4" max="4" width="24.140625" style="34" bestFit="1" customWidth="1"/>
    <col min="5" max="5" width="27.28515625" style="34" bestFit="1" customWidth="1"/>
    <col min="6" max="8" width="10.85546875" style="34"/>
    <col min="9" max="32" width="12" style="34" bestFit="1" customWidth="1"/>
    <col min="33" max="16384" width="10.85546875" style="34"/>
  </cols>
  <sheetData>
    <row r="3" spans="2:40" customFormat="1" x14ac:dyDescent="0.25">
      <c r="G3" s="33">
        <v>2024</v>
      </c>
      <c r="H3">
        <v>2025</v>
      </c>
      <c r="I3">
        <v>2026</v>
      </c>
      <c r="J3">
        <v>2027</v>
      </c>
      <c r="K3">
        <v>2028</v>
      </c>
      <c r="L3">
        <v>2029</v>
      </c>
      <c r="M3" s="33">
        <v>2030</v>
      </c>
      <c r="N3">
        <v>2031</v>
      </c>
      <c r="O3">
        <v>2032</v>
      </c>
      <c r="P3">
        <v>2033</v>
      </c>
      <c r="Q3">
        <v>2034</v>
      </c>
      <c r="R3">
        <v>2035</v>
      </c>
      <c r="S3">
        <v>2036</v>
      </c>
      <c r="T3">
        <v>2037</v>
      </c>
      <c r="U3">
        <v>2038</v>
      </c>
      <c r="V3">
        <v>2039</v>
      </c>
      <c r="W3" s="33">
        <v>2040</v>
      </c>
      <c r="X3">
        <v>2041</v>
      </c>
      <c r="Y3">
        <v>2042</v>
      </c>
      <c r="Z3">
        <v>2043</v>
      </c>
      <c r="AA3">
        <v>2044</v>
      </c>
      <c r="AB3">
        <v>2045</v>
      </c>
      <c r="AC3">
        <v>2046</v>
      </c>
      <c r="AD3">
        <v>2047</v>
      </c>
      <c r="AE3">
        <v>2048</v>
      </c>
      <c r="AF3">
        <v>2049</v>
      </c>
      <c r="AG3" s="33">
        <v>2050</v>
      </c>
      <c r="AJ3" s="34"/>
      <c r="AK3" s="34" t="s">
        <v>82</v>
      </c>
      <c r="AL3" s="34" t="s">
        <v>3</v>
      </c>
      <c r="AM3" s="34" t="s">
        <v>2</v>
      </c>
      <c r="AN3" s="34" t="s">
        <v>5</v>
      </c>
    </row>
    <row r="4" spans="2:40" customFormat="1" x14ac:dyDescent="0.25">
      <c r="B4" t="s">
        <v>78</v>
      </c>
      <c r="D4" t="s">
        <v>72</v>
      </c>
      <c r="E4" t="s">
        <v>74</v>
      </c>
      <c r="F4" t="str">
        <f t="shared" ref="F4:F18" si="0">D4&amp;E4</f>
        <v>OilHigh</v>
      </c>
      <c r="G4" s="33">
        <v>82</v>
      </c>
      <c r="H4">
        <f>-((($M4-$G4)/($M$3-$G$3))*($M$3-H$3))+$M4</f>
        <v>81.5</v>
      </c>
      <c r="I4">
        <f t="shared" ref="I4:L18" si="1">-((($M4-$G4)/($M$3-$G$3))*($M$3-I$3))+$M4</f>
        <v>81</v>
      </c>
      <c r="J4">
        <f t="shared" si="1"/>
        <v>80.5</v>
      </c>
      <c r="K4">
        <f t="shared" si="1"/>
        <v>80</v>
      </c>
      <c r="L4">
        <f t="shared" si="1"/>
        <v>79.5</v>
      </c>
      <c r="M4" s="33">
        <v>79</v>
      </c>
      <c r="N4">
        <f>-((($W4-$M4)/($W$3-$M$3))*($W$3-M$3))+$W4</f>
        <v>79</v>
      </c>
      <c r="O4">
        <f t="shared" ref="O4:V4" si="2">-((($W4-$M4)/($W$3-$M$3))*($W$3-N$3))+$W4</f>
        <v>78.8</v>
      </c>
      <c r="P4">
        <f t="shared" si="2"/>
        <v>78.599999999999994</v>
      </c>
      <c r="Q4">
        <f t="shared" si="2"/>
        <v>78.400000000000006</v>
      </c>
      <c r="R4">
        <f t="shared" si="2"/>
        <v>78.2</v>
      </c>
      <c r="S4">
        <f t="shared" si="2"/>
        <v>78</v>
      </c>
      <c r="T4">
        <f t="shared" si="2"/>
        <v>77.8</v>
      </c>
      <c r="U4">
        <f t="shared" si="2"/>
        <v>77.599999999999994</v>
      </c>
      <c r="V4">
        <f t="shared" si="2"/>
        <v>77.400000000000006</v>
      </c>
      <c r="W4" s="33">
        <v>77</v>
      </c>
      <c r="X4">
        <f>-((($AG4-$W4)/($AG$3-$W$3))*($AG$3-W$3))+$AG4</f>
        <v>77</v>
      </c>
      <c r="Y4">
        <f t="shared" ref="Y4:AF4" si="3">-((($AG4-$W4)/($AG$3-$W$3))*($AG$3-X$3))+$AG4</f>
        <v>76.8</v>
      </c>
      <c r="Z4">
        <f t="shared" si="3"/>
        <v>76.599999999999994</v>
      </c>
      <c r="AA4">
        <f t="shared" si="3"/>
        <v>76.400000000000006</v>
      </c>
      <c r="AB4">
        <f t="shared" si="3"/>
        <v>76.2</v>
      </c>
      <c r="AC4">
        <f t="shared" si="3"/>
        <v>76</v>
      </c>
      <c r="AD4">
        <f t="shared" si="3"/>
        <v>75.8</v>
      </c>
      <c r="AE4">
        <f t="shared" si="3"/>
        <v>75.599999999999994</v>
      </c>
      <c r="AF4">
        <f t="shared" si="3"/>
        <v>75.400000000000006</v>
      </c>
      <c r="AG4" s="33">
        <v>75</v>
      </c>
      <c r="AJ4" s="34" t="str">
        <f>AK4&amp;AL4</f>
        <v>OilHigh</v>
      </c>
      <c r="AK4" s="34" t="s">
        <v>72</v>
      </c>
      <c r="AL4" s="34" t="s">
        <v>74</v>
      </c>
      <c r="AM4" s="34">
        <v>2024</v>
      </c>
      <c r="AN4" s="34">
        <f t="shared" ref="AN4:AN21" si="4">INDEX($G$28:$AG$42,MATCH(AJ4,$F$28:$F$42,0),MATCH(AM4,$G$27:$AG$27,0))</f>
        <v>5.0362363346026284E-2</v>
      </c>
    </row>
    <row r="5" spans="2:40" customFormat="1" x14ac:dyDescent="0.25">
      <c r="B5" t="s">
        <v>78</v>
      </c>
      <c r="D5" t="s">
        <v>72</v>
      </c>
      <c r="E5" t="s">
        <v>8</v>
      </c>
      <c r="F5" t="str">
        <f t="shared" si="0"/>
        <v>OilAverage</v>
      </c>
      <c r="G5" s="33">
        <v>82</v>
      </c>
      <c r="H5">
        <f t="shared" ref="H5:H18" si="5">-((($M5-$G5)/($M$3-$G$3))*($M$3-H$3))+$M5</f>
        <v>80.333333333333329</v>
      </c>
      <c r="I5">
        <f t="shared" si="1"/>
        <v>78.666666666666671</v>
      </c>
      <c r="J5">
        <f t="shared" si="1"/>
        <v>77</v>
      </c>
      <c r="K5">
        <f t="shared" si="1"/>
        <v>75.333333333333329</v>
      </c>
      <c r="L5">
        <f t="shared" si="1"/>
        <v>73.666666666666671</v>
      </c>
      <c r="M5" s="33">
        <v>72</v>
      </c>
      <c r="N5">
        <f t="shared" ref="N5:V5" si="6">-((($W5-$M5)/($W$3-$M$3))*($W$3-M$3))+$W5</f>
        <v>72</v>
      </c>
      <c r="O5">
        <f t="shared" si="6"/>
        <v>71.099999999999994</v>
      </c>
      <c r="P5">
        <f t="shared" si="6"/>
        <v>70.2</v>
      </c>
      <c r="Q5">
        <f t="shared" si="6"/>
        <v>69.3</v>
      </c>
      <c r="R5">
        <f t="shared" si="6"/>
        <v>68.400000000000006</v>
      </c>
      <c r="S5">
        <f t="shared" si="6"/>
        <v>67.5</v>
      </c>
      <c r="T5">
        <f t="shared" si="6"/>
        <v>66.599999999999994</v>
      </c>
      <c r="U5">
        <f t="shared" si="6"/>
        <v>65.7</v>
      </c>
      <c r="V5">
        <f t="shared" si="6"/>
        <v>64.8</v>
      </c>
      <c r="W5" s="33">
        <v>63</v>
      </c>
      <c r="X5">
        <f t="shared" ref="X5:AF5" si="7">-((($AG5-$W5)/($AG$3-$W$3))*($AG$3-W$3))+$AG5</f>
        <v>63</v>
      </c>
      <c r="Y5">
        <f t="shared" si="7"/>
        <v>62.5</v>
      </c>
      <c r="Z5">
        <f t="shared" si="7"/>
        <v>62</v>
      </c>
      <c r="AA5">
        <f t="shared" si="7"/>
        <v>61.5</v>
      </c>
      <c r="AB5">
        <f t="shared" si="7"/>
        <v>61</v>
      </c>
      <c r="AC5">
        <f t="shared" si="7"/>
        <v>60.5</v>
      </c>
      <c r="AD5">
        <f t="shared" si="7"/>
        <v>60</v>
      </c>
      <c r="AE5">
        <f t="shared" si="7"/>
        <v>59.5</v>
      </c>
      <c r="AF5">
        <f t="shared" si="7"/>
        <v>59</v>
      </c>
      <c r="AG5" s="33">
        <v>58</v>
      </c>
      <c r="AJ5" s="34" t="str">
        <f t="shared" ref="AJ5:AJ18" si="8">AK5&amp;AL5</f>
        <v>OilHigh</v>
      </c>
      <c r="AK5" s="34" t="s">
        <v>72</v>
      </c>
      <c r="AL5" s="34" t="s">
        <v>74</v>
      </c>
      <c r="AM5" s="34">
        <v>2025</v>
      </c>
      <c r="AN5" s="34">
        <f t="shared" si="4"/>
        <v>5.0055275764648077E-2</v>
      </c>
    </row>
    <row r="6" spans="2:40" customFormat="1" x14ac:dyDescent="0.25">
      <c r="B6" t="s">
        <v>78</v>
      </c>
      <c r="D6" t="s">
        <v>72</v>
      </c>
      <c r="E6" t="s">
        <v>75</v>
      </c>
      <c r="F6" t="str">
        <f t="shared" si="0"/>
        <v>OilLow</v>
      </c>
      <c r="G6" s="33">
        <v>82</v>
      </c>
      <c r="H6">
        <f t="shared" si="5"/>
        <v>75.333333333333343</v>
      </c>
      <c r="I6">
        <f t="shared" si="1"/>
        <v>68.666666666666671</v>
      </c>
      <c r="J6">
        <f t="shared" si="1"/>
        <v>62</v>
      </c>
      <c r="K6">
        <f t="shared" si="1"/>
        <v>55.333333333333336</v>
      </c>
      <c r="L6">
        <f t="shared" si="1"/>
        <v>48.666666666666664</v>
      </c>
      <c r="M6" s="33">
        <v>42</v>
      </c>
      <c r="N6">
        <f t="shared" ref="N6:V6" si="9">-((($W6-$M6)/($W$3-$M$3))*($W$3-M$3))+$W6</f>
        <v>42</v>
      </c>
      <c r="O6">
        <f t="shared" si="9"/>
        <v>40.799999999999997</v>
      </c>
      <c r="P6">
        <f t="shared" si="9"/>
        <v>39.6</v>
      </c>
      <c r="Q6">
        <f t="shared" si="9"/>
        <v>38.4</v>
      </c>
      <c r="R6">
        <f t="shared" si="9"/>
        <v>37.200000000000003</v>
      </c>
      <c r="S6">
        <f t="shared" si="9"/>
        <v>36</v>
      </c>
      <c r="T6">
        <f t="shared" si="9"/>
        <v>34.799999999999997</v>
      </c>
      <c r="U6">
        <f t="shared" si="9"/>
        <v>33.6</v>
      </c>
      <c r="V6">
        <f t="shared" si="9"/>
        <v>32.4</v>
      </c>
      <c r="W6" s="33">
        <v>30</v>
      </c>
      <c r="X6">
        <f t="shared" ref="X6:AF6" si="10">-((($AG6-$W6)/($AG$3-$W$3))*($AG$3-W$3))+$AG6</f>
        <v>30</v>
      </c>
      <c r="Y6">
        <f t="shared" si="10"/>
        <v>29.5</v>
      </c>
      <c r="Z6">
        <f t="shared" si="10"/>
        <v>29</v>
      </c>
      <c r="AA6">
        <f t="shared" si="10"/>
        <v>28.5</v>
      </c>
      <c r="AB6">
        <f t="shared" si="10"/>
        <v>28</v>
      </c>
      <c r="AC6">
        <f t="shared" si="10"/>
        <v>27.5</v>
      </c>
      <c r="AD6">
        <f t="shared" si="10"/>
        <v>27</v>
      </c>
      <c r="AE6">
        <f t="shared" si="10"/>
        <v>26.5</v>
      </c>
      <c r="AF6">
        <f t="shared" si="10"/>
        <v>26</v>
      </c>
      <c r="AG6" s="33">
        <v>25</v>
      </c>
      <c r="AJ6" s="34" t="str">
        <f t="shared" si="8"/>
        <v>OilHigh</v>
      </c>
      <c r="AK6" s="34" t="s">
        <v>72</v>
      </c>
      <c r="AL6" s="34" t="s">
        <v>74</v>
      </c>
      <c r="AM6" s="34">
        <v>2026</v>
      </c>
      <c r="AN6" s="34">
        <f t="shared" si="4"/>
        <v>4.974818818326987E-2</v>
      </c>
    </row>
    <row r="7" spans="2:40" customFormat="1" x14ac:dyDescent="0.25">
      <c r="B7" t="s">
        <v>79</v>
      </c>
      <c r="D7" t="s">
        <v>73</v>
      </c>
      <c r="E7" t="s">
        <v>74</v>
      </c>
      <c r="F7" t="str">
        <f t="shared" si="0"/>
        <v>GasHigh</v>
      </c>
      <c r="G7" s="33">
        <v>12.1</v>
      </c>
      <c r="H7">
        <f t="shared" si="5"/>
        <v>11.166666666666666</v>
      </c>
      <c r="I7">
        <f t="shared" si="1"/>
        <v>10.233333333333333</v>
      </c>
      <c r="J7">
        <f t="shared" si="1"/>
        <v>9.3000000000000007</v>
      </c>
      <c r="K7">
        <f t="shared" si="1"/>
        <v>8.3666666666666671</v>
      </c>
      <c r="L7">
        <f t="shared" si="1"/>
        <v>7.4333333333333336</v>
      </c>
      <c r="M7" s="33">
        <v>6.5</v>
      </c>
      <c r="N7">
        <f t="shared" ref="N7:V7" si="11">-((($W7-$M7)/($W$3-$M$3))*($W$3-M$3))+$W7</f>
        <v>6.5</v>
      </c>
      <c r="O7">
        <f t="shared" si="11"/>
        <v>6.61</v>
      </c>
      <c r="P7">
        <f t="shared" si="11"/>
        <v>6.72</v>
      </c>
      <c r="Q7">
        <f t="shared" si="11"/>
        <v>6.83</v>
      </c>
      <c r="R7">
        <f t="shared" si="11"/>
        <v>6.9399999999999995</v>
      </c>
      <c r="S7">
        <f t="shared" si="11"/>
        <v>7.05</v>
      </c>
      <c r="T7">
        <f t="shared" si="11"/>
        <v>7.16</v>
      </c>
      <c r="U7">
        <f t="shared" si="11"/>
        <v>7.27</v>
      </c>
      <c r="V7">
        <f t="shared" si="11"/>
        <v>7.38</v>
      </c>
      <c r="W7" s="33">
        <v>7.6</v>
      </c>
      <c r="X7">
        <f t="shared" ref="X7:AF7" si="12">-((($AG7-$W7)/($AG$3-$W$3))*($AG$3-W$3))+$AG7</f>
        <v>7.6</v>
      </c>
      <c r="Y7">
        <f t="shared" si="12"/>
        <v>7.6099999999999994</v>
      </c>
      <c r="Z7">
        <f t="shared" si="12"/>
        <v>7.62</v>
      </c>
      <c r="AA7">
        <f t="shared" si="12"/>
        <v>7.63</v>
      </c>
      <c r="AB7">
        <f t="shared" si="12"/>
        <v>7.64</v>
      </c>
      <c r="AC7">
        <f t="shared" si="12"/>
        <v>7.65</v>
      </c>
      <c r="AD7">
        <f t="shared" si="12"/>
        <v>7.66</v>
      </c>
      <c r="AE7">
        <f t="shared" si="12"/>
        <v>7.67</v>
      </c>
      <c r="AF7">
        <f t="shared" si="12"/>
        <v>7.68</v>
      </c>
      <c r="AG7" s="33">
        <v>7.7</v>
      </c>
      <c r="AJ7" s="34" t="str">
        <f t="shared" si="8"/>
        <v>OilHigh</v>
      </c>
      <c r="AK7" s="34" t="s">
        <v>72</v>
      </c>
      <c r="AL7" s="34" t="s">
        <v>74</v>
      </c>
      <c r="AM7" s="34">
        <v>2027</v>
      </c>
      <c r="AN7" s="34">
        <f t="shared" si="4"/>
        <v>4.9441100601891656E-2</v>
      </c>
    </row>
    <row r="8" spans="2:40" customFormat="1" x14ac:dyDescent="0.25">
      <c r="B8" t="s">
        <v>79</v>
      </c>
      <c r="D8" t="s">
        <v>73</v>
      </c>
      <c r="E8" t="s">
        <v>8</v>
      </c>
      <c r="F8" t="str">
        <f t="shared" si="0"/>
        <v>GasAverage</v>
      </c>
      <c r="G8" s="33">
        <v>12.1</v>
      </c>
      <c r="H8">
        <f t="shared" si="5"/>
        <v>11.083333333333332</v>
      </c>
      <c r="I8">
        <f t="shared" si="1"/>
        <v>10.066666666666666</v>
      </c>
      <c r="J8">
        <f t="shared" si="1"/>
        <v>9.0500000000000007</v>
      </c>
      <c r="K8">
        <f t="shared" si="1"/>
        <v>8.0333333333333332</v>
      </c>
      <c r="L8">
        <f t="shared" si="1"/>
        <v>7.0166666666666666</v>
      </c>
      <c r="M8" s="33">
        <v>6</v>
      </c>
      <c r="N8">
        <f t="shared" ref="N8:V8" si="13">-((($W8-$M8)/($W$3-$M$3))*($W$3-M$3))+$W8</f>
        <v>6</v>
      </c>
      <c r="O8">
        <f t="shared" si="13"/>
        <v>5.92</v>
      </c>
      <c r="P8">
        <f t="shared" si="13"/>
        <v>5.84</v>
      </c>
      <c r="Q8">
        <f t="shared" si="13"/>
        <v>5.76</v>
      </c>
      <c r="R8">
        <f t="shared" si="13"/>
        <v>5.68</v>
      </c>
      <c r="S8">
        <f t="shared" si="13"/>
        <v>5.6</v>
      </c>
      <c r="T8">
        <f t="shared" si="13"/>
        <v>5.5200000000000005</v>
      </c>
      <c r="U8">
        <f t="shared" si="13"/>
        <v>5.44</v>
      </c>
      <c r="V8">
        <f t="shared" si="13"/>
        <v>5.36</v>
      </c>
      <c r="W8" s="33">
        <v>5.2</v>
      </c>
      <c r="X8">
        <f t="shared" ref="X8:AF8" si="14">-((($AG8-$W8)/($AG$3-$W$3))*($AG$3-W$3))+$AG8</f>
        <v>5.2</v>
      </c>
      <c r="Y8">
        <f t="shared" si="14"/>
        <v>5.2</v>
      </c>
      <c r="Z8">
        <f t="shared" si="14"/>
        <v>5.2</v>
      </c>
      <c r="AA8">
        <f t="shared" si="14"/>
        <v>5.2</v>
      </c>
      <c r="AB8">
        <f t="shared" si="14"/>
        <v>5.2</v>
      </c>
      <c r="AC8">
        <f t="shared" si="14"/>
        <v>5.2</v>
      </c>
      <c r="AD8">
        <f t="shared" si="14"/>
        <v>5.2</v>
      </c>
      <c r="AE8">
        <f t="shared" si="14"/>
        <v>5.2</v>
      </c>
      <c r="AF8">
        <f t="shared" si="14"/>
        <v>5.2</v>
      </c>
      <c r="AG8" s="33">
        <v>5.2</v>
      </c>
      <c r="AJ8" s="34" t="str">
        <f t="shared" si="8"/>
        <v>OilHigh</v>
      </c>
      <c r="AK8" s="34" t="s">
        <v>72</v>
      </c>
      <c r="AL8" s="34" t="s">
        <v>74</v>
      </c>
      <c r="AM8" s="34">
        <v>2028</v>
      </c>
      <c r="AN8" s="34">
        <f t="shared" si="4"/>
        <v>4.9134013020513449E-2</v>
      </c>
    </row>
    <row r="9" spans="2:40" customFormat="1" x14ac:dyDescent="0.25">
      <c r="B9" t="s">
        <v>79</v>
      </c>
      <c r="D9" t="s">
        <v>73</v>
      </c>
      <c r="E9" t="s">
        <v>75</v>
      </c>
      <c r="F9" t="str">
        <f t="shared" si="0"/>
        <v>GasLow</v>
      </c>
      <c r="G9" s="33">
        <v>12.1</v>
      </c>
      <c r="H9">
        <f t="shared" si="5"/>
        <v>10.816666666666666</v>
      </c>
      <c r="I9">
        <f t="shared" si="1"/>
        <v>9.5333333333333332</v>
      </c>
      <c r="J9">
        <f t="shared" si="1"/>
        <v>8.25</v>
      </c>
      <c r="K9">
        <f t="shared" si="1"/>
        <v>6.9666666666666668</v>
      </c>
      <c r="L9">
        <f t="shared" si="1"/>
        <v>5.6833333333333336</v>
      </c>
      <c r="M9" s="33">
        <v>4.4000000000000004</v>
      </c>
      <c r="N9">
        <f t="shared" ref="N9:V9" si="15">-((($W9-$M9)/($W$3-$M$3))*($W$3-M$3))+$W9</f>
        <v>4.4000000000000004</v>
      </c>
      <c r="O9">
        <f t="shared" si="15"/>
        <v>4.37</v>
      </c>
      <c r="P9">
        <f t="shared" si="15"/>
        <v>4.34</v>
      </c>
      <c r="Q9">
        <f t="shared" si="15"/>
        <v>4.3100000000000005</v>
      </c>
      <c r="R9">
        <f t="shared" si="15"/>
        <v>4.28</v>
      </c>
      <c r="S9">
        <f t="shared" si="15"/>
        <v>4.25</v>
      </c>
      <c r="T9">
        <f t="shared" si="15"/>
        <v>4.22</v>
      </c>
      <c r="U9">
        <f t="shared" si="15"/>
        <v>4.1899999999999995</v>
      </c>
      <c r="V9">
        <f t="shared" si="15"/>
        <v>4.16</v>
      </c>
      <c r="W9" s="33">
        <v>4.0999999999999996</v>
      </c>
      <c r="X9">
        <f t="shared" ref="X9:AF9" si="16">-((($AG9-$W9)/($AG$3-$W$3))*($AG$3-W$3))+$AG9</f>
        <v>4.0999999999999996</v>
      </c>
      <c r="Y9">
        <f t="shared" si="16"/>
        <v>4.09</v>
      </c>
      <c r="Z9">
        <f t="shared" si="16"/>
        <v>4.08</v>
      </c>
      <c r="AA9">
        <f t="shared" si="16"/>
        <v>4.0699999999999994</v>
      </c>
      <c r="AB9">
        <f t="shared" si="16"/>
        <v>4.0599999999999996</v>
      </c>
      <c r="AC9">
        <f t="shared" si="16"/>
        <v>4.05</v>
      </c>
      <c r="AD9">
        <f t="shared" si="16"/>
        <v>4.04</v>
      </c>
      <c r="AE9">
        <f t="shared" si="16"/>
        <v>4.03</v>
      </c>
      <c r="AF9">
        <f t="shared" si="16"/>
        <v>4.0199999999999996</v>
      </c>
      <c r="AG9" s="33">
        <v>4</v>
      </c>
      <c r="AJ9" s="34" t="str">
        <f t="shared" si="8"/>
        <v>OilHigh</v>
      </c>
      <c r="AK9" s="34" t="s">
        <v>72</v>
      </c>
      <c r="AL9" s="34" t="s">
        <v>74</v>
      </c>
      <c r="AM9" s="34">
        <v>2029</v>
      </c>
      <c r="AN9" s="34">
        <f t="shared" si="4"/>
        <v>4.8826925439135242E-2</v>
      </c>
    </row>
    <row r="10" spans="2:40" customFormat="1" x14ac:dyDescent="0.25">
      <c r="B10" t="s">
        <v>80</v>
      </c>
      <c r="D10" t="s">
        <v>76</v>
      </c>
      <c r="E10" t="s">
        <v>74</v>
      </c>
      <c r="F10" t="str">
        <f t="shared" si="0"/>
        <v>ElectricityHigh</v>
      </c>
      <c r="G10" s="40">
        <v>184</v>
      </c>
      <c r="H10" s="39">
        <v>200</v>
      </c>
      <c r="I10" s="39">
        <v>184</v>
      </c>
      <c r="J10" s="39">
        <v>168</v>
      </c>
      <c r="K10" s="39">
        <v>152</v>
      </c>
      <c r="L10" s="39">
        <v>136</v>
      </c>
      <c r="M10" s="40">
        <v>70</v>
      </c>
      <c r="N10" s="40">
        <v>70</v>
      </c>
      <c r="O10" s="40">
        <v>70</v>
      </c>
      <c r="P10" s="40">
        <v>70</v>
      </c>
      <c r="Q10" s="40">
        <v>70</v>
      </c>
      <c r="R10" s="40">
        <v>70</v>
      </c>
      <c r="S10" s="40">
        <v>70</v>
      </c>
      <c r="T10" s="40">
        <v>70</v>
      </c>
      <c r="U10" s="40">
        <v>70</v>
      </c>
      <c r="V10" s="40">
        <v>70</v>
      </c>
      <c r="W10" s="40">
        <v>70</v>
      </c>
      <c r="X10" s="40">
        <v>70</v>
      </c>
      <c r="Y10" s="40">
        <v>70</v>
      </c>
      <c r="Z10" s="40">
        <v>70</v>
      </c>
      <c r="AA10" s="40">
        <v>70</v>
      </c>
      <c r="AB10" s="40">
        <v>70</v>
      </c>
      <c r="AC10" s="40">
        <v>70</v>
      </c>
      <c r="AD10" s="40">
        <v>70</v>
      </c>
      <c r="AE10" s="40">
        <v>70</v>
      </c>
      <c r="AF10" s="40">
        <v>70</v>
      </c>
      <c r="AG10" s="40">
        <v>70</v>
      </c>
      <c r="AJ10" s="34" t="str">
        <f t="shared" si="8"/>
        <v>OilHigh</v>
      </c>
      <c r="AK10" s="34" t="s">
        <v>72</v>
      </c>
      <c r="AL10" s="34" t="s">
        <v>74</v>
      </c>
      <c r="AM10" s="34">
        <v>2030</v>
      </c>
      <c r="AN10" s="34">
        <f t="shared" si="4"/>
        <v>4.8519837857757028E-2</v>
      </c>
    </row>
    <row r="11" spans="2:40" customFormat="1" x14ac:dyDescent="0.25">
      <c r="B11" t="s">
        <v>80</v>
      </c>
      <c r="D11" t="s">
        <v>76</v>
      </c>
      <c r="E11" t="s">
        <v>8</v>
      </c>
      <c r="F11" t="str">
        <f t="shared" si="0"/>
        <v>ElectricityAverage</v>
      </c>
      <c r="G11" s="40">
        <v>127</v>
      </c>
      <c r="H11" s="39">
        <v>140</v>
      </c>
      <c r="I11" s="39">
        <v>127</v>
      </c>
      <c r="J11" s="39">
        <v>114</v>
      </c>
      <c r="K11" s="39">
        <v>101</v>
      </c>
      <c r="L11" s="39">
        <v>88</v>
      </c>
      <c r="M11" s="40">
        <v>50</v>
      </c>
      <c r="N11" s="40">
        <v>50</v>
      </c>
      <c r="O11" s="40">
        <v>50</v>
      </c>
      <c r="P11" s="40">
        <v>50</v>
      </c>
      <c r="Q11" s="40">
        <v>50</v>
      </c>
      <c r="R11" s="40">
        <v>50</v>
      </c>
      <c r="S11" s="40">
        <v>50</v>
      </c>
      <c r="T11" s="40">
        <v>50</v>
      </c>
      <c r="U11" s="40">
        <v>50</v>
      </c>
      <c r="V11" s="40">
        <v>50</v>
      </c>
      <c r="W11" s="40">
        <v>50</v>
      </c>
      <c r="X11" s="40">
        <v>50</v>
      </c>
      <c r="Y11" s="40">
        <v>50</v>
      </c>
      <c r="Z11" s="40">
        <v>50</v>
      </c>
      <c r="AA11" s="40">
        <v>50</v>
      </c>
      <c r="AB11" s="40">
        <v>50</v>
      </c>
      <c r="AC11" s="40">
        <v>50</v>
      </c>
      <c r="AD11" s="40">
        <v>50</v>
      </c>
      <c r="AE11" s="40">
        <v>50</v>
      </c>
      <c r="AF11" s="40">
        <v>50</v>
      </c>
      <c r="AG11" s="40">
        <v>50</v>
      </c>
      <c r="AJ11" s="34" t="str">
        <f t="shared" si="8"/>
        <v>OilHigh</v>
      </c>
      <c r="AK11" s="34" t="s">
        <v>72</v>
      </c>
      <c r="AL11" s="34" t="s">
        <v>74</v>
      </c>
      <c r="AM11" s="34">
        <v>2031</v>
      </c>
      <c r="AN11" s="34">
        <f t="shared" si="4"/>
        <v>4.8519837857757028E-2</v>
      </c>
    </row>
    <row r="12" spans="2:40" customFormat="1" x14ac:dyDescent="0.25">
      <c r="B12" t="s">
        <v>80</v>
      </c>
      <c r="D12" t="s">
        <v>76</v>
      </c>
      <c r="E12" t="s">
        <v>75</v>
      </c>
      <c r="F12" t="str">
        <f t="shared" si="0"/>
        <v>ElectricityLow</v>
      </c>
      <c r="G12" s="40">
        <v>112</v>
      </c>
      <c r="H12" s="39">
        <v>125</v>
      </c>
      <c r="I12" s="39">
        <v>112</v>
      </c>
      <c r="J12" s="39">
        <v>99</v>
      </c>
      <c r="K12" s="39">
        <v>86</v>
      </c>
      <c r="L12" s="39">
        <v>73</v>
      </c>
      <c r="M12" s="40">
        <v>40</v>
      </c>
      <c r="N12" s="40">
        <v>40</v>
      </c>
      <c r="O12" s="40">
        <v>40</v>
      </c>
      <c r="P12" s="40">
        <v>40</v>
      </c>
      <c r="Q12" s="40">
        <v>40</v>
      </c>
      <c r="R12" s="40">
        <v>40</v>
      </c>
      <c r="S12" s="40">
        <v>40</v>
      </c>
      <c r="T12" s="40">
        <v>40</v>
      </c>
      <c r="U12" s="40">
        <v>40</v>
      </c>
      <c r="V12" s="40">
        <v>40</v>
      </c>
      <c r="W12" s="40">
        <v>40</v>
      </c>
      <c r="X12" s="40">
        <v>40</v>
      </c>
      <c r="Y12" s="40">
        <v>40</v>
      </c>
      <c r="Z12" s="40">
        <v>40</v>
      </c>
      <c r="AA12" s="40">
        <v>40</v>
      </c>
      <c r="AB12" s="40">
        <v>40</v>
      </c>
      <c r="AC12" s="40">
        <v>40</v>
      </c>
      <c r="AD12" s="40">
        <v>40</v>
      </c>
      <c r="AE12" s="40">
        <v>40</v>
      </c>
      <c r="AF12" s="40">
        <v>40</v>
      </c>
      <c r="AG12" s="40">
        <v>40</v>
      </c>
      <c r="AJ12" s="34" t="str">
        <f t="shared" si="8"/>
        <v>OilHigh</v>
      </c>
      <c r="AK12" s="34" t="s">
        <v>72</v>
      </c>
      <c r="AL12" s="34" t="s">
        <v>74</v>
      </c>
      <c r="AM12" s="34">
        <v>2032</v>
      </c>
      <c r="AN12" s="34">
        <f t="shared" si="4"/>
        <v>4.8397002825205745E-2</v>
      </c>
    </row>
    <row r="13" spans="2:40" customFormat="1" x14ac:dyDescent="0.25">
      <c r="B13" t="s">
        <v>80</v>
      </c>
      <c r="D13" t="s">
        <v>26</v>
      </c>
      <c r="E13" t="s">
        <v>74</v>
      </c>
      <c r="F13" t="str">
        <f t="shared" si="0"/>
        <v>BGHigh</v>
      </c>
      <c r="G13" s="33">
        <v>70</v>
      </c>
      <c r="H13">
        <f t="shared" si="5"/>
        <v>78.333333333333329</v>
      </c>
      <c r="I13">
        <f t="shared" si="1"/>
        <v>86.666666666666657</v>
      </c>
      <c r="J13">
        <f t="shared" si="1"/>
        <v>95</v>
      </c>
      <c r="K13">
        <f t="shared" si="1"/>
        <v>103.33333333333333</v>
      </c>
      <c r="L13">
        <f t="shared" si="1"/>
        <v>111.66666666666667</v>
      </c>
      <c r="M13" s="33">
        <v>120</v>
      </c>
      <c r="N13">
        <f t="shared" ref="N13:V13" si="17">-((($W13-$M13)/($W$3-$M$3))*($W$3-M$3))+$W13</f>
        <v>120</v>
      </c>
      <c r="O13">
        <f t="shared" si="17"/>
        <v>120</v>
      </c>
      <c r="P13">
        <f t="shared" si="17"/>
        <v>120</v>
      </c>
      <c r="Q13">
        <f t="shared" si="17"/>
        <v>120</v>
      </c>
      <c r="R13">
        <f t="shared" si="17"/>
        <v>120</v>
      </c>
      <c r="S13">
        <f t="shared" si="17"/>
        <v>120</v>
      </c>
      <c r="T13">
        <f t="shared" si="17"/>
        <v>120</v>
      </c>
      <c r="U13">
        <f t="shared" si="17"/>
        <v>120</v>
      </c>
      <c r="V13">
        <f t="shared" si="17"/>
        <v>120</v>
      </c>
      <c r="W13" s="33">
        <v>120</v>
      </c>
      <c r="X13">
        <f t="shared" ref="X13:AF13" si="18">-((($AG13-$W13)/($AG$3-$W$3))*($AG$3-W$3))+$AG13</f>
        <v>120</v>
      </c>
      <c r="Y13">
        <f t="shared" si="18"/>
        <v>120</v>
      </c>
      <c r="Z13">
        <f t="shared" si="18"/>
        <v>120</v>
      </c>
      <c r="AA13">
        <f t="shared" si="18"/>
        <v>120</v>
      </c>
      <c r="AB13">
        <f t="shared" si="18"/>
        <v>120</v>
      </c>
      <c r="AC13">
        <f t="shared" si="18"/>
        <v>120</v>
      </c>
      <c r="AD13">
        <f t="shared" si="18"/>
        <v>120</v>
      </c>
      <c r="AE13">
        <f t="shared" si="18"/>
        <v>120</v>
      </c>
      <c r="AF13">
        <f t="shared" si="18"/>
        <v>120</v>
      </c>
      <c r="AG13" s="33">
        <v>120</v>
      </c>
      <c r="AJ13" s="34" t="str">
        <f t="shared" si="8"/>
        <v>OilHigh</v>
      </c>
      <c r="AK13" s="34" t="s">
        <v>72</v>
      </c>
      <c r="AL13" s="34" t="s">
        <v>74</v>
      </c>
      <c r="AM13" s="34">
        <v>2033</v>
      </c>
      <c r="AN13" s="34">
        <f t="shared" si="4"/>
        <v>4.8274167792654463E-2</v>
      </c>
    </row>
    <row r="14" spans="2:40" customFormat="1" x14ac:dyDescent="0.25">
      <c r="B14" t="s">
        <v>80</v>
      </c>
      <c r="D14" t="s">
        <v>26</v>
      </c>
      <c r="E14" t="s">
        <v>8</v>
      </c>
      <c r="F14" t="str">
        <f t="shared" si="0"/>
        <v>BGAverage</v>
      </c>
      <c r="G14" s="33">
        <v>70</v>
      </c>
      <c r="H14">
        <f t="shared" si="5"/>
        <v>73.333333333333329</v>
      </c>
      <c r="I14">
        <f t="shared" si="1"/>
        <v>76.666666666666671</v>
      </c>
      <c r="J14">
        <f t="shared" si="1"/>
        <v>80</v>
      </c>
      <c r="K14">
        <f t="shared" si="1"/>
        <v>83.333333333333329</v>
      </c>
      <c r="L14">
        <f t="shared" si="1"/>
        <v>86.666666666666671</v>
      </c>
      <c r="M14" s="33">
        <v>90</v>
      </c>
      <c r="N14">
        <f t="shared" ref="N14:V14" si="19">-((($W14-$M14)/($W$3-$M$3))*($W$3-M$3))+$W14</f>
        <v>90</v>
      </c>
      <c r="O14">
        <f t="shared" si="19"/>
        <v>90</v>
      </c>
      <c r="P14">
        <f t="shared" si="19"/>
        <v>90</v>
      </c>
      <c r="Q14">
        <f t="shared" si="19"/>
        <v>90</v>
      </c>
      <c r="R14">
        <f t="shared" si="19"/>
        <v>90</v>
      </c>
      <c r="S14">
        <f t="shared" si="19"/>
        <v>90</v>
      </c>
      <c r="T14">
        <f t="shared" si="19"/>
        <v>90</v>
      </c>
      <c r="U14">
        <f t="shared" si="19"/>
        <v>90</v>
      </c>
      <c r="V14">
        <f t="shared" si="19"/>
        <v>90</v>
      </c>
      <c r="W14" s="33">
        <v>90</v>
      </c>
      <c r="X14">
        <f t="shared" ref="X14:AF14" si="20">-((($AG14-$W14)/($AG$3-$W$3))*($AG$3-W$3))+$AG14</f>
        <v>90</v>
      </c>
      <c r="Y14">
        <f t="shared" si="20"/>
        <v>90</v>
      </c>
      <c r="Z14">
        <f t="shared" si="20"/>
        <v>90</v>
      </c>
      <c r="AA14">
        <f t="shared" si="20"/>
        <v>90</v>
      </c>
      <c r="AB14">
        <f t="shared" si="20"/>
        <v>90</v>
      </c>
      <c r="AC14">
        <f t="shared" si="20"/>
        <v>90</v>
      </c>
      <c r="AD14">
        <f t="shared" si="20"/>
        <v>90</v>
      </c>
      <c r="AE14">
        <f t="shared" si="20"/>
        <v>90</v>
      </c>
      <c r="AF14">
        <f t="shared" si="20"/>
        <v>90</v>
      </c>
      <c r="AG14" s="33">
        <v>90</v>
      </c>
      <c r="AJ14" s="34" t="str">
        <f t="shared" si="8"/>
        <v>OilHigh</v>
      </c>
      <c r="AK14" s="34" t="s">
        <v>72</v>
      </c>
      <c r="AL14" s="34" t="s">
        <v>74</v>
      </c>
      <c r="AM14" s="34">
        <v>2034</v>
      </c>
      <c r="AN14" s="34">
        <f t="shared" si="4"/>
        <v>4.8151332760103187E-2</v>
      </c>
    </row>
    <row r="15" spans="2:40" customFormat="1" x14ac:dyDescent="0.25">
      <c r="B15" t="s">
        <v>80</v>
      </c>
      <c r="D15" t="s">
        <v>26</v>
      </c>
      <c r="E15" t="s">
        <v>75</v>
      </c>
      <c r="F15" t="str">
        <f t="shared" si="0"/>
        <v>BGLow</v>
      </c>
      <c r="G15" s="33">
        <v>70</v>
      </c>
      <c r="H15">
        <f t="shared" si="5"/>
        <v>65</v>
      </c>
      <c r="I15">
        <f t="shared" si="1"/>
        <v>60</v>
      </c>
      <c r="J15">
        <f t="shared" si="1"/>
        <v>55</v>
      </c>
      <c r="K15">
        <f t="shared" si="1"/>
        <v>50</v>
      </c>
      <c r="L15">
        <f t="shared" si="1"/>
        <v>45</v>
      </c>
      <c r="M15" s="33">
        <v>40</v>
      </c>
      <c r="N15">
        <f t="shared" ref="N15:V15" si="21">-((($W15-$M15)/($W$3-$M$3))*($W$3-M$3))+$W15</f>
        <v>40</v>
      </c>
      <c r="O15">
        <f t="shared" si="21"/>
        <v>40</v>
      </c>
      <c r="P15">
        <f t="shared" si="21"/>
        <v>40</v>
      </c>
      <c r="Q15">
        <f t="shared" si="21"/>
        <v>40</v>
      </c>
      <c r="R15">
        <f t="shared" si="21"/>
        <v>40</v>
      </c>
      <c r="S15">
        <f t="shared" si="21"/>
        <v>40</v>
      </c>
      <c r="T15">
        <f t="shared" si="21"/>
        <v>40</v>
      </c>
      <c r="U15">
        <f t="shared" si="21"/>
        <v>40</v>
      </c>
      <c r="V15">
        <f t="shared" si="21"/>
        <v>40</v>
      </c>
      <c r="W15" s="33">
        <v>40</v>
      </c>
      <c r="X15">
        <f t="shared" ref="X15:AF15" si="22">-((($AG15-$W15)/($AG$3-$W$3))*($AG$3-W$3))+$AG15</f>
        <v>40</v>
      </c>
      <c r="Y15">
        <f t="shared" si="22"/>
        <v>40</v>
      </c>
      <c r="Z15">
        <f t="shared" si="22"/>
        <v>40</v>
      </c>
      <c r="AA15">
        <f t="shared" si="22"/>
        <v>40</v>
      </c>
      <c r="AB15">
        <f t="shared" si="22"/>
        <v>40</v>
      </c>
      <c r="AC15">
        <f t="shared" si="22"/>
        <v>40</v>
      </c>
      <c r="AD15">
        <f t="shared" si="22"/>
        <v>40</v>
      </c>
      <c r="AE15">
        <f t="shared" si="22"/>
        <v>40</v>
      </c>
      <c r="AF15">
        <f t="shared" si="22"/>
        <v>40</v>
      </c>
      <c r="AG15" s="33">
        <v>40</v>
      </c>
      <c r="AJ15" s="34" t="str">
        <f t="shared" si="8"/>
        <v>OilHigh</v>
      </c>
      <c r="AK15" s="34" t="s">
        <v>72</v>
      </c>
      <c r="AL15" s="34" t="s">
        <v>74</v>
      </c>
      <c r="AM15" s="34">
        <v>2035</v>
      </c>
      <c r="AN15" s="34">
        <f t="shared" si="4"/>
        <v>4.8028497727551897E-2</v>
      </c>
    </row>
    <row r="16" spans="2:40" customFormat="1" x14ac:dyDescent="0.25">
      <c r="B16" t="s">
        <v>80</v>
      </c>
      <c r="D16" t="s">
        <v>77</v>
      </c>
      <c r="E16" t="s">
        <v>74</v>
      </c>
      <c r="F16" t="str">
        <f t="shared" si="0"/>
        <v>HVOHigh</v>
      </c>
      <c r="G16" s="33">
        <v>78</v>
      </c>
      <c r="H16">
        <f t="shared" si="5"/>
        <v>73.5</v>
      </c>
      <c r="I16">
        <f t="shared" si="1"/>
        <v>69</v>
      </c>
      <c r="J16">
        <f t="shared" si="1"/>
        <v>64.5</v>
      </c>
      <c r="K16">
        <f t="shared" si="1"/>
        <v>60</v>
      </c>
      <c r="L16">
        <f t="shared" si="1"/>
        <v>55.5</v>
      </c>
      <c r="M16" s="33">
        <v>51</v>
      </c>
      <c r="N16">
        <f t="shared" ref="N16:V16" si="23">-((($W16-$M16)/($W$3-$M$3))*($W$3-M$3))+$W16</f>
        <v>51</v>
      </c>
      <c r="O16">
        <f t="shared" si="23"/>
        <v>51</v>
      </c>
      <c r="P16">
        <f t="shared" si="23"/>
        <v>51</v>
      </c>
      <c r="Q16">
        <f t="shared" si="23"/>
        <v>51</v>
      </c>
      <c r="R16">
        <f t="shared" si="23"/>
        <v>51</v>
      </c>
      <c r="S16">
        <f t="shared" si="23"/>
        <v>51</v>
      </c>
      <c r="T16">
        <f t="shared" si="23"/>
        <v>51</v>
      </c>
      <c r="U16">
        <f t="shared" si="23"/>
        <v>51</v>
      </c>
      <c r="V16">
        <f t="shared" si="23"/>
        <v>51</v>
      </c>
      <c r="W16" s="33">
        <v>51</v>
      </c>
      <c r="X16">
        <f t="shared" ref="X16:AF16" si="24">-((($AG16-$W16)/($AG$3-$W$3))*($AG$3-W$3))+$AG16</f>
        <v>51</v>
      </c>
      <c r="Y16">
        <f t="shared" si="24"/>
        <v>51</v>
      </c>
      <c r="Z16">
        <f t="shared" si="24"/>
        <v>51</v>
      </c>
      <c r="AA16">
        <f t="shared" si="24"/>
        <v>51</v>
      </c>
      <c r="AB16">
        <f t="shared" si="24"/>
        <v>51</v>
      </c>
      <c r="AC16">
        <f t="shared" si="24"/>
        <v>51</v>
      </c>
      <c r="AD16">
        <f t="shared" si="24"/>
        <v>51</v>
      </c>
      <c r="AE16">
        <f t="shared" si="24"/>
        <v>51</v>
      </c>
      <c r="AF16">
        <f t="shared" si="24"/>
        <v>51</v>
      </c>
      <c r="AG16" s="33">
        <v>51</v>
      </c>
      <c r="AJ16" s="34" t="str">
        <f t="shared" si="8"/>
        <v>OilHigh</v>
      </c>
      <c r="AK16" s="34" t="s">
        <v>72</v>
      </c>
      <c r="AL16" s="34" t="s">
        <v>74</v>
      </c>
      <c r="AM16" s="34">
        <v>2036</v>
      </c>
      <c r="AN16" s="34">
        <f t="shared" si="4"/>
        <v>4.7905662695000614E-2</v>
      </c>
    </row>
    <row r="17" spans="1:40" customFormat="1" x14ac:dyDescent="0.25">
      <c r="B17" t="s">
        <v>80</v>
      </c>
      <c r="D17" t="s">
        <v>77</v>
      </c>
      <c r="E17" t="s">
        <v>8</v>
      </c>
      <c r="F17" t="str">
        <f t="shared" si="0"/>
        <v>HVOAverage</v>
      </c>
      <c r="G17" s="33">
        <v>78</v>
      </c>
      <c r="H17">
        <f t="shared" si="5"/>
        <v>78</v>
      </c>
      <c r="I17">
        <f t="shared" si="1"/>
        <v>78</v>
      </c>
      <c r="J17">
        <f t="shared" si="1"/>
        <v>78</v>
      </c>
      <c r="K17">
        <f t="shared" si="1"/>
        <v>78</v>
      </c>
      <c r="L17">
        <f t="shared" si="1"/>
        <v>78</v>
      </c>
      <c r="M17" s="33">
        <v>78</v>
      </c>
      <c r="N17">
        <f t="shared" ref="N17:V17" si="25">-((($W17-$M17)/($W$3-$M$3))*($W$3-M$3))+$W17</f>
        <v>78</v>
      </c>
      <c r="O17">
        <f t="shared" si="25"/>
        <v>78</v>
      </c>
      <c r="P17">
        <f t="shared" si="25"/>
        <v>78</v>
      </c>
      <c r="Q17">
        <f t="shared" si="25"/>
        <v>78</v>
      </c>
      <c r="R17">
        <f t="shared" si="25"/>
        <v>78</v>
      </c>
      <c r="S17">
        <f t="shared" si="25"/>
        <v>78</v>
      </c>
      <c r="T17">
        <f t="shared" si="25"/>
        <v>78</v>
      </c>
      <c r="U17">
        <f t="shared" si="25"/>
        <v>78</v>
      </c>
      <c r="V17">
        <f t="shared" si="25"/>
        <v>78</v>
      </c>
      <c r="W17" s="33">
        <v>78</v>
      </c>
      <c r="X17">
        <f t="shared" ref="X17:AF17" si="26">-((($AG17-$W17)/($AG$3-$W$3))*($AG$3-W$3))+$AG17</f>
        <v>78</v>
      </c>
      <c r="Y17">
        <f t="shared" si="26"/>
        <v>78</v>
      </c>
      <c r="Z17">
        <f t="shared" si="26"/>
        <v>78</v>
      </c>
      <c r="AA17">
        <f t="shared" si="26"/>
        <v>78</v>
      </c>
      <c r="AB17">
        <f t="shared" si="26"/>
        <v>78</v>
      </c>
      <c r="AC17">
        <f t="shared" si="26"/>
        <v>78</v>
      </c>
      <c r="AD17">
        <f t="shared" si="26"/>
        <v>78</v>
      </c>
      <c r="AE17">
        <f t="shared" si="26"/>
        <v>78</v>
      </c>
      <c r="AF17">
        <f t="shared" si="26"/>
        <v>78</v>
      </c>
      <c r="AG17" s="33">
        <v>78</v>
      </c>
      <c r="AJ17" s="34" t="str">
        <f t="shared" si="8"/>
        <v>OilHigh</v>
      </c>
      <c r="AK17" s="34" t="s">
        <v>72</v>
      </c>
      <c r="AL17" s="34" t="s">
        <v>74</v>
      </c>
      <c r="AM17" s="34">
        <v>2037</v>
      </c>
      <c r="AN17" s="34">
        <f t="shared" si="4"/>
        <v>4.7782827662449325E-2</v>
      </c>
    </row>
    <row r="18" spans="1:40" customFormat="1" x14ac:dyDescent="0.25">
      <c r="B18" t="s">
        <v>80</v>
      </c>
      <c r="D18" t="s">
        <v>77</v>
      </c>
      <c r="E18" t="s">
        <v>75</v>
      </c>
      <c r="F18" t="str">
        <f t="shared" si="0"/>
        <v>HVOLow</v>
      </c>
      <c r="G18" s="33">
        <v>78</v>
      </c>
      <c r="H18">
        <f t="shared" si="5"/>
        <v>80.166666666666671</v>
      </c>
      <c r="I18">
        <f t="shared" si="1"/>
        <v>82.333333333333329</v>
      </c>
      <c r="J18">
        <f t="shared" si="1"/>
        <v>84.5</v>
      </c>
      <c r="K18">
        <f t="shared" si="1"/>
        <v>86.666666666666671</v>
      </c>
      <c r="L18">
        <f t="shared" si="1"/>
        <v>88.833333333333329</v>
      </c>
      <c r="M18" s="33">
        <v>91</v>
      </c>
      <c r="N18">
        <f t="shared" ref="N18:V18" si="27">-((($W18-$M18)/($W$3-$M$3))*($W$3-M$3))+$W18</f>
        <v>91</v>
      </c>
      <c r="O18">
        <f t="shared" si="27"/>
        <v>91</v>
      </c>
      <c r="P18">
        <f t="shared" si="27"/>
        <v>91</v>
      </c>
      <c r="Q18">
        <f t="shared" si="27"/>
        <v>91</v>
      </c>
      <c r="R18">
        <f t="shared" si="27"/>
        <v>91</v>
      </c>
      <c r="S18">
        <f t="shared" si="27"/>
        <v>91</v>
      </c>
      <c r="T18">
        <f t="shared" si="27"/>
        <v>91</v>
      </c>
      <c r="U18">
        <f t="shared" si="27"/>
        <v>91</v>
      </c>
      <c r="V18">
        <f t="shared" si="27"/>
        <v>91</v>
      </c>
      <c r="W18" s="33">
        <v>91</v>
      </c>
      <c r="X18">
        <f t="shared" ref="X18:AF18" si="28">-((($AG18-$W18)/($AG$3-$W$3))*($AG$3-W$3))+$AG18</f>
        <v>91</v>
      </c>
      <c r="Y18">
        <f t="shared" si="28"/>
        <v>91</v>
      </c>
      <c r="Z18">
        <f t="shared" si="28"/>
        <v>91</v>
      </c>
      <c r="AA18">
        <f t="shared" si="28"/>
        <v>91</v>
      </c>
      <c r="AB18">
        <f t="shared" si="28"/>
        <v>91</v>
      </c>
      <c r="AC18">
        <f t="shared" si="28"/>
        <v>91</v>
      </c>
      <c r="AD18">
        <f t="shared" si="28"/>
        <v>91</v>
      </c>
      <c r="AE18">
        <f t="shared" si="28"/>
        <v>91</v>
      </c>
      <c r="AF18">
        <f t="shared" si="28"/>
        <v>91</v>
      </c>
      <c r="AG18" s="33">
        <v>91</v>
      </c>
      <c r="AJ18" s="34" t="str">
        <f t="shared" si="8"/>
        <v>OilHigh</v>
      </c>
      <c r="AK18" s="34" t="s">
        <v>72</v>
      </c>
      <c r="AL18" s="34" t="s">
        <v>74</v>
      </c>
      <c r="AM18" s="34">
        <v>2038</v>
      </c>
      <c r="AN18" s="34">
        <f t="shared" si="4"/>
        <v>4.7659992629898042E-2</v>
      </c>
    </row>
    <row r="19" spans="1:40" customFormat="1" x14ac:dyDescent="0.25">
      <c r="B19" t="s">
        <v>98</v>
      </c>
      <c r="D19" t="s">
        <v>97</v>
      </c>
      <c r="E19" t="s">
        <v>74</v>
      </c>
      <c r="F19" t="str">
        <f t="shared" ref="F19:F21" si="29">D19&amp;E19</f>
        <v>H2High</v>
      </c>
      <c r="G19">
        <v>13.5</v>
      </c>
      <c r="H19">
        <v>11.06</v>
      </c>
      <c r="I19">
        <v>10.199999999999999</v>
      </c>
      <c r="J19">
        <v>9.33</v>
      </c>
      <c r="K19">
        <v>8.4700000000000006</v>
      </c>
      <c r="L19">
        <v>7.61</v>
      </c>
      <c r="M19">
        <v>13.5</v>
      </c>
      <c r="N19">
        <v>6.83</v>
      </c>
      <c r="O19">
        <v>6.92</v>
      </c>
      <c r="P19">
        <v>7</v>
      </c>
      <c r="Q19">
        <v>7.09</v>
      </c>
      <c r="R19">
        <f>(M19+W19)/2</f>
        <v>9.5175000000000001</v>
      </c>
      <c r="S19">
        <v>6.23</v>
      </c>
      <c r="T19">
        <v>6.31</v>
      </c>
      <c r="U19">
        <v>6.4</v>
      </c>
      <c r="V19">
        <v>6.49</v>
      </c>
      <c r="W19">
        <f>M19*0.41</f>
        <v>5.5349999999999993</v>
      </c>
      <c r="X19">
        <v>5.53</v>
      </c>
      <c r="Y19">
        <v>5.52</v>
      </c>
      <c r="Z19">
        <v>5.5</v>
      </c>
      <c r="AA19">
        <v>5.49</v>
      </c>
      <c r="AB19">
        <v>5.48</v>
      </c>
      <c r="AC19">
        <v>5.46</v>
      </c>
      <c r="AD19">
        <v>5.45</v>
      </c>
      <c r="AE19">
        <v>5.43</v>
      </c>
      <c r="AF19">
        <v>5.42</v>
      </c>
      <c r="AG19">
        <f>W19*0.41</f>
        <v>2.2693499999999998</v>
      </c>
      <c r="AJ19" s="34" t="str">
        <f>AK19&amp;AL19</f>
        <v>OilHigh</v>
      </c>
      <c r="AK19" s="34" t="s">
        <v>72</v>
      </c>
      <c r="AL19" s="34" t="s">
        <v>74</v>
      </c>
      <c r="AM19" s="34">
        <v>2039</v>
      </c>
      <c r="AN19" s="34">
        <f t="shared" si="4"/>
        <v>4.7537157597346766E-2</v>
      </c>
    </row>
    <row r="20" spans="1:40" customFormat="1" x14ac:dyDescent="0.25">
      <c r="B20" t="s">
        <v>98</v>
      </c>
      <c r="D20" t="s">
        <v>97</v>
      </c>
      <c r="E20" t="s">
        <v>8</v>
      </c>
      <c r="F20" t="str">
        <f t="shared" si="29"/>
        <v>H2Average</v>
      </c>
      <c r="G20">
        <f>(G19+G21)/2</f>
        <v>9.65</v>
      </c>
      <c r="H20">
        <v>7.97</v>
      </c>
      <c r="I20">
        <v>7.25</v>
      </c>
      <c r="J20">
        <v>6.54</v>
      </c>
      <c r="K20">
        <v>5.83</v>
      </c>
      <c r="L20">
        <v>5.13</v>
      </c>
      <c r="M20">
        <f>(M19+M21)/2</f>
        <v>9.65</v>
      </c>
      <c r="N20">
        <v>4.41</v>
      </c>
      <c r="O20">
        <v>4.3899999999999997</v>
      </c>
      <c r="P20">
        <v>4.37</v>
      </c>
      <c r="Q20">
        <v>4.3499999999999996</v>
      </c>
      <c r="R20">
        <f t="shared" ref="R20:R21" si="30">(M20+W20)/2</f>
        <v>6.8032500000000002</v>
      </c>
      <c r="S20">
        <v>4.32</v>
      </c>
      <c r="T20">
        <v>4.3</v>
      </c>
      <c r="U20">
        <v>4.29</v>
      </c>
      <c r="V20">
        <v>4.2699999999999996</v>
      </c>
      <c r="W20">
        <f t="shared" ref="W20:W21" si="31">M20*0.41</f>
        <v>3.9565000000000001</v>
      </c>
      <c r="X20">
        <v>4.24</v>
      </c>
      <c r="Y20">
        <v>4.2300000000000004</v>
      </c>
      <c r="Z20">
        <v>4.21</v>
      </c>
      <c r="AA20">
        <v>4.2</v>
      </c>
      <c r="AB20">
        <v>4.18</v>
      </c>
      <c r="AC20">
        <v>4.17</v>
      </c>
      <c r="AD20">
        <v>4.16</v>
      </c>
      <c r="AE20">
        <v>4.1399999999999997</v>
      </c>
      <c r="AF20">
        <v>4.13</v>
      </c>
      <c r="AG20">
        <f t="shared" ref="AG20:AG21" si="32">W20*0.41</f>
        <v>1.6221649999999999</v>
      </c>
      <c r="AJ20" s="34" t="str">
        <f>AK20&amp;AL20</f>
        <v>OilHigh</v>
      </c>
      <c r="AK20" s="34" t="s">
        <v>72</v>
      </c>
      <c r="AL20" s="34" t="s">
        <v>74</v>
      </c>
      <c r="AM20" s="34">
        <v>2040</v>
      </c>
      <c r="AN20" s="34">
        <f t="shared" si="4"/>
        <v>4.7291487532244193E-2</v>
      </c>
    </row>
    <row r="21" spans="1:40" x14ac:dyDescent="0.25">
      <c r="B21" t="s">
        <v>98</v>
      </c>
      <c r="D21" s="34" t="s">
        <v>97</v>
      </c>
      <c r="E21" t="s">
        <v>75</v>
      </c>
      <c r="F21" t="str">
        <f t="shared" si="29"/>
        <v>H2Low</v>
      </c>
      <c r="G21">
        <v>5.8</v>
      </c>
      <c r="H21">
        <v>7.19</v>
      </c>
      <c r="I21">
        <v>6.48</v>
      </c>
      <c r="J21">
        <v>5.77</v>
      </c>
      <c r="K21">
        <v>5.0599999999999996</v>
      </c>
      <c r="L21">
        <v>4.3600000000000003</v>
      </c>
      <c r="M21">
        <v>5.8</v>
      </c>
      <c r="N21">
        <v>3.63</v>
      </c>
      <c r="O21">
        <v>3.61</v>
      </c>
      <c r="P21">
        <v>3.6</v>
      </c>
      <c r="Q21">
        <v>3.58</v>
      </c>
      <c r="R21">
        <f t="shared" si="30"/>
        <v>4.0889999999999995</v>
      </c>
      <c r="S21">
        <v>3.54</v>
      </c>
      <c r="T21">
        <v>3.53</v>
      </c>
      <c r="U21">
        <v>3.51</v>
      </c>
      <c r="V21">
        <v>3.5</v>
      </c>
      <c r="W21">
        <f t="shared" si="31"/>
        <v>2.3779999999999997</v>
      </c>
      <c r="X21">
        <v>3.62</v>
      </c>
      <c r="Y21">
        <v>3.76</v>
      </c>
      <c r="Z21">
        <v>3.9</v>
      </c>
      <c r="AA21">
        <v>4.04</v>
      </c>
      <c r="AB21">
        <v>4.18</v>
      </c>
      <c r="AC21">
        <v>4.17</v>
      </c>
      <c r="AD21">
        <v>4.16</v>
      </c>
      <c r="AE21">
        <v>4.1399999999999997</v>
      </c>
      <c r="AF21">
        <v>4.13</v>
      </c>
      <c r="AG21">
        <f t="shared" si="32"/>
        <v>0.97497999999999985</v>
      </c>
      <c r="AJ21" s="34" t="str">
        <f>AK21&amp;AL21</f>
        <v>OilHigh</v>
      </c>
      <c r="AK21" s="34" t="s">
        <v>72</v>
      </c>
      <c r="AL21" s="34" t="s">
        <v>74</v>
      </c>
      <c r="AM21" s="34">
        <v>2041</v>
      </c>
      <c r="AN21" s="34">
        <f t="shared" si="4"/>
        <v>4.7291487532244193E-2</v>
      </c>
    </row>
    <row r="22" spans="1:40" x14ac:dyDescent="0.25">
      <c r="B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</row>
    <row r="23" spans="1:40" x14ac:dyDescent="0.25">
      <c r="B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</row>
    <row r="24" spans="1:40" x14ac:dyDescent="0.25">
      <c r="B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</row>
    <row r="25" spans="1:40" x14ac:dyDescent="0.25">
      <c r="AJ25" s="34" t="str">
        <f t="shared" ref="AJ25:AJ71" si="33">AK25&amp;AL25</f>
        <v>OilHigh</v>
      </c>
      <c r="AK25" s="34" t="s">
        <v>72</v>
      </c>
      <c r="AL25" s="34" t="s">
        <v>74</v>
      </c>
      <c r="AM25" s="34">
        <v>2042</v>
      </c>
      <c r="AN25" s="34">
        <f t="shared" ref="AN25:AN71" si="34">INDEX($G$28:$AG$42,MATCH(AJ25,$F$28:$F$42,0),MATCH(AM25,$G$27:$AG$27,0))</f>
        <v>4.716865249969291E-2</v>
      </c>
    </row>
    <row r="26" spans="1:40" x14ac:dyDescent="0.25">
      <c r="G26" s="44" t="s">
        <v>2</v>
      </c>
      <c r="H26" s="44"/>
      <c r="I26" s="44"/>
      <c r="J26" s="44"/>
      <c r="K26" s="44"/>
      <c r="L26" s="44"/>
      <c r="M26" s="44"/>
      <c r="N26" s="44"/>
      <c r="O26" s="44"/>
      <c r="P26" s="44"/>
      <c r="Q26" s="44"/>
      <c r="R26" s="44"/>
      <c r="S26" s="44"/>
      <c r="T26" s="44"/>
      <c r="U26" s="44"/>
      <c r="V26" s="44"/>
      <c r="W26" s="44"/>
      <c r="X26" s="44"/>
      <c r="Y26" s="44"/>
      <c r="Z26" s="44"/>
      <c r="AA26" s="44"/>
      <c r="AB26" s="44"/>
      <c r="AC26" s="44"/>
      <c r="AD26" s="44"/>
      <c r="AE26" s="44"/>
      <c r="AF26" s="44"/>
      <c r="AG26" s="44"/>
      <c r="AJ26" s="34" t="str">
        <f t="shared" si="33"/>
        <v>OilHigh</v>
      </c>
      <c r="AK26" s="34" t="s">
        <v>72</v>
      </c>
      <c r="AL26" s="34" t="s">
        <v>74</v>
      </c>
      <c r="AM26" s="34">
        <v>2043</v>
      </c>
      <c r="AN26" s="34">
        <f t="shared" si="34"/>
        <v>4.7045817467141621E-2</v>
      </c>
    </row>
    <row r="27" spans="1:40" x14ac:dyDescent="0.25">
      <c r="B27"/>
      <c r="C27"/>
      <c r="D27" t="s">
        <v>82</v>
      </c>
      <c r="E27" t="s">
        <v>3</v>
      </c>
      <c r="F27"/>
      <c r="G27" s="35">
        <v>2024</v>
      </c>
      <c r="H27" s="35">
        <v>2025</v>
      </c>
      <c r="I27" s="35">
        <v>2026</v>
      </c>
      <c r="J27" s="35">
        <v>2027</v>
      </c>
      <c r="K27" s="35">
        <v>2028</v>
      </c>
      <c r="L27" s="35">
        <v>2029</v>
      </c>
      <c r="M27" s="35">
        <v>2030</v>
      </c>
      <c r="N27" s="35">
        <v>2031</v>
      </c>
      <c r="O27" s="35">
        <v>2032</v>
      </c>
      <c r="P27" s="35">
        <v>2033</v>
      </c>
      <c r="Q27" s="35">
        <v>2034</v>
      </c>
      <c r="R27" s="35">
        <v>2035</v>
      </c>
      <c r="S27" s="35">
        <v>2036</v>
      </c>
      <c r="T27" s="35">
        <v>2037</v>
      </c>
      <c r="U27" s="35">
        <v>2038</v>
      </c>
      <c r="V27" s="35">
        <v>2039</v>
      </c>
      <c r="W27" s="35">
        <v>2040</v>
      </c>
      <c r="X27" s="35">
        <v>2041</v>
      </c>
      <c r="Y27" s="35">
        <v>2042</v>
      </c>
      <c r="Z27" s="35">
        <v>2043</v>
      </c>
      <c r="AA27" s="35">
        <v>2044</v>
      </c>
      <c r="AB27" s="35">
        <v>2045</v>
      </c>
      <c r="AC27" s="35">
        <v>2046</v>
      </c>
      <c r="AD27" s="35">
        <v>2047</v>
      </c>
      <c r="AE27" s="35">
        <v>2048</v>
      </c>
      <c r="AF27" s="35">
        <v>2049</v>
      </c>
      <c r="AG27" s="35">
        <v>2050</v>
      </c>
      <c r="AJ27" s="34" t="str">
        <f t="shared" si="33"/>
        <v>OilHigh</v>
      </c>
      <c r="AK27" s="34" t="s">
        <v>72</v>
      </c>
      <c r="AL27" s="34" t="s">
        <v>74</v>
      </c>
      <c r="AM27" s="34">
        <v>2044</v>
      </c>
      <c r="AN27" s="34">
        <f t="shared" si="34"/>
        <v>4.6922982434590345E-2</v>
      </c>
    </row>
    <row r="28" spans="1:40" x14ac:dyDescent="0.25">
      <c r="A28" s="34">
        <v>1628.2</v>
      </c>
      <c r="B28" t="s">
        <v>81</v>
      </c>
      <c r="C28"/>
      <c r="D28" t="s">
        <v>72</v>
      </c>
      <c r="E28" t="s">
        <v>74</v>
      </c>
      <c r="F28" t="str">
        <f t="shared" ref="F28:F42" si="35">D28&amp;E28</f>
        <v>OilHigh</v>
      </c>
      <c r="G28" s="35">
        <f>G4/$A28</f>
        <v>5.0362363346026284E-2</v>
      </c>
      <c r="H28" s="35">
        <f t="shared" ref="H28:AG28" si="36">H4/$A28</f>
        <v>5.0055275764648077E-2</v>
      </c>
      <c r="I28" s="35">
        <f t="shared" si="36"/>
        <v>4.974818818326987E-2</v>
      </c>
      <c r="J28" s="35">
        <f t="shared" si="36"/>
        <v>4.9441100601891656E-2</v>
      </c>
      <c r="K28" s="35">
        <f t="shared" si="36"/>
        <v>4.9134013020513449E-2</v>
      </c>
      <c r="L28" s="35">
        <f t="shared" si="36"/>
        <v>4.8826925439135242E-2</v>
      </c>
      <c r="M28" s="35">
        <f t="shared" si="36"/>
        <v>4.8519837857757028E-2</v>
      </c>
      <c r="N28" s="35">
        <f t="shared" si="36"/>
        <v>4.8519837857757028E-2</v>
      </c>
      <c r="O28" s="35">
        <f t="shared" si="36"/>
        <v>4.8397002825205745E-2</v>
      </c>
      <c r="P28" s="35">
        <f t="shared" si="36"/>
        <v>4.8274167792654463E-2</v>
      </c>
      <c r="Q28" s="35">
        <f t="shared" si="36"/>
        <v>4.8151332760103187E-2</v>
      </c>
      <c r="R28" s="35">
        <f t="shared" si="36"/>
        <v>4.8028497727551897E-2</v>
      </c>
      <c r="S28" s="35">
        <f t="shared" si="36"/>
        <v>4.7905662695000614E-2</v>
      </c>
      <c r="T28" s="35">
        <f t="shared" si="36"/>
        <v>4.7782827662449325E-2</v>
      </c>
      <c r="U28" s="35">
        <f t="shared" si="36"/>
        <v>4.7659992629898042E-2</v>
      </c>
      <c r="V28" s="35">
        <f t="shared" si="36"/>
        <v>4.7537157597346766E-2</v>
      </c>
      <c r="W28" s="35">
        <f t="shared" si="36"/>
        <v>4.7291487532244193E-2</v>
      </c>
      <c r="X28" s="35">
        <f t="shared" si="36"/>
        <v>4.7291487532244193E-2</v>
      </c>
      <c r="Y28" s="35">
        <f t="shared" si="36"/>
        <v>4.716865249969291E-2</v>
      </c>
      <c r="Z28" s="35">
        <f t="shared" si="36"/>
        <v>4.7045817467141621E-2</v>
      </c>
      <c r="AA28" s="35">
        <f t="shared" si="36"/>
        <v>4.6922982434590345E-2</v>
      </c>
      <c r="AB28" s="35">
        <f t="shared" si="36"/>
        <v>4.6800147402039062E-2</v>
      </c>
      <c r="AC28" s="35">
        <f t="shared" si="36"/>
        <v>4.6677312369487779E-2</v>
      </c>
      <c r="AD28" s="35">
        <f t="shared" si="36"/>
        <v>4.6554477336936489E-2</v>
      </c>
      <c r="AE28" s="35">
        <f t="shared" si="36"/>
        <v>4.6431642304385207E-2</v>
      </c>
      <c r="AF28" s="35">
        <f t="shared" si="36"/>
        <v>4.6308807271833931E-2</v>
      </c>
      <c r="AG28" s="35">
        <f t="shared" si="36"/>
        <v>4.6063137206731358E-2</v>
      </c>
      <c r="AJ28" s="34" t="str">
        <f t="shared" si="33"/>
        <v>OilHigh</v>
      </c>
      <c r="AK28" s="34" t="s">
        <v>72</v>
      </c>
      <c r="AL28" s="34" t="s">
        <v>74</v>
      </c>
      <c r="AM28" s="34">
        <v>2045</v>
      </c>
      <c r="AN28" s="34">
        <f t="shared" si="34"/>
        <v>4.6800147402039062E-2</v>
      </c>
    </row>
    <row r="29" spans="1:40" x14ac:dyDescent="0.25">
      <c r="A29" s="34">
        <v>1628.2</v>
      </c>
      <c r="B29" t="s">
        <v>81</v>
      </c>
      <c r="C29"/>
      <c r="D29" t="s">
        <v>72</v>
      </c>
      <c r="E29" t="s">
        <v>8</v>
      </c>
      <c r="F29" t="str">
        <f t="shared" si="35"/>
        <v>OilAverage</v>
      </c>
      <c r="G29" s="35">
        <f t="shared" ref="G29:AG29" si="37">G5/$A29</f>
        <v>5.0362363346026284E-2</v>
      </c>
      <c r="H29" s="35">
        <f t="shared" si="37"/>
        <v>4.9338738074765583E-2</v>
      </c>
      <c r="I29" s="35">
        <f t="shared" si="37"/>
        <v>4.8315112803504895E-2</v>
      </c>
      <c r="J29" s="35">
        <f t="shared" si="37"/>
        <v>4.7291487532244193E-2</v>
      </c>
      <c r="K29" s="35">
        <f t="shared" si="37"/>
        <v>4.6267862260983492E-2</v>
      </c>
      <c r="L29" s="35">
        <f t="shared" si="37"/>
        <v>4.5244236989722804E-2</v>
      </c>
      <c r="M29" s="35">
        <f t="shared" si="37"/>
        <v>4.4220611718462102E-2</v>
      </c>
      <c r="N29" s="35">
        <f t="shared" si="37"/>
        <v>4.4220611718462102E-2</v>
      </c>
      <c r="O29" s="35">
        <f t="shared" si="37"/>
        <v>4.3667854071981323E-2</v>
      </c>
      <c r="P29" s="35">
        <f t="shared" si="37"/>
        <v>4.311509642550055E-2</v>
      </c>
      <c r="Q29" s="35">
        <f t="shared" si="37"/>
        <v>4.256233877901977E-2</v>
      </c>
      <c r="R29" s="35">
        <f t="shared" si="37"/>
        <v>4.2009581132539005E-2</v>
      </c>
      <c r="S29" s="35">
        <f t="shared" si="37"/>
        <v>4.1456823486058225E-2</v>
      </c>
      <c r="T29" s="35">
        <f t="shared" si="37"/>
        <v>4.0904065839577446E-2</v>
      </c>
      <c r="U29" s="35">
        <f t="shared" si="37"/>
        <v>4.0351308193096673E-2</v>
      </c>
      <c r="V29" s="35">
        <f t="shared" si="37"/>
        <v>3.9798550546615893E-2</v>
      </c>
      <c r="W29" s="35">
        <f t="shared" si="37"/>
        <v>3.8693035253654341E-2</v>
      </c>
      <c r="X29" s="35">
        <f t="shared" si="37"/>
        <v>3.8693035253654341E-2</v>
      </c>
      <c r="Y29" s="35">
        <f t="shared" si="37"/>
        <v>3.8385947672276134E-2</v>
      </c>
      <c r="Z29" s="35">
        <f t="shared" si="37"/>
        <v>3.807886009089792E-2</v>
      </c>
      <c r="AA29" s="35">
        <f t="shared" si="37"/>
        <v>3.7771772509519713E-2</v>
      </c>
      <c r="AB29" s="35">
        <f t="shared" si="37"/>
        <v>3.7464684928141506E-2</v>
      </c>
      <c r="AC29" s="35">
        <f t="shared" si="37"/>
        <v>3.7157597346763299E-2</v>
      </c>
      <c r="AD29" s="35">
        <f t="shared" si="37"/>
        <v>3.6850509765385085E-2</v>
      </c>
      <c r="AE29" s="35">
        <f t="shared" si="37"/>
        <v>3.6543422184006878E-2</v>
      </c>
      <c r="AF29" s="35">
        <f t="shared" si="37"/>
        <v>3.6236334602628671E-2</v>
      </c>
      <c r="AG29" s="35">
        <f t="shared" si="37"/>
        <v>3.562215943987225E-2</v>
      </c>
      <c r="AJ29" s="34" t="str">
        <f t="shared" si="33"/>
        <v>OilHigh</v>
      </c>
      <c r="AK29" s="34" t="s">
        <v>72</v>
      </c>
      <c r="AL29" s="34" t="s">
        <v>74</v>
      </c>
      <c r="AM29" s="34">
        <v>2046</v>
      </c>
      <c r="AN29" s="34">
        <f t="shared" si="34"/>
        <v>4.6677312369487779E-2</v>
      </c>
    </row>
    <row r="30" spans="1:40" x14ac:dyDescent="0.25">
      <c r="A30" s="34">
        <v>1628.2</v>
      </c>
      <c r="B30" t="s">
        <v>81</v>
      </c>
      <c r="C30"/>
      <c r="D30" t="s">
        <v>72</v>
      </c>
      <c r="E30" t="s">
        <v>75</v>
      </c>
      <c r="F30" t="str">
        <f t="shared" si="35"/>
        <v>OilLow</v>
      </c>
      <c r="G30" s="35">
        <f t="shared" ref="G30:AG30" si="38">G6/$A30</f>
        <v>5.0362363346026284E-2</v>
      </c>
      <c r="H30" s="35">
        <f t="shared" si="38"/>
        <v>4.6267862260983506E-2</v>
      </c>
      <c r="I30" s="35">
        <f t="shared" si="38"/>
        <v>4.2173361175940713E-2</v>
      </c>
      <c r="J30" s="35">
        <f t="shared" si="38"/>
        <v>3.807886009089792E-2</v>
      </c>
      <c r="K30" s="35">
        <f t="shared" si="38"/>
        <v>3.3984359005855135E-2</v>
      </c>
      <c r="L30" s="35">
        <f t="shared" si="38"/>
        <v>2.9889857920812345E-2</v>
      </c>
      <c r="M30" s="35">
        <f t="shared" si="38"/>
        <v>2.579535683576956E-2</v>
      </c>
      <c r="N30" s="35">
        <f t="shared" si="38"/>
        <v>2.579535683576956E-2</v>
      </c>
      <c r="O30" s="35">
        <f t="shared" si="38"/>
        <v>2.5058346640461856E-2</v>
      </c>
      <c r="P30" s="35">
        <f t="shared" si="38"/>
        <v>2.4321336445154159E-2</v>
      </c>
      <c r="Q30" s="35">
        <f t="shared" si="38"/>
        <v>2.3584326249846455E-2</v>
      </c>
      <c r="R30" s="35">
        <f t="shared" si="38"/>
        <v>2.2847316054538755E-2</v>
      </c>
      <c r="S30" s="35">
        <f t="shared" si="38"/>
        <v>2.2110305859231051E-2</v>
      </c>
      <c r="T30" s="35">
        <f t="shared" si="38"/>
        <v>2.1373295663923347E-2</v>
      </c>
      <c r="U30" s="35">
        <f t="shared" si="38"/>
        <v>2.063628546861565E-2</v>
      </c>
      <c r="V30" s="35">
        <f t="shared" si="38"/>
        <v>1.9899275273307947E-2</v>
      </c>
      <c r="W30" s="35">
        <f t="shared" si="38"/>
        <v>1.8425254882692543E-2</v>
      </c>
      <c r="X30" s="35">
        <f t="shared" si="38"/>
        <v>1.8425254882692543E-2</v>
      </c>
      <c r="Y30" s="35">
        <f t="shared" si="38"/>
        <v>1.8118167301314336E-2</v>
      </c>
      <c r="Z30" s="35">
        <f t="shared" si="38"/>
        <v>1.7811079719936125E-2</v>
      </c>
      <c r="AA30" s="35">
        <f t="shared" si="38"/>
        <v>1.7503992138557915E-2</v>
      </c>
      <c r="AB30" s="35">
        <f t="shared" si="38"/>
        <v>1.7196904557179708E-2</v>
      </c>
      <c r="AC30" s="35">
        <f t="shared" si="38"/>
        <v>1.6889816975801497E-2</v>
      </c>
      <c r="AD30" s="35">
        <f t="shared" si="38"/>
        <v>1.658272939442329E-2</v>
      </c>
      <c r="AE30" s="35">
        <f t="shared" si="38"/>
        <v>1.627564181304508E-2</v>
      </c>
      <c r="AF30" s="35">
        <f t="shared" si="38"/>
        <v>1.5968554231666873E-2</v>
      </c>
      <c r="AG30" s="35">
        <f t="shared" si="38"/>
        <v>1.5354379068910453E-2</v>
      </c>
      <c r="AJ30" s="34" t="str">
        <f t="shared" si="33"/>
        <v>OilHigh</v>
      </c>
      <c r="AK30" s="34" t="s">
        <v>72</v>
      </c>
      <c r="AL30" s="34" t="s">
        <v>74</v>
      </c>
      <c r="AM30" s="34">
        <v>2047</v>
      </c>
      <c r="AN30" s="34">
        <f t="shared" si="34"/>
        <v>4.6554477336936489E-2</v>
      </c>
    </row>
    <row r="31" spans="1:40" x14ac:dyDescent="0.25">
      <c r="A31" s="34">
        <v>293</v>
      </c>
      <c r="B31" t="s">
        <v>81</v>
      </c>
      <c r="C31"/>
      <c r="D31" t="s">
        <v>25</v>
      </c>
      <c r="E31" t="s">
        <v>74</v>
      </c>
      <c r="F31" t="str">
        <f t="shared" si="35"/>
        <v>NGHigh</v>
      </c>
      <c r="G31" s="35">
        <f t="shared" ref="G31:AG31" si="39">G7/$A31</f>
        <v>4.1296928327645047E-2</v>
      </c>
      <c r="H31" s="35">
        <f t="shared" si="39"/>
        <v>3.811149032992036E-2</v>
      </c>
      <c r="I31" s="35">
        <f t="shared" si="39"/>
        <v>3.4926052332195673E-2</v>
      </c>
      <c r="J31" s="35">
        <f t="shared" si="39"/>
        <v>3.1740614334470993E-2</v>
      </c>
      <c r="K31" s="35">
        <f t="shared" si="39"/>
        <v>2.8555176336746303E-2</v>
      </c>
      <c r="L31" s="35">
        <f t="shared" si="39"/>
        <v>2.5369738339021616E-2</v>
      </c>
      <c r="M31" s="35">
        <f t="shared" si="39"/>
        <v>2.2184300341296929E-2</v>
      </c>
      <c r="N31" s="35">
        <f t="shared" si="39"/>
        <v>2.2184300341296929E-2</v>
      </c>
      <c r="O31" s="35">
        <f t="shared" si="39"/>
        <v>2.2559726962457338E-2</v>
      </c>
      <c r="P31" s="35">
        <f t="shared" si="39"/>
        <v>2.2935153583617748E-2</v>
      </c>
      <c r="Q31" s="35">
        <f t="shared" si="39"/>
        <v>2.3310580204778157E-2</v>
      </c>
      <c r="R31" s="35">
        <f t="shared" si="39"/>
        <v>2.3686006825938567E-2</v>
      </c>
      <c r="S31" s="35">
        <f t="shared" si="39"/>
        <v>2.4061433447098976E-2</v>
      </c>
      <c r="T31" s="35">
        <f t="shared" si="39"/>
        <v>2.4436860068259385E-2</v>
      </c>
      <c r="U31" s="35">
        <f t="shared" si="39"/>
        <v>2.4812286689419795E-2</v>
      </c>
      <c r="V31" s="35">
        <f t="shared" si="39"/>
        <v>2.5187713310580204E-2</v>
      </c>
      <c r="W31" s="35">
        <f t="shared" si="39"/>
        <v>2.5938566552901023E-2</v>
      </c>
      <c r="X31" s="35">
        <f t="shared" si="39"/>
        <v>2.5938566552901023E-2</v>
      </c>
      <c r="Y31" s="35">
        <f t="shared" si="39"/>
        <v>2.5972696245733787E-2</v>
      </c>
      <c r="Z31" s="35">
        <f t="shared" si="39"/>
        <v>2.6006825938566552E-2</v>
      </c>
      <c r="AA31" s="35">
        <f t="shared" si="39"/>
        <v>2.6040955631399316E-2</v>
      </c>
      <c r="AB31" s="35">
        <f t="shared" si="39"/>
        <v>2.607508532423208E-2</v>
      </c>
      <c r="AC31" s="35">
        <f t="shared" si="39"/>
        <v>2.6109215017064848E-2</v>
      </c>
      <c r="AD31" s="35">
        <f t="shared" si="39"/>
        <v>2.6143344709897612E-2</v>
      </c>
      <c r="AE31" s="35">
        <f t="shared" si="39"/>
        <v>2.6177474402730376E-2</v>
      </c>
      <c r="AF31" s="35">
        <f t="shared" si="39"/>
        <v>2.621160409556314E-2</v>
      </c>
      <c r="AG31" s="35">
        <f t="shared" si="39"/>
        <v>2.6279863481228669E-2</v>
      </c>
      <c r="AJ31" s="34" t="str">
        <f t="shared" si="33"/>
        <v>OilHigh</v>
      </c>
      <c r="AK31" s="34" t="s">
        <v>72</v>
      </c>
      <c r="AL31" s="34" t="s">
        <v>74</v>
      </c>
      <c r="AM31" s="34">
        <v>2048</v>
      </c>
      <c r="AN31" s="34">
        <f t="shared" si="34"/>
        <v>4.6431642304385207E-2</v>
      </c>
    </row>
    <row r="32" spans="1:40" x14ac:dyDescent="0.25">
      <c r="A32" s="34">
        <v>293</v>
      </c>
      <c r="B32" t="s">
        <v>81</v>
      </c>
      <c r="C32"/>
      <c r="D32" t="s">
        <v>25</v>
      </c>
      <c r="E32" t="s">
        <v>8</v>
      </c>
      <c r="F32" t="str">
        <f t="shared" si="35"/>
        <v>NGAverage</v>
      </c>
      <c r="G32" s="35">
        <f t="shared" ref="G32:AG32" si="40">G8/$A32</f>
        <v>4.1296928327645047E-2</v>
      </c>
      <c r="H32" s="35">
        <f t="shared" si="40"/>
        <v>3.7827076222980656E-2</v>
      </c>
      <c r="I32" s="35">
        <f t="shared" si="40"/>
        <v>3.4357224118316265E-2</v>
      </c>
      <c r="J32" s="35">
        <f t="shared" si="40"/>
        <v>3.0887372013651878E-2</v>
      </c>
      <c r="K32" s="35">
        <f t="shared" si="40"/>
        <v>2.7417519908987484E-2</v>
      </c>
      <c r="L32" s="35">
        <f t="shared" si="40"/>
        <v>2.3947667804323093E-2</v>
      </c>
      <c r="M32" s="35">
        <f t="shared" si="40"/>
        <v>2.0477815699658702E-2</v>
      </c>
      <c r="N32" s="35">
        <f t="shared" si="40"/>
        <v>2.0477815699658702E-2</v>
      </c>
      <c r="O32" s="35">
        <f t="shared" si="40"/>
        <v>2.0204778156996585E-2</v>
      </c>
      <c r="P32" s="35">
        <f t="shared" si="40"/>
        <v>1.9931740614334472E-2</v>
      </c>
      <c r="Q32" s="35">
        <f t="shared" si="40"/>
        <v>1.9658703071672355E-2</v>
      </c>
      <c r="R32" s="35">
        <f t="shared" si="40"/>
        <v>1.9385665529010238E-2</v>
      </c>
      <c r="S32" s="35">
        <f t="shared" si="40"/>
        <v>1.9112627986348121E-2</v>
      </c>
      <c r="T32" s="35">
        <f t="shared" si="40"/>
        <v>1.8839590443686008E-2</v>
      </c>
      <c r="U32" s="35">
        <f t="shared" si="40"/>
        <v>1.8566552901023891E-2</v>
      </c>
      <c r="V32" s="35">
        <f t="shared" si="40"/>
        <v>1.8293515358361778E-2</v>
      </c>
      <c r="W32" s="35">
        <f t="shared" si="40"/>
        <v>1.7747440273037544E-2</v>
      </c>
      <c r="X32" s="35">
        <f t="shared" si="40"/>
        <v>1.7747440273037544E-2</v>
      </c>
      <c r="Y32" s="35">
        <f t="shared" si="40"/>
        <v>1.7747440273037544E-2</v>
      </c>
      <c r="Z32" s="35">
        <f t="shared" si="40"/>
        <v>1.7747440273037544E-2</v>
      </c>
      <c r="AA32" s="35">
        <f t="shared" si="40"/>
        <v>1.7747440273037544E-2</v>
      </c>
      <c r="AB32" s="35">
        <f t="shared" si="40"/>
        <v>1.7747440273037544E-2</v>
      </c>
      <c r="AC32" s="35">
        <f t="shared" si="40"/>
        <v>1.7747440273037544E-2</v>
      </c>
      <c r="AD32" s="35">
        <f t="shared" si="40"/>
        <v>1.7747440273037544E-2</v>
      </c>
      <c r="AE32" s="35">
        <f t="shared" si="40"/>
        <v>1.7747440273037544E-2</v>
      </c>
      <c r="AF32" s="35">
        <f t="shared" si="40"/>
        <v>1.7747440273037544E-2</v>
      </c>
      <c r="AG32" s="35">
        <f t="shared" si="40"/>
        <v>1.7747440273037544E-2</v>
      </c>
      <c r="AJ32" s="34" t="str">
        <f t="shared" si="33"/>
        <v>OilHigh</v>
      </c>
      <c r="AK32" s="34" t="s">
        <v>72</v>
      </c>
      <c r="AL32" s="34" t="s">
        <v>74</v>
      </c>
      <c r="AM32" s="34">
        <v>2049</v>
      </c>
      <c r="AN32" s="34">
        <f t="shared" si="34"/>
        <v>4.6308807271833931E-2</v>
      </c>
    </row>
    <row r="33" spans="1:40" x14ac:dyDescent="0.25">
      <c r="A33" s="34">
        <v>293</v>
      </c>
      <c r="B33" t="s">
        <v>81</v>
      </c>
      <c r="C33"/>
      <c r="D33" t="s">
        <v>25</v>
      </c>
      <c r="E33" t="s">
        <v>75</v>
      </c>
      <c r="F33" t="str">
        <f t="shared" si="35"/>
        <v>NGLow</v>
      </c>
      <c r="G33" s="35">
        <f t="shared" ref="G33" si="41">G9/$A33</f>
        <v>4.1296928327645047E-2</v>
      </c>
      <c r="H33" s="35">
        <f t="shared" ref="H33:AG33" si="42">H9/$A33</f>
        <v>3.6916951080773606E-2</v>
      </c>
      <c r="I33" s="35">
        <f t="shared" si="42"/>
        <v>3.2536973833902159E-2</v>
      </c>
      <c r="J33" s="35">
        <f t="shared" si="42"/>
        <v>2.8156996587030716E-2</v>
      </c>
      <c r="K33" s="35">
        <f t="shared" si="42"/>
        <v>2.3777019340159272E-2</v>
      </c>
      <c r="L33" s="35">
        <f t="shared" si="42"/>
        <v>1.9397042093287829E-2</v>
      </c>
      <c r="M33" s="35">
        <f t="shared" si="42"/>
        <v>1.5017064846416383E-2</v>
      </c>
      <c r="N33" s="35">
        <f t="shared" si="42"/>
        <v>1.5017064846416383E-2</v>
      </c>
      <c r="O33" s="35">
        <f t="shared" si="42"/>
        <v>1.4914675767918089E-2</v>
      </c>
      <c r="P33" s="35">
        <f t="shared" si="42"/>
        <v>1.4812286689419795E-2</v>
      </c>
      <c r="Q33" s="35">
        <f t="shared" si="42"/>
        <v>1.4709897610921504E-2</v>
      </c>
      <c r="R33" s="35">
        <f t="shared" si="42"/>
        <v>1.460750853242321E-2</v>
      </c>
      <c r="S33" s="35">
        <f t="shared" si="42"/>
        <v>1.4505119453924915E-2</v>
      </c>
      <c r="T33" s="35">
        <f t="shared" si="42"/>
        <v>1.4402730375426621E-2</v>
      </c>
      <c r="U33" s="35">
        <f t="shared" si="42"/>
        <v>1.4300341296928327E-2</v>
      </c>
      <c r="V33" s="35">
        <f t="shared" si="42"/>
        <v>1.4197952218430034E-2</v>
      </c>
      <c r="W33" s="35">
        <f t="shared" si="42"/>
        <v>1.3993174061433446E-2</v>
      </c>
      <c r="X33" s="35">
        <f t="shared" si="42"/>
        <v>1.3993174061433446E-2</v>
      </c>
      <c r="Y33" s="35">
        <f t="shared" si="42"/>
        <v>1.3959044368600682E-2</v>
      </c>
      <c r="Z33" s="35">
        <f t="shared" si="42"/>
        <v>1.3924914675767919E-2</v>
      </c>
      <c r="AA33" s="35">
        <f t="shared" si="42"/>
        <v>1.3890784982935151E-2</v>
      </c>
      <c r="AB33" s="35">
        <f t="shared" si="42"/>
        <v>1.3856655290102387E-2</v>
      </c>
      <c r="AC33" s="35">
        <f t="shared" si="42"/>
        <v>1.3822525597269625E-2</v>
      </c>
      <c r="AD33" s="35">
        <f t="shared" si="42"/>
        <v>1.3788395904436861E-2</v>
      </c>
      <c r="AE33" s="35">
        <f t="shared" si="42"/>
        <v>1.3754266211604096E-2</v>
      </c>
      <c r="AF33" s="35">
        <f t="shared" si="42"/>
        <v>1.3720136518771329E-2</v>
      </c>
      <c r="AG33" s="35">
        <f t="shared" si="42"/>
        <v>1.3651877133105802E-2</v>
      </c>
      <c r="AJ33" s="34" t="str">
        <f t="shared" si="33"/>
        <v>OilHigh</v>
      </c>
      <c r="AK33" s="34" t="s">
        <v>72</v>
      </c>
      <c r="AL33" s="34" t="s">
        <v>74</v>
      </c>
      <c r="AM33" s="34">
        <v>2050</v>
      </c>
      <c r="AN33" s="34">
        <f t="shared" si="34"/>
        <v>4.6063137206731358E-2</v>
      </c>
    </row>
    <row r="34" spans="1:40" x14ac:dyDescent="0.25">
      <c r="A34" s="34">
        <v>1000</v>
      </c>
      <c r="B34" t="s">
        <v>81</v>
      </c>
      <c r="C34"/>
      <c r="D34" t="s">
        <v>76</v>
      </c>
      <c r="E34" t="s">
        <v>74</v>
      </c>
      <c r="F34" t="str">
        <f t="shared" si="35"/>
        <v>ElectricityHigh</v>
      </c>
      <c r="G34" s="35">
        <f>G10/$A34</f>
        <v>0.184</v>
      </c>
      <c r="H34" s="35">
        <f t="shared" ref="H34:AG34" si="43">H10/$A34</f>
        <v>0.2</v>
      </c>
      <c r="I34" s="35">
        <f t="shared" si="43"/>
        <v>0.184</v>
      </c>
      <c r="J34" s="35">
        <f t="shared" si="43"/>
        <v>0.16800000000000001</v>
      </c>
      <c r="K34" s="35">
        <f t="shared" si="43"/>
        <v>0.152</v>
      </c>
      <c r="L34" s="35">
        <f t="shared" si="43"/>
        <v>0.13600000000000001</v>
      </c>
      <c r="M34" s="35">
        <f t="shared" si="43"/>
        <v>7.0000000000000007E-2</v>
      </c>
      <c r="N34" s="35">
        <f t="shared" si="43"/>
        <v>7.0000000000000007E-2</v>
      </c>
      <c r="O34" s="35">
        <f t="shared" si="43"/>
        <v>7.0000000000000007E-2</v>
      </c>
      <c r="P34" s="35">
        <f t="shared" si="43"/>
        <v>7.0000000000000007E-2</v>
      </c>
      <c r="Q34" s="35">
        <f t="shared" si="43"/>
        <v>7.0000000000000007E-2</v>
      </c>
      <c r="R34" s="35">
        <f t="shared" si="43"/>
        <v>7.0000000000000007E-2</v>
      </c>
      <c r="S34" s="35">
        <f t="shared" si="43"/>
        <v>7.0000000000000007E-2</v>
      </c>
      <c r="T34" s="35">
        <f t="shared" si="43"/>
        <v>7.0000000000000007E-2</v>
      </c>
      <c r="U34" s="35">
        <f t="shared" si="43"/>
        <v>7.0000000000000007E-2</v>
      </c>
      <c r="V34" s="35">
        <f t="shared" si="43"/>
        <v>7.0000000000000007E-2</v>
      </c>
      <c r="W34" s="35">
        <f t="shared" si="43"/>
        <v>7.0000000000000007E-2</v>
      </c>
      <c r="X34" s="35">
        <f t="shared" si="43"/>
        <v>7.0000000000000007E-2</v>
      </c>
      <c r="Y34" s="35">
        <f t="shared" si="43"/>
        <v>7.0000000000000007E-2</v>
      </c>
      <c r="Z34" s="35">
        <f t="shared" si="43"/>
        <v>7.0000000000000007E-2</v>
      </c>
      <c r="AA34" s="35">
        <f t="shared" si="43"/>
        <v>7.0000000000000007E-2</v>
      </c>
      <c r="AB34" s="35">
        <f t="shared" si="43"/>
        <v>7.0000000000000007E-2</v>
      </c>
      <c r="AC34" s="35">
        <f t="shared" si="43"/>
        <v>7.0000000000000007E-2</v>
      </c>
      <c r="AD34" s="35">
        <f t="shared" si="43"/>
        <v>7.0000000000000007E-2</v>
      </c>
      <c r="AE34" s="35">
        <f t="shared" si="43"/>
        <v>7.0000000000000007E-2</v>
      </c>
      <c r="AF34" s="35">
        <f t="shared" si="43"/>
        <v>7.0000000000000007E-2</v>
      </c>
      <c r="AG34" s="35">
        <f t="shared" si="43"/>
        <v>7.0000000000000007E-2</v>
      </c>
      <c r="AJ34" s="34" t="str">
        <f t="shared" si="33"/>
        <v>OilAverage</v>
      </c>
      <c r="AK34" s="34" t="s">
        <v>72</v>
      </c>
      <c r="AL34" s="34" t="s">
        <v>8</v>
      </c>
      <c r="AM34" s="34">
        <v>2024</v>
      </c>
      <c r="AN34" s="34">
        <f t="shared" si="34"/>
        <v>5.0362363346026284E-2</v>
      </c>
    </row>
    <row r="35" spans="1:40" x14ac:dyDescent="0.25">
      <c r="A35" s="34">
        <v>1000</v>
      </c>
      <c r="B35" t="s">
        <v>81</v>
      </c>
      <c r="C35"/>
      <c r="D35" t="s">
        <v>76</v>
      </c>
      <c r="E35" t="s">
        <v>8</v>
      </c>
      <c r="F35" t="str">
        <f t="shared" si="35"/>
        <v>ElectricityAverage</v>
      </c>
      <c r="G35" s="35">
        <f t="shared" ref="G35:AG35" si="44">G11/$A35</f>
        <v>0.127</v>
      </c>
      <c r="H35" s="35">
        <f t="shared" si="44"/>
        <v>0.14000000000000001</v>
      </c>
      <c r="I35" s="35">
        <f t="shared" si="44"/>
        <v>0.127</v>
      </c>
      <c r="J35" s="35">
        <f t="shared" si="44"/>
        <v>0.114</v>
      </c>
      <c r="K35" s="35">
        <f t="shared" si="44"/>
        <v>0.10100000000000001</v>
      </c>
      <c r="L35" s="35">
        <f t="shared" si="44"/>
        <v>8.7999999999999995E-2</v>
      </c>
      <c r="M35" s="35">
        <f t="shared" si="44"/>
        <v>0.05</v>
      </c>
      <c r="N35" s="35">
        <f t="shared" si="44"/>
        <v>0.05</v>
      </c>
      <c r="O35" s="35">
        <f t="shared" si="44"/>
        <v>0.05</v>
      </c>
      <c r="P35" s="35">
        <f t="shared" si="44"/>
        <v>0.05</v>
      </c>
      <c r="Q35" s="35">
        <f t="shared" si="44"/>
        <v>0.05</v>
      </c>
      <c r="R35" s="35">
        <f t="shared" si="44"/>
        <v>0.05</v>
      </c>
      <c r="S35" s="35">
        <f t="shared" si="44"/>
        <v>0.05</v>
      </c>
      <c r="T35" s="35">
        <f t="shared" si="44"/>
        <v>0.05</v>
      </c>
      <c r="U35" s="35">
        <f t="shared" si="44"/>
        <v>0.05</v>
      </c>
      <c r="V35" s="35">
        <f t="shared" si="44"/>
        <v>0.05</v>
      </c>
      <c r="W35" s="35">
        <f t="shared" si="44"/>
        <v>0.05</v>
      </c>
      <c r="X35" s="35">
        <f t="shared" si="44"/>
        <v>0.05</v>
      </c>
      <c r="Y35" s="35">
        <f t="shared" si="44"/>
        <v>0.05</v>
      </c>
      <c r="Z35" s="35">
        <f t="shared" si="44"/>
        <v>0.05</v>
      </c>
      <c r="AA35" s="35">
        <f t="shared" si="44"/>
        <v>0.05</v>
      </c>
      <c r="AB35" s="35">
        <f t="shared" si="44"/>
        <v>0.05</v>
      </c>
      <c r="AC35" s="35">
        <f t="shared" si="44"/>
        <v>0.05</v>
      </c>
      <c r="AD35" s="35">
        <f t="shared" si="44"/>
        <v>0.05</v>
      </c>
      <c r="AE35" s="35">
        <f t="shared" si="44"/>
        <v>0.05</v>
      </c>
      <c r="AF35" s="35">
        <f t="shared" si="44"/>
        <v>0.05</v>
      </c>
      <c r="AG35" s="35">
        <f t="shared" si="44"/>
        <v>0.05</v>
      </c>
      <c r="AJ35" s="34" t="str">
        <f t="shared" si="33"/>
        <v>OilAverage</v>
      </c>
      <c r="AK35" s="34" t="s">
        <v>72</v>
      </c>
      <c r="AL35" s="34" t="s">
        <v>8</v>
      </c>
      <c r="AM35" s="34">
        <v>2025</v>
      </c>
      <c r="AN35" s="34">
        <f t="shared" si="34"/>
        <v>4.9338738074765583E-2</v>
      </c>
    </row>
    <row r="36" spans="1:40" x14ac:dyDescent="0.25">
      <c r="A36" s="34">
        <v>1000</v>
      </c>
      <c r="B36" t="s">
        <v>81</v>
      </c>
      <c r="C36"/>
      <c r="D36" t="s">
        <v>76</v>
      </c>
      <c r="E36" t="s">
        <v>75</v>
      </c>
      <c r="F36" t="str">
        <f t="shared" si="35"/>
        <v>ElectricityLow</v>
      </c>
      <c r="G36" s="35">
        <f t="shared" ref="G36:AG36" si="45">G12/$A36</f>
        <v>0.112</v>
      </c>
      <c r="H36" s="35">
        <f t="shared" si="45"/>
        <v>0.125</v>
      </c>
      <c r="I36" s="35">
        <f t="shared" si="45"/>
        <v>0.112</v>
      </c>
      <c r="J36" s="35">
        <f t="shared" si="45"/>
        <v>9.9000000000000005E-2</v>
      </c>
      <c r="K36" s="35">
        <f t="shared" si="45"/>
        <v>8.5999999999999993E-2</v>
      </c>
      <c r="L36" s="35">
        <f t="shared" si="45"/>
        <v>7.2999999999999995E-2</v>
      </c>
      <c r="M36" s="35">
        <f t="shared" si="45"/>
        <v>0.04</v>
      </c>
      <c r="N36" s="35">
        <f t="shared" si="45"/>
        <v>0.04</v>
      </c>
      <c r="O36" s="35">
        <f t="shared" si="45"/>
        <v>0.04</v>
      </c>
      <c r="P36" s="35">
        <f t="shared" si="45"/>
        <v>0.04</v>
      </c>
      <c r="Q36" s="35">
        <f t="shared" si="45"/>
        <v>0.04</v>
      </c>
      <c r="R36" s="35">
        <f t="shared" si="45"/>
        <v>0.04</v>
      </c>
      <c r="S36" s="35">
        <f t="shared" si="45"/>
        <v>0.04</v>
      </c>
      <c r="T36" s="35">
        <f t="shared" si="45"/>
        <v>0.04</v>
      </c>
      <c r="U36" s="35">
        <f t="shared" si="45"/>
        <v>0.04</v>
      </c>
      <c r="V36" s="35">
        <f t="shared" si="45"/>
        <v>0.04</v>
      </c>
      <c r="W36" s="35">
        <f t="shared" si="45"/>
        <v>0.04</v>
      </c>
      <c r="X36" s="35">
        <f t="shared" si="45"/>
        <v>0.04</v>
      </c>
      <c r="Y36" s="35">
        <f t="shared" si="45"/>
        <v>0.04</v>
      </c>
      <c r="Z36" s="35">
        <f t="shared" si="45"/>
        <v>0.04</v>
      </c>
      <c r="AA36" s="35">
        <f t="shared" si="45"/>
        <v>0.04</v>
      </c>
      <c r="AB36" s="35">
        <f t="shared" si="45"/>
        <v>0.04</v>
      </c>
      <c r="AC36" s="35">
        <f t="shared" si="45"/>
        <v>0.04</v>
      </c>
      <c r="AD36" s="35">
        <f t="shared" si="45"/>
        <v>0.04</v>
      </c>
      <c r="AE36" s="35">
        <f t="shared" si="45"/>
        <v>0.04</v>
      </c>
      <c r="AF36" s="35">
        <f t="shared" si="45"/>
        <v>0.04</v>
      </c>
      <c r="AG36" s="35">
        <f t="shared" si="45"/>
        <v>0.04</v>
      </c>
      <c r="AJ36" s="34" t="str">
        <f t="shared" si="33"/>
        <v>OilAverage</v>
      </c>
      <c r="AK36" s="34" t="s">
        <v>72</v>
      </c>
      <c r="AL36" s="34" t="s">
        <v>8</v>
      </c>
      <c r="AM36" s="34">
        <v>2026</v>
      </c>
      <c r="AN36" s="34">
        <f t="shared" si="34"/>
        <v>4.8315112803504895E-2</v>
      </c>
    </row>
    <row r="37" spans="1:40" x14ac:dyDescent="0.25">
      <c r="A37" s="34">
        <v>1000</v>
      </c>
      <c r="B37" t="s">
        <v>81</v>
      </c>
      <c r="C37"/>
      <c r="D37" t="s">
        <v>26</v>
      </c>
      <c r="E37" t="s">
        <v>74</v>
      </c>
      <c r="F37" t="str">
        <f t="shared" si="35"/>
        <v>BGHigh</v>
      </c>
      <c r="G37" s="35">
        <f t="shared" ref="G37:AG37" si="46">G13/$A37</f>
        <v>7.0000000000000007E-2</v>
      </c>
      <c r="H37" s="35">
        <f t="shared" si="46"/>
        <v>7.8333333333333324E-2</v>
      </c>
      <c r="I37" s="35">
        <f t="shared" si="46"/>
        <v>8.6666666666666656E-2</v>
      </c>
      <c r="J37" s="35">
        <f t="shared" si="46"/>
        <v>9.5000000000000001E-2</v>
      </c>
      <c r="K37" s="35">
        <f t="shared" si="46"/>
        <v>0.10333333333333333</v>
      </c>
      <c r="L37" s="35">
        <f t="shared" si="46"/>
        <v>0.11166666666666668</v>
      </c>
      <c r="M37" s="35">
        <f t="shared" si="46"/>
        <v>0.12</v>
      </c>
      <c r="N37" s="35">
        <f t="shared" si="46"/>
        <v>0.12</v>
      </c>
      <c r="O37" s="35">
        <f t="shared" si="46"/>
        <v>0.12</v>
      </c>
      <c r="P37" s="35">
        <f t="shared" si="46"/>
        <v>0.12</v>
      </c>
      <c r="Q37" s="35">
        <f t="shared" si="46"/>
        <v>0.12</v>
      </c>
      <c r="R37" s="35">
        <f t="shared" si="46"/>
        <v>0.12</v>
      </c>
      <c r="S37" s="35">
        <f t="shared" si="46"/>
        <v>0.12</v>
      </c>
      <c r="T37" s="35">
        <f t="shared" si="46"/>
        <v>0.12</v>
      </c>
      <c r="U37" s="35">
        <f t="shared" si="46"/>
        <v>0.12</v>
      </c>
      <c r="V37" s="35">
        <f t="shared" si="46"/>
        <v>0.12</v>
      </c>
      <c r="W37" s="35">
        <f t="shared" si="46"/>
        <v>0.12</v>
      </c>
      <c r="X37" s="35">
        <f t="shared" si="46"/>
        <v>0.12</v>
      </c>
      <c r="Y37" s="35">
        <f t="shared" si="46"/>
        <v>0.12</v>
      </c>
      <c r="Z37" s="35">
        <f t="shared" si="46"/>
        <v>0.12</v>
      </c>
      <c r="AA37" s="35">
        <f t="shared" si="46"/>
        <v>0.12</v>
      </c>
      <c r="AB37" s="35">
        <f t="shared" si="46"/>
        <v>0.12</v>
      </c>
      <c r="AC37" s="35">
        <f t="shared" si="46"/>
        <v>0.12</v>
      </c>
      <c r="AD37" s="35">
        <f t="shared" si="46"/>
        <v>0.12</v>
      </c>
      <c r="AE37" s="35">
        <f t="shared" si="46"/>
        <v>0.12</v>
      </c>
      <c r="AF37" s="35">
        <f t="shared" si="46"/>
        <v>0.12</v>
      </c>
      <c r="AG37" s="35">
        <f t="shared" si="46"/>
        <v>0.12</v>
      </c>
      <c r="AJ37" s="34" t="str">
        <f t="shared" si="33"/>
        <v>OilAverage</v>
      </c>
      <c r="AK37" s="34" t="s">
        <v>72</v>
      </c>
      <c r="AL37" s="34" t="s">
        <v>8</v>
      </c>
      <c r="AM37" s="34">
        <v>2027</v>
      </c>
      <c r="AN37" s="34">
        <f t="shared" si="34"/>
        <v>4.7291487532244193E-2</v>
      </c>
    </row>
    <row r="38" spans="1:40" x14ac:dyDescent="0.25">
      <c r="A38" s="34">
        <v>1000</v>
      </c>
      <c r="B38" t="s">
        <v>81</v>
      </c>
      <c r="C38"/>
      <c r="D38" t="s">
        <v>26</v>
      </c>
      <c r="E38" t="s">
        <v>8</v>
      </c>
      <c r="F38" t="str">
        <f t="shared" si="35"/>
        <v>BGAverage</v>
      </c>
      <c r="G38" s="35">
        <f t="shared" ref="G38:AG38" si="47">G14/$A38</f>
        <v>7.0000000000000007E-2</v>
      </c>
      <c r="H38" s="35">
        <f t="shared" si="47"/>
        <v>7.3333333333333334E-2</v>
      </c>
      <c r="I38" s="35">
        <f t="shared" si="47"/>
        <v>7.6666666666666675E-2</v>
      </c>
      <c r="J38" s="35">
        <f t="shared" si="47"/>
        <v>0.08</v>
      </c>
      <c r="K38" s="35">
        <f t="shared" si="47"/>
        <v>8.3333333333333329E-2</v>
      </c>
      <c r="L38" s="35">
        <f t="shared" si="47"/>
        <v>8.666666666666667E-2</v>
      </c>
      <c r="M38" s="35">
        <f t="shared" si="47"/>
        <v>0.09</v>
      </c>
      <c r="N38" s="35">
        <f t="shared" si="47"/>
        <v>0.09</v>
      </c>
      <c r="O38" s="35">
        <f t="shared" si="47"/>
        <v>0.09</v>
      </c>
      <c r="P38" s="35">
        <f t="shared" si="47"/>
        <v>0.09</v>
      </c>
      <c r="Q38" s="35">
        <f t="shared" si="47"/>
        <v>0.09</v>
      </c>
      <c r="R38" s="35">
        <f t="shared" si="47"/>
        <v>0.09</v>
      </c>
      <c r="S38" s="35">
        <f t="shared" si="47"/>
        <v>0.09</v>
      </c>
      <c r="T38" s="35">
        <f t="shared" si="47"/>
        <v>0.09</v>
      </c>
      <c r="U38" s="35">
        <f t="shared" si="47"/>
        <v>0.09</v>
      </c>
      <c r="V38" s="35">
        <f t="shared" si="47"/>
        <v>0.09</v>
      </c>
      <c r="W38" s="35">
        <f t="shared" si="47"/>
        <v>0.09</v>
      </c>
      <c r="X38" s="35">
        <f t="shared" si="47"/>
        <v>0.09</v>
      </c>
      <c r="Y38" s="35">
        <f t="shared" si="47"/>
        <v>0.09</v>
      </c>
      <c r="Z38" s="35">
        <f t="shared" si="47"/>
        <v>0.09</v>
      </c>
      <c r="AA38" s="35">
        <f t="shared" si="47"/>
        <v>0.09</v>
      </c>
      <c r="AB38" s="35">
        <f t="shared" si="47"/>
        <v>0.09</v>
      </c>
      <c r="AC38" s="35">
        <f t="shared" si="47"/>
        <v>0.09</v>
      </c>
      <c r="AD38" s="35">
        <f t="shared" si="47"/>
        <v>0.09</v>
      </c>
      <c r="AE38" s="35">
        <f t="shared" si="47"/>
        <v>0.09</v>
      </c>
      <c r="AF38" s="35">
        <f t="shared" si="47"/>
        <v>0.09</v>
      </c>
      <c r="AG38" s="35">
        <f t="shared" si="47"/>
        <v>0.09</v>
      </c>
      <c r="AJ38" s="34" t="str">
        <f t="shared" si="33"/>
        <v>OilAverage</v>
      </c>
      <c r="AK38" s="34" t="s">
        <v>72</v>
      </c>
      <c r="AL38" s="34" t="s">
        <v>8</v>
      </c>
      <c r="AM38" s="34">
        <v>2028</v>
      </c>
      <c r="AN38" s="34">
        <f t="shared" si="34"/>
        <v>4.6267862260983492E-2</v>
      </c>
    </row>
    <row r="39" spans="1:40" x14ac:dyDescent="0.25">
      <c r="A39" s="34">
        <v>1000</v>
      </c>
      <c r="B39" t="s">
        <v>81</v>
      </c>
      <c r="C39"/>
      <c r="D39" t="s">
        <v>26</v>
      </c>
      <c r="E39" t="s">
        <v>75</v>
      </c>
      <c r="F39" t="str">
        <f t="shared" si="35"/>
        <v>BGLow</v>
      </c>
      <c r="G39" s="35">
        <f t="shared" ref="G39:AG39" si="48">G15/$A39</f>
        <v>7.0000000000000007E-2</v>
      </c>
      <c r="H39" s="35">
        <f t="shared" si="48"/>
        <v>6.5000000000000002E-2</v>
      </c>
      <c r="I39" s="35">
        <f t="shared" si="48"/>
        <v>0.06</v>
      </c>
      <c r="J39" s="35">
        <f t="shared" si="48"/>
        <v>5.5E-2</v>
      </c>
      <c r="K39" s="35">
        <f t="shared" si="48"/>
        <v>0.05</v>
      </c>
      <c r="L39" s="35">
        <f t="shared" si="48"/>
        <v>4.4999999999999998E-2</v>
      </c>
      <c r="M39" s="35">
        <f t="shared" si="48"/>
        <v>0.04</v>
      </c>
      <c r="N39" s="35">
        <f t="shared" si="48"/>
        <v>0.04</v>
      </c>
      <c r="O39" s="35">
        <f t="shared" si="48"/>
        <v>0.04</v>
      </c>
      <c r="P39" s="35">
        <f t="shared" si="48"/>
        <v>0.04</v>
      </c>
      <c r="Q39" s="35">
        <f t="shared" si="48"/>
        <v>0.04</v>
      </c>
      <c r="R39" s="35">
        <f t="shared" si="48"/>
        <v>0.04</v>
      </c>
      <c r="S39" s="35">
        <f t="shared" si="48"/>
        <v>0.04</v>
      </c>
      <c r="T39" s="35">
        <f t="shared" si="48"/>
        <v>0.04</v>
      </c>
      <c r="U39" s="35">
        <f t="shared" si="48"/>
        <v>0.04</v>
      </c>
      <c r="V39" s="35">
        <f t="shared" si="48"/>
        <v>0.04</v>
      </c>
      <c r="W39" s="35">
        <f t="shared" si="48"/>
        <v>0.04</v>
      </c>
      <c r="X39" s="35">
        <f t="shared" si="48"/>
        <v>0.04</v>
      </c>
      <c r="Y39" s="35">
        <f t="shared" si="48"/>
        <v>0.04</v>
      </c>
      <c r="Z39" s="35">
        <f t="shared" si="48"/>
        <v>0.04</v>
      </c>
      <c r="AA39" s="35">
        <f t="shared" si="48"/>
        <v>0.04</v>
      </c>
      <c r="AB39" s="35">
        <f t="shared" si="48"/>
        <v>0.04</v>
      </c>
      <c r="AC39" s="35">
        <f t="shared" si="48"/>
        <v>0.04</v>
      </c>
      <c r="AD39" s="35">
        <f t="shared" si="48"/>
        <v>0.04</v>
      </c>
      <c r="AE39" s="35">
        <f t="shared" si="48"/>
        <v>0.04</v>
      </c>
      <c r="AF39" s="35">
        <f t="shared" si="48"/>
        <v>0.04</v>
      </c>
      <c r="AG39" s="35">
        <f t="shared" si="48"/>
        <v>0.04</v>
      </c>
      <c r="AJ39" s="34" t="str">
        <f t="shared" si="33"/>
        <v>OilAverage</v>
      </c>
      <c r="AK39" s="34" t="s">
        <v>72</v>
      </c>
      <c r="AL39" s="34" t="s">
        <v>8</v>
      </c>
      <c r="AM39" s="34">
        <v>2029</v>
      </c>
      <c r="AN39" s="34">
        <f t="shared" si="34"/>
        <v>4.5244236989722804E-2</v>
      </c>
    </row>
    <row r="40" spans="1:40" x14ac:dyDescent="0.25">
      <c r="A40" s="34">
        <v>1000</v>
      </c>
      <c r="B40" t="s">
        <v>81</v>
      </c>
      <c r="C40"/>
      <c r="D40" t="s">
        <v>77</v>
      </c>
      <c r="E40" t="s">
        <v>74</v>
      </c>
      <c r="F40" t="str">
        <f t="shared" si="35"/>
        <v>HVOHigh</v>
      </c>
      <c r="G40" s="35">
        <f t="shared" ref="G40:AG40" si="49">G16/$A40</f>
        <v>7.8E-2</v>
      </c>
      <c r="H40" s="35">
        <f t="shared" si="49"/>
        <v>7.3499999999999996E-2</v>
      </c>
      <c r="I40" s="35">
        <f t="shared" si="49"/>
        <v>6.9000000000000006E-2</v>
      </c>
      <c r="J40" s="35">
        <f t="shared" si="49"/>
        <v>6.4500000000000002E-2</v>
      </c>
      <c r="K40" s="35">
        <f t="shared" si="49"/>
        <v>0.06</v>
      </c>
      <c r="L40" s="35">
        <f t="shared" si="49"/>
        <v>5.5500000000000001E-2</v>
      </c>
      <c r="M40" s="35">
        <f t="shared" si="49"/>
        <v>5.0999999999999997E-2</v>
      </c>
      <c r="N40" s="35">
        <f t="shared" si="49"/>
        <v>5.0999999999999997E-2</v>
      </c>
      <c r="O40" s="35">
        <f t="shared" si="49"/>
        <v>5.0999999999999997E-2</v>
      </c>
      <c r="P40" s="35">
        <f t="shared" si="49"/>
        <v>5.0999999999999997E-2</v>
      </c>
      <c r="Q40" s="35">
        <f t="shared" si="49"/>
        <v>5.0999999999999997E-2</v>
      </c>
      <c r="R40" s="35">
        <f t="shared" si="49"/>
        <v>5.0999999999999997E-2</v>
      </c>
      <c r="S40" s="35">
        <f t="shared" si="49"/>
        <v>5.0999999999999997E-2</v>
      </c>
      <c r="T40" s="35">
        <f t="shared" si="49"/>
        <v>5.0999999999999997E-2</v>
      </c>
      <c r="U40" s="35">
        <f t="shared" si="49"/>
        <v>5.0999999999999997E-2</v>
      </c>
      <c r="V40" s="35">
        <f t="shared" si="49"/>
        <v>5.0999999999999997E-2</v>
      </c>
      <c r="W40" s="35">
        <f t="shared" si="49"/>
        <v>5.0999999999999997E-2</v>
      </c>
      <c r="X40" s="35">
        <f t="shared" si="49"/>
        <v>5.0999999999999997E-2</v>
      </c>
      <c r="Y40" s="35">
        <f t="shared" si="49"/>
        <v>5.0999999999999997E-2</v>
      </c>
      <c r="Z40" s="35">
        <f t="shared" si="49"/>
        <v>5.0999999999999997E-2</v>
      </c>
      <c r="AA40" s="35">
        <f t="shared" si="49"/>
        <v>5.0999999999999997E-2</v>
      </c>
      <c r="AB40" s="35">
        <f t="shared" si="49"/>
        <v>5.0999999999999997E-2</v>
      </c>
      <c r="AC40" s="35">
        <f t="shared" si="49"/>
        <v>5.0999999999999997E-2</v>
      </c>
      <c r="AD40" s="35">
        <f t="shared" si="49"/>
        <v>5.0999999999999997E-2</v>
      </c>
      <c r="AE40" s="35">
        <f t="shared" si="49"/>
        <v>5.0999999999999997E-2</v>
      </c>
      <c r="AF40" s="35">
        <f t="shared" si="49"/>
        <v>5.0999999999999997E-2</v>
      </c>
      <c r="AG40" s="35">
        <f t="shared" si="49"/>
        <v>5.0999999999999997E-2</v>
      </c>
      <c r="AJ40" s="34" t="str">
        <f t="shared" si="33"/>
        <v>OilAverage</v>
      </c>
      <c r="AK40" s="34" t="s">
        <v>72</v>
      </c>
      <c r="AL40" s="34" t="s">
        <v>8</v>
      </c>
      <c r="AM40" s="34">
        <v>2030</v>
      </c>
      <c r="AN40" s="34">
        <f t="shared" si="34"/>
        <v>4.4220611718462102E-2</v>
      </c>
    </row>
    <row r="41" spans="1:40" x14ac:dyDescent="0.25">
      <c r="A41" s="34">
        <v>1000</v>
      </c>
      <c r="B41" t="s">
        <v>81</v>
      </c>
      <c r="C41"/>
      <c r="D41" t="s">
        <v>77</v>
      </c>
      <c r="E41" t="s">
        <v>8</v>
      </c>
      <c r="F41" t="str">
        <f t="shared" si="35"/>
        <v>HVOAverage</v>
      </c>
      <c r="G41" s="35">
        <f t="shared" ref="G41:AG41" si="50">G17/$A41</f>
        <v>7.8E-2</v>
      </c>
      <c r="H41" s="35">
        <f t="shared" si="50"/>
        <v>7.8E-2</v>
      </c>
      <c r="I41" s="35">
        <f t="shared" si="50"/>
        <v>7.8E-2</v>
      </c>
      <c r="J41" s="35">
        <f t="shared" si="50"/>
        <v>7.8E-2</v>
      </c>
      <c r="K41" s="35">
        <f t="shared" si="50"/>
        <v>7.8E-2</v>
      </c>
      <c r="L41" s="35">
        <f t="shared" si="50"/>
        <v>7.8E-2</v>
      </c>
      <c r="M41" s="35">
        <f t="shared" si="50"/>
        <v>7.8E-2</v>
      </c>
      <c r="N41" s="35">
        <f t="shared" si="50"/>
        <v>7.8E-2</v>
      </c>
      <c r="O41" s="35">
        <f t="shared" si="50"/>
        <v>7.8E-2</v>
      </c>
      <c r="P41" s="35">
        <f t="shared" si="50"/>
        <v>7.8E-2</v>
      </c>
      <c r="Q41" s="35">
        <f t="shared" si="50"/>
        <v>7.8E-2</v>
      </c>
      <c r="R41" s="35">
        <f t="shared" si="50"/>
        <v>7.8E-2</v>
      </c>
      <c r="S41" s="35">
        <f t="shared" si="50"/>
        <v>7.8E-2</v>
      </c>
      <c r="T41" s="35">
        <f t="shared" si="50"/>
        <v>7.8E-2</v>
      </c>
      <c r="U41" s="35">
        <f t="shared" si="50"/>
        <v>7.8E-2</v>
      </c>
      <c r="V41" s="35">
        <f t="shared" si="50"/>
        <v>7.8E-2</v>
      </c>
      <c r="W41" s="35">
        <f t="shared" si="50"/>
        <v>7.8E-2</v>
      </c>
      <c r="X41" s="35">
        <f t="shared" si="50"/>
        <v>7.8E-2</v>
      </c>
      <c r="Y41" s="35">
        <f t="shared" si="50"/>
        <v>7.8E-2</v>
      </c>
      <c r="Z41" s="35">
        <f t="shared" si="50"/>
        <v>7.8E-2</v>
      </c>
      <c r="AA41" s="35">
        <f t="shared" si="50"/>
        <v>7.8E-2</v>
      </c>
      <c r="AB41" s="35">
        <f t="shared" si="50"/>
        <v>7.8E-2</v>
      </c>
      <c r="AC41" s="35">
        <f t="shared" si="50"/>
        <v>7.8E-2</v>
      </c>
      <c r="AD41" s="35">
        <f t="shared" si="50"/>
        <v>7.8E-2</v>
      </c>
      <c r="AE41" s="35">
        <f t="shared" si="50"/>
        <v>7.8E-2</v>
      </c>
      <c r="AF41" s="35">
        <f t="shared" si="50"/>
        <v>7.8E-2</v>
      </c>
      <c r="AG41" s="35">
        <f t="shared" si="50"/>
        <v>7.8E-2</v>
      </c>
      <c r="AJ41" s="34" t="str">
        <f t="shared" si="33"/>
        <v>OilAverage</v>
      </c>
      <c r="AK41" s="34" t="s">
        <v>72</v>
      </c>
      <c r="AL41" s="34" t="s">
        <v>8</v>
      </c>
      <c r="AM41" s="34">
        <v>2031</v>
      </c>
      <c r="AN41" s="34">
        <f t="shared" si="34"/>
        <v>4.4220611718462102E-2</v>
      </c>
    </row>
    <row r="42" spans="1:40" x14ac:dyDescent="0.25">
      <c r="A42" s="34">
        <v>1000</v>
      </c>
      <c r="B42" t="s">
        <v>81</v>
      </c>
      <c r="C42"/>
      <c r="D42" t="s">
        <v>77</v>
      </c>
      <c r="E42" t="s">
        <v>75</v>
      </c>
      <c r="F42" t="str">
        <f t="shared" si="35"/>
        <v>HVOLow</v>
      </c>
      <c r="G42" s="35">
        <f t="shared" ref="G42" si="51">G18/$A42</f>
        <v>7.8E-2</v>
      </c>
      <c r="H42" s="35">
        <f t="shared" ref="H42:AG42" si="52">H18/$A42</f>
        <v>8.0166666666666678E-2</v>
      </c>
      <c r="I42" s="35">
        <f t="shared" si="52"/>
        <v>8.2333333333333328E-2</v>
      </c>
      <c r="J42" s="35">
        <f t="shared" si="52"/>
        <v>8.4500000000000006E-2</v>
      </c>
      <c r="K42" s="35">
        <f t="shared" si="52"/>
        <v>8.666666666666667E-2</v>
      </c>
      <c r="L42" s="35">
        <f t="shared" si="52"/>
        <v>8.8833333333333334E-2</v>
      </c>
      <c r="M42" s="35">
        <f t="shared" si="52"/>
        <v>9.0999999999999998E-2</v>
      </c>
      <c r="N42" s="35">
        <f t="shared" si="52"/>
        <v>9.0999999999999998E-2</v>
      </c>
      <c r="O42" s="35">
        <f t="shared" si="52"/>
        <v>9.0999999999999998E-2</v>
      </c>
      <c r="P42" s="35">
        <f t="shared" si="52"/>
        <v>9.0999999999999998E-2</v>
      </c>
      <c r="Q42" s="35">
        <f t="shared" si="52"/>
        <v>9.0999999999999998E-2</v>
      </c>
      <c r="R42" s="35">
        <f t="shared" si="52"/>
        <v>9.0999999999999998E-2</v>
      </c>
      <c r="S42" s="35">
        <f t="shared" si="52"/>
        <v>9.0999999999999998E-2</v>
      </c>
      <c r="T42" s="35">
        <f t="shared" si="52"/>
        <v>9.0999999999999998E-2</v>
      </c>
      <c r="U42" s="35">
        <f t="shared" si="52"/>
        <v>9.0999999999999998E-2</v>
      </c>
      <c r="V42" s="35">
        <f t="shared" si="52"/>
        <v>9.0999999999999998E-2</v>
      </c>
      <c r="W42" s="35">
        <f t="shared" si="52"/>
        <v>9.0999999999999998E-2</v>
      </c>
      <c r="X42" s="35">
        <f t="shared" si="52"/>
        <v>9.0999999999999998E-2</v>
      </c>
      <c r="Y42" s="35">
        <f t="shared" si="52"/>
        <v>9.0999999999999998E-2</v>
      </c>
      <c r="Z42" s="35">
        <f t="shared" si="52"/>
        <v>9.0999999999999998E-2</v>
      </c>
      <c r="AA42" s="35">
        <f t="shared" si="52"/>
        <v>9.0999999999999998E-2</v>
      </c>
      <c r="AB42" s="35">
        <f t="shared" si="52"/>
        <v>9.0999999999999998E-2</v>
      </c>
      <c r="AC42" s="35">
        <f t="shared" si="52"/>
        <v>9.0999999999999998E-2</v>
      </c>
      <c r="AD42" s="35">
        <f t="shared" si="52"/>
        <v>9.0999999999999998E-2</v>
      </c>
      <c r="AE42" s="35">
        <f t="shared" si="52"/>
        <v>9.0999999999999998E-2</v>
      </c>
      <c r="AF42" s="35">
        <f t="shared" si="52"/>
        <v>9.0999999999999998E-2</v>
      </c>
      <c r="AG42" s="35">
        <f t="shared" si="52"/>
        <v>9.0999999999999998E-2</v>
      </c>
      <c r="AJ42" s="34" t="str">
        <f t="shared" si="33"/>
        <v>OilAverage</v>
      </c>
      <c r="AK42" s="34" t="s">
        <v>72</v>
      </c>
      <c r="AL42" s="34" t="s">
        <v>8</v>
      </c>
      <c r="AM42" s="34">
        <v>2032</v>
      </c>
      <c r="AN42" s="34">
        <f t="shared" si="34"/>
        <v>4.3667854071981323E-2</v>
      </c>
    </row>
    <row r="43" spans="1:40" x14ac:dyDescent="0.25">
      <c r="A43" s="34">
        <v>33.299999999999997</v>
      </c>
      <c r="B43" t="s">
        <v>81</v>
      </c>
      <c r="D43" t="s">
        <v>97</v>
      </c>
      <c r="E43" t="s">
        <v>74</v>
      </c>
      <c r="F43" t="str">
        <f t="shared" ref="F43:F45" si="53">D43&amp;E43</f>
        <v>H2High</v>
      </c>
      <c r="G43" s="35">
        <f t="shared" ref="G43:AG43" si="54">G19/$A43</f>
        <v>0.40540540540540543</v>
      </c>
      <c r="H43" s="35">
        <f t="shared" si="54"/>
        <v>0.33213213213213216</v>
      </c>
      <c r="I43" s="35">
        <f t="shared" si="54"/>
        <v>0.30630630630630629</v>
      </c>
      <c r="J43" s="35">
        <f t="shared" si="54"/>
        <v>0.2801801801801802</v>
      </c>
      <c r="K43" s="35">
        <f t="shared" si="54"/>
        <v>0.25435435435435438</v>
      </c>
      <c r="L43" s="35">
        <f t="shared" si="54"/>
        <v>0.22852852852852856</v>
      </c>
      <c r="M43" s="35">
        <f t="shared" si="54"/>
        <v>0.40540540540540543</v>
      </c>
      <c r="N43" s="35">
        <f t="shared" si="54"/>
        <v>0.20510510510510513</v>
      </c>
      <c r="O43" s="35">
        <f t="shared" si="54"/>
        <v>0.20780780780780783</v>
      </c>
      <c r="P43" s="35">
        <f t="shared" si="54"/>
        <v>0.21021021021021022</v>
      </c>
      <c r="Q43" s="35">
        <f t="shared" si="54"/>
        <v>0.21291291291291292</v>
      </c>
      <c r="R43" s="35">
        <f t="shared" si="54"/>
        <v>0.28581081081081083</v>
      </c>
      <c r="S43" s="35">
        <f t="shared" si="54"/>
        <v>0.18708708708708713</v>
      </c>
      <c r="T43" s="35">
        <f t="shared" si="54"/>
        <v>0.18948948948948949</v>
      </c>
      <c r="U43" s="35">
        <f t="shared" si="54"/>
        <v>0.19219219219219222</v>
      </c>
      <c r="V43" s="35">
        <f t="shared" si="54"/>
        <v>0.19489489489489492</v>
      </c>
      <c r="W43" s="35">
        <f t="shared" si="54"/>
        <v>0.16621621621621621</v>
      </c>
      <c r="X43" s="35">
        <f t="shared" si="54"/>
        <v>0.16606606606606608</v>
      </c>
      <c r="Y43" s="35">
        <f t="shared" si="54"/>
        <v>0.16576576576576577</v>
      </c>
      <c r="Z43" s="35">
        <f t="shared" si="54"/>
        <v>0.16516516516516519</v>
      </c>
      <c r="AA43" s="35">
        <f t="shared" si="54"/>
        <v>0.16486486486486487</v>
      </c>
      <c r="AB43" s="35">
        <f t="shared" si="54"/>
        <v>0.16456456456456459</v>
      </c>
      <c r="AC43" s="35">
        <f t="shared" si="54"/>
        <v>0.16396396396396398</v>
      </c>
      <c r="AD43" s="35">
        <f t="shared" si="54"/>
        <v>0.16366366366366369</v>
      </c>
      <c r="AE43" s="35">
        <f t="shared" si="54"/>
        <v>0.16306306306306306</v>
      </c>
      <c r="AF43" s="35">
        <f t="shared" si="54"/>
        <v>0.16276276276276277</v>
      </c>
      <c r="AG43" s="35">
        <f t="shared" si="54"/>
        <v>6.8148648648648641E-2</v>
      </c>
      <c r="AJ43" s="34" t="str">
        <f t="shared" si="33"/>
        <v>OilAverage</v>
      </c>
      <c r="AK43" s="34" t="s">
        <v>72</v>
      </c>
      <c r="AL43" s="34" t="s">
        <v>8</v>
      </c>
      <c r="AM43" s="34">
        <v>2033</v>
      </c>
      <c r="AN43" s="34">
        <f t="shared" si="34"/>
        <v>4.311509642550055E-2</v>
      </c>
    </row>
    <row r="44" spans="1:40" x14ac:dyDescent="0.25">
      <c r="A44" s="34">
        <v>33.299999999999997</v>
      </c>
      <c r="B44" t="s">
        <v>81</v>
      </c>
      <c r="D44" t="s">
        <v>97</v>
      </c>
      <c r="E44" t="s">
        <v>8</v>
      </c>
      <c r="F44" t="str">
        <f t="shared" si="53"/>
        <v>H2Average</v>
      </c>
      <c r="G44" s="35">
        <f t="shared" ref="G44:AG44" si="55">G20/$A44</f>
        <v>0.28978978978978981</v>
      </c>
      <c r="H44" s="35">
        <f t="shared" si="55"/>
        <v>0.23933933933933935</v>
      </c>
      <c r="I44" s="35">
        <f t="shared" si="55"/>
        <v>0.21771771771771772</v>
      </c>
      <c r="J44" s="35">
        <f t="shared" si="55"/>
        <v>0.19639639639639642</v>
      </c>
      <c r="K44" s="35">
        <f t="shared" si="55"/>
        <v>0.17507507507507508</v>
      </c>
      <c r="L44" s="35">
        <f t="shared" si="55"/>
        <v>0.15405405405405406</v>
      </c>
      <c r="M44" s="35">
        <f t="shared" si="55"/>
        <v>0.28978978978978981</v>
      </c>
      <c r="N44" s="35">
        <f t="shared" si="55"/>
        <v>0.13243243243243244</v>
      </c>
      <c r="O44" s="35">
        <f t="shared" si="55"/>
        <v>0.13183183183183184</v>
      </c>
      <c r="P44" s="35">
        <f t="shared" si="55"/>
        <v>0.13123123123123123</v>
      </c>
      <c r="Q44" s="35">
        <f t="shared" si="55"/>
        <v>0.13063063063063063</v>
      </c>
      <c r="R44" s="35">
        <f t="shared" si="55"/>
        <v>0.20430180180180182</v>
      </c>
      <c r="S44" s="35">
        <f t="shared" si="55"/>
        <v>0.12972972972972974</v>
      </c>
      <c r="T44" s="35">
        <f t="shared" si="55"/>
        <v>0.12912912912912913</v>
      </c>
      <c r="U44" s="35">
        <f t="shared" si="55"/>
        <v>0.12882882882882885</v>
      </c>
      <c r="V44" s="35">
        <f t="shared" si="55"/>
        <v>0.12822822822822821</v>
      </c>
      <c r="W44" s="35">
        <f t="shared" si="55"/>
        <v>0.11881381381381383</v>
      </c>
      <c r="X44" s="35">
        <f t="shared" si="55"/>
        <v>0.12732732732732735</v>
      </c>
      <c r="Y44" s="35">
        <f t="shared" si="55"/>
        <v>0.12702702702702706</v>
      </c>
      <c r="Z44" s="35">
        <f t="shared" si="55"/>
        <v>0.12642642642642643</v>
      </c>
      <c r="AA44" s="35">
        <f t="shared" si="55"/>
        <v>0.12612612612612614</v>
      </c>
      <c r="AB44" s="35">
        <f t="shared" si="55"/>
        <v>0.12552552552552554</v>
      </c>
      <c r="AC44" s="35">
        <f t="shared" si="55"/>
        <v>0.12522522522522522</v>
      </c>
      <c r="AD44" s="35">
        <f t="shared" si="55"/>
        <v>0.12492492492492493</v>
      </c>
      <c r="AE44" s="35">
        <f t="shared" si="55"/>
        <v>0.12432432432432433</v>
      </c>
      <c r="AF44" s="35">
        <f t="shared" si="55"/>
        <v>0.12402402402402403</v>
      </c>
      <c r="AG44" s="35">
        <f t="shared" si="55"/>
        <v>4.8713663663663663E-2</v>
      </c>
      <c r="AJ44" s="34" t="str">
        <f t="shared" si="33"/>
        <v>OilAverage</v>
      </c>
      <c r="AK44" s="34" t="s">
        <v>72</v>
      </c>
      <c r="AL44" s="34" t="s">
        <v>8</v>
      </c>
      <c r="AM44" s="34">
        <v>2034</v>
      </c>
      <c r="AN44" s="34">
        <f t="shared" si="34"/>
        <v>4.256233877901977E-2</v>
      </c>
    </row>
    <row r="45" spans="1:40" x14ac:dyDescent="0.25">
      <c r="A45" s="34">
        <v>33.299999999999997</v>
      </c>
      <c r="B45" t="s">
        <v>81</v>
      </c>
      <c r="D45" s="34" t="s">
        <v>97</v>
      </c>
      <c r="E45" t="s">
        <v>75</v>
      </c>
      <c r="F45" t="str">
        <f t="shared" si="53"/>
        <v>H2Low</v>
      </c>
      <c r="G45" s="35">
        <f t="shared" ref="G45:AG45" si="56">G21/$A45</f>
        <v>0.17417417417417419</v>
      </c>
      <c r="H45" s="35">
        <f t="shared" si="56"/>
        <v>0.21591591591591594</v>
      </c>
      <c r="I45" s="35">
        <f t="shared" si="56"/>
        <v>0.19459459459459463</v>
      </c>
      <c r="J45" s="35">
        <f t="shared" si="56"/>
        <v>0.17327327327327327</v>
      </c>
      <c r="K45" s="35">
        <f t="shared" si="56"/>
        <v>0.15195195195195196</v>
      </c>
      <c r="L45" s="35">
        <f t="shared" si="56"/>
        <v>0.13093093093093094</v>
      </c>
      <c r="M45" s="35">
        <f t="shared" si="56"/>
        <v>0.17417417417417419</v>
      </c>
      <c r="N45" s="35">
        <f t="shared" si="56"/>
        <v>0.10900900900900902</v>
      </c>
      <c r="O45" s="35">
        <f t="shared" si="56"/>
        <v>0.10840840840840842</v>
      </c>
      <c r="P45" s="35">
        <f t="shared" si="56"/>
        <v>0.10810810810810811</v>
      </c>
      <c r="Q45" s="35">
        <f t="shared" si="56"/>
        <v>0.10750750750750752</v>
      </c>
      <c r="R45" s="35">
        <f t="shared" si="56"/>
        <v>0.12279279279279279</v>
      </c>
      <c r="S45" s="35">
        <f t="shared" si="56"/>
        <v>0.10630630630630632</v>
      </c>
      <c r="T45" s="35">
        <f t="shared" si="56"/>
        <v>0.10600600600600601</v>
      </c>
      <c r="U45" s="35">
        <f t="shared" si="56"/>
        <v>0.10540540540540541</v>
      </c>
      <c r="V45" s="35">
        <f t="shared" si="56"/>
        <v>0.10510510510510511</v>
      </c>
      <c r="W45" s="35">
        <f t="shared" si="56"/>
        <v>7.1411411411411413E-2</v>
      </c>
      <c r="X45" s="35">
        <f t="shared" si="56"/>
        <v>0.10870870870870872</v>
      </c>
      <c r="Y45" s="35">
        <f t="shared" si="56"/>
        <v>0.11291291291291292</v>
      </c>
      <c r="Z45" s="35">
        <f t="shared" si="56"/>
        <v>0.11711711711711713</v>
      </c>
      <c r="AA45" s="35">
        <f t="shared" si="56"/>
        <v>0.12132132132132133</v>
      </c>
      <c r="AB45" s="35">
        <f t="shared" si="56"/>
        <v>0.12552552552552554</v>
      </c>
      <c r="AC45" s="35">
        <f t="shared" si="56"/>
        <v>0.12522522522522522</v>
      </c>
      <c r="AD45" s="35">
        <f t="shared" si="56"/>
        <v>0.12492492492492493</v>
      </c>
      <c r="AE45" s="35">
        <f t="shared" si="56"/>
        <v>0.12432432432432433</v>
      </c>
      <c r="AF45" s="35">
        <f t="shared" si="56"/>
        <v>0.12402402402402403</v>
      </c>
      <c r="AG45" s="35">
        <f t="shared" si="56"/>
        <v>2.9278678678678678E-2</v>
      </c>
      <c r="AJ45" s="34" t="str">
        <f t="shared" si="33"/>
        <v>OilAverage</v>
      </c>
      <c r="AK45" s="34" t="s">
        <v>72</v>
      </c>
      <c r="AL45" s="34" t="s">
        <v>8</v>
      </c>
      <c r="AM45" s="34">
        <v>2035</v>
      </c>
      <c r="AN45" s="34">
        <f t="shared" si="34"/>
        <v>4.2009581132539005E-2</v>
      </c>
    </row>
    <row r="46" spans="1:40" x14ac:dyDescent="0.25">
      <c r="AJ46" s="34" t="str">
        <f t="shared" si="33"/>
        <v>OilAverage</v>
      </c>
      <c r="AK46" s="34" t="s">
        <v>72</v>
      </c>
      <c r="AL46" s="34" t="s">
        <v>8</v>
      </c>
      <c r="AM46" s="34">
        <v>2036</v>
      </c>
      <c r="AN46" s="34">
        <f t="shared" si="34"/>
        <v>4.1456823486058225E-2</v>
      </c>
    </row>
    <row r="47" spans="1:40" x14ac:dyDescent="0.25">
      <c r="AJ47" s="34" t="str">
        <f t="shared" si="33"/>
        <v>OilAverage</v>
      </c>
      <c r="AK47" s="34" t="s">
        <v>72</v>
      </c>
      <c r="AL47" s="34" t="s">
        <v>8</v>
      </c>
      <c r="AM47" s="34">
        <v>2037</v>
      </c>
      <c r="AN47" s="34">
        <f t="shared" si="34"/>
        <v>4.0904065839577446E-2</v>
      </c>
    </row>
    <row r="48" spans="1:40" x14ac:dyDescent="0.25">
      <c r="AJ48" s="34" t="str">
        <f t="shared" si="33"/>
        <v>OilAverage</v>
      </c>
      <c r="AK48" s="34" t="s">
        <v>72</v>
      </c>
      <c r="AL48" s="34" t="s">
        <v>8</v>
      </c>
      <c r="AM48" s="34">
        <v>2038</v>
      </c>
      <c r="AN48" s="34">
        <f t="shared" si="34"/>
        <v>4.0351308193096673E-2</v>
      </c>
    </row>
    <row r="49" spans="2:40" x14ac:dyDescent="0.25">
      <c r="B49" s="34" t="s">
        <v>72</v>
      </c>
      <c r="C49" s="34">
        <v>10.75</v>
      </c>
      <c r="D49" s="34" t="s">
        <v>88</v>
      </c>
      <c r="E49" s="34">
        <f>C49*3.6</f>
        <v>38.700000000000003</v>
      </c>
      <c r="F49" s="34" t="s">
        <v>89</v>
      </c>
      <c r="G49" s="34">
        <f>E49/1000</f>
        <v>3.8700000000000005E-2</v>
      </c>
      <c r="H49" s="34" t="s">
        <v>90</v>
      </c>
      <c r="AJ49" s="34" t="str">
        <f t="shared" si="33"/>
        <v>OilAverage</v>
      </c>
      <c r="AK49" s="34" t="s">
        <v>72</v>
      </c>
      <c r="AL49" s="34" t="s">
        <v>8</v>
      </c>
      <c r="AM49" s="34">
        <v>2039</v>
      </c>
      <c r="AN49" s="34">
        <f t="shared" si="34"/>
        <v>3.9798550546615893E-2</v>
      </c>
    </row>
    <row r="50" spans="2:40" x14ac:dyDescent="0.25">
      <c r="B50" s="34" t="s">
        <v>25</v>
      </c>
      <c r="C50" s="34">
        <v>10.75</v>
      </c>
      <c r="D50" s="34" t="s">
        <v>88</v>
      </c>
      <c r="E50" s="34">
        <f t="shared" ref="E50:E52" si="57">C50*3.6</f>
        <v>38.700000000000003</v>
      </c>
      <c r="F50" s="34" t="s">
        <v>89</v>
      </c>
      <c r="G50" s="34">
        <f t="shared" ref="G50:G53" si="58">E50/1000</f>
        <v>3.8700000000000005E-2</v>
      </c>
      <c r="H50" s="34" t="s">
        <v>90</v>
      </c>
      <c r="AJ50" s="34" t="str">
        <f t="shared" si="33"/>
        <v>OilAverage</v>
      </c>
      <c r="AK50" s="34" t="s">
        <v>72</v>
      </c>
      <c r="AL50" s="34" t="s">
        <v>8</v>
      </c>
      <c r="AM50" s="34">
        <v>2040</v>
      </c>
      <c r="AN50" s="34">
        <f t="shared" si="34"/>
        <v>3.8693035253654341E-2</v>
      </c>
    </row>
    <row r="51" spans="2:40" x14ac:dyDescent="0.25">
      <c r="B51" s="34" t="s">
        <v>26</v>
      </c>
      <c r="C51" s="34">
        <v>0.15</v>
      </c>
      <c r="D51" s="34" t="s">
        <v>88</v>
      </c>
      <c r="E51" s="34">
        <f t="shared" si="57"/>
        <v>0.54</v>
      </c>
      <c r="F51" s="34" t="s">
        <v>89</v>
      </c>
      <c r="G51" s="34">
        <f t="shared" si="58"/>
        <v>5.4000000000000001E-4</v>
      </c>
      <c r="H51" s="34" t="s">
        <v>90</v>
      </c>
      <c r="AJ51" s="34" t="str">
        <f t="shared" si="33"/>
        <v>OilAverage</v>
      </c>
      <c r="AK51" s="34" t="s">
        <v>72</v>
      </c>
      <c r="AL51" s="34" t="s">
        <v>8</v>
      </c>
      <c r="AM51" s="34">
        <v>2041</v>
      </c>
      <c r="AN51" s="34">
        <f t="shared" si="34"/>
        <v>3.8693035253654341E-2</v>
      </c>
    </row>
    <row r="52" spans="2:40" x14ac:dyDescent="0.25">
      <c r="B52" s="34" t="s">
        <v>77</v>
      </c>
      <c r="C52" s="34">
        <v>0.15</v>
      </c>
      <c r="D52" s="34" t="s">
        <v>88</v>
      </c>
      <c r="E52" s="34">
        <f t="shared" si="57"/>
        <v>0.54</v>
      </c>
      <c r="F52" s="34" t="s">
        <v>89</v>
      </c>
      <c r="G52" s="34">
        <f t="shared" si="58"/>
        <v>5.4000000000000001E-4</v>
      </c>
      <c r="H52" s="34" t="s">
        <v>90</v>
      </c>
      <c r="AJ52" s="34" t="str">
        <f t="shared" si="33"/>
        <v>OilAverage</v>
      </c>
      <c r="AK52" s="34" t="s">
        <v>72</v>
      </c>
      <c r="AL52" s="34" t="s">
        <v>8</v>
      </c>
      <c r="AM52" s="34">
        <v>2042</v>
      </c>
      <c r="AN52" s="34">
        <f t="shared" si="34"/>
        <v>3.8385947672276134E-2</v>
      </c>
    </row>
    <row r="53" spans="2:40" x14ac:dyDescent="0.25">
      <c r="B53" s="34" t="s">
        <v>76</v>
      </c>
      <c r="C53" s="34">
        <v>10</v>
      </c>
      <c r="D53" s="34" t="s">
        <v>89</v>
      </c>
      <c r="E53" s="34">
        <f>C53</f>
        <v>10</v>
      </c>
      <c r="F53" s="34" t="str">
        <f>D53</f>
        <v>EUR/MWh</v>
      </c>
      <c r="G53" s="34">
        <f t="shared" si="58"/>
        <v>0.01</v>
      </c>
      <c r="H53" s="34" t="s">
        <v>90</v>
      </c>
      <c r="AJ53" s="34" t="str">
        <f t="shared" si="33"/>
        <v>OilAverage</v>
      </c>
      <c r="AK53" s="34" t="s">
        <v>72</v>
      </c>
      <c r="AL53" s="34" t="s">
        <v>8</v>
      </c>
      <c r="AM53" s="34">
        <v>2043</v>
      </c>
      <c r="AN53" s="34">
        <f t="shared" si="34"/>
        <v>3.807886009089792E-2</v>
      </c>
    </row>
    <row r="54" spans="2:40" x14ac:dyDescent="0.25">
      <c r="B54" s="34" t="s">
        <v>97</v>
      </c>
      <c r="C54" s="34">
        <v>0.15</v>
      </c>
      <c r="D54" s="34" t="s">
        <v>88</v>
      </c>
      <c r="E54" s="34">
        <f t="shared" ref="E54" si="59">C54*3.6</f>
        <v>0.54</v>
      </c>
      <c r="F54" s="34" t="s">
        <v>89</v>
      </c>
      <c r="G54" s="34">
        <f t="shared" ref="G54" si="60">E54/1000</f>
        <v>5.4000000000000001E-4</v>
      </c>
      <c r="H54" s="34" t="s">
        <v>90</v>
      </c>
      <c r="AJ54" s="34" t="str">
        <f t="shared" si="33"/>
        <v>OilAverage</v>
      </c>
      <c r="AK54" s="34" t="s">
        <v>72</v>
      </c>
      <c r="AL54" s="34" t="s">
        <v>8</v>
      </c>
      <c r="AM54" s="34">
        <v>2044</v>
      </c>
      <c r="AN54" s="34">
        <f t="shared" si="34"/>
        <v>3.7771772509519713E-2</v>
      </c>
    </row>
    <row r="55" spans="2:40" x14ac:dyDescent="0.25">
      <c r="AJ55" s="34" t="str">
        <f t="shared" si="33"/>
        <v>OilAverage</v>
      </c>
      <c r="AK55" s="34" t="s">
        <v>72</v>
      </c>
      <c r="AL55" s="34" t="s">
        <v>8</v>
      </c>
      <c r="AM55" s="34">
        <v>2045</v>
      </c>
      <c r="AN55" s="34">
        <f t="shared" si="34"/>
        <v>3.7464684928141506E-2</v>
      </c>
    </row>
    <row r="56" spans="2:40" x14ac:dyDescent="0.25">
      <c r="AJ56" s="34" t="str">
        <f t="shared" si="33"/>
        <v>OilAverage</v>
      </c>
      <c r="AK56" s="34" t="s">
        <v>72</v>
      </c>
      <c r="AL56" s="34" t="s">
        <v>8</v>
      </c>
      <c r="AM56" s="34">
        <v>2046</v>
      </c>
      <c r="AN56" s="34">
        <f t="shared" si="34"/>
        <v>3.7157597346763299E-2</v>
      </c>
    </row>
    <row r="57" spans="2:40" x14ac:dyDescent="0.25">
      <c r="AJ57" s="34" t="str">
        <f t="shared" si="33"/>
        <v>OilAverage</v>
      </c>
      <c r="AK57" s="34" t="s">
        <v>72</v>
      </c>
      <c r="AL57" s="34" t="s">
        <v>8</v>
      </c>
      <c r="AM57" s="34">
        <v>2047</v>
      </c>
      <c r="AN57" s="34">
        <f t="shared" si="34"/>
        <v>3.6850509765385085E-2</v>
      </c>
    </row>
    <row r="58" spans="2:40" x14ac:dyDescent="0.25">
      <c r="AJ58" s="34" t="str">
        <f t="shared" si="33"/>
        <v>OilAverage</v>
      </c>
      <c r="AK58" s="34" t="s">
        <v>72</v>
      </c>
      <c r="AL58" s="34" t="s">
        <v>8</v>
      </c>
      <c r="AM58" s="34">
        <v>2048</v>
      </c>
      <c r="AN58" s="34">
        <f t="shared" si="34"/>
        <v>3.6543422184006878E-2</v>
      </c>
    </row>
    <row r="59" spans="2:40" x14ac:dyDescent="0.25">
      <c r="AJ59" s="34" t="str">
        <f t="shared" si="33"/>
        <v>OilAverage</v>
      </c>
      <c r="AK59" s="34" t="s">
        <v>72</v>
      </c>
      <c r="AL59" s="34" t="s">
        <v>8</v>
      </c>
      <c r="AM59" s="34">
        <v>2049</v>
      </c>
      <c r="AN59" s="34">
        <f t="shared" si="34"/>
        <v>3.6236334602628671E-2</v>
      </c>
    </row>
    <row r="60" spans="2:40" x14ac:dyDescent="0.25">
      <c r="AJ60" s="34" t="str">
        <f t="shared" si="33"/>
        <v>OilAverage</v>
      </c>
      <c r="AK60" s="34" t="s">
        <v>72</v>
      </c>
      <c r="AL60" s="34" t="s">
        <v>8</v>
      </c>
      <c r="AM60" s="34">
        <v>2050</v>
      </c>
      <c r="AN60" s="34">
        <f t="shared" si="34"/>
        <v>3.562215943987225E-2</v>
      </c>
    </row>
    <row r="61" spans="2:40" x14ac:dyDescent="0.25">
      <c r="B61" s="34" t="s">
        <v>72</v>
      </c>
      <c r="C61" s="34">
        <v>0.15</v>
      </c>
      <c r="D61" s="34" t="s">
        <v>91</v>
      </c>
      <c r="E61" s="34">
        <f>C61*100</f>
        <v>15</v>
      </c>
      <c r="F61" s="34" t="s">
        <v>89</v>
      </c>
      <c r="G61" s="34">
        <f>E61/1000</f>
        <v>1.4999999999999999E-2</v>
      </c>
      <c r="H61" s="34" t="s">
        <v>90</v>
      </c>
      <c r="AJ61" s="34" t="str">
        <f t="shared" si="33"/>
        <v>OilLow</v>
      </c>
      <c r="AK61" s="34" t="s">
        <v>72</v>
      </c>
      <c r="AL61" s="34" t="s">
        <v>75</v>
      </c>
      <c r="AM61" s="34">
        <v>2024</v>
      </c>
      <c r="AN61" s="34">
        <f t="shared" si="34"/>
        <v>5.0362363346026284E-2</v>
      </c>
    </row>
    <row r="62" spans="2:40" x14ac:dyDescent="0.25">
      <c r="B62" s="34" t="s">
        <v>25</v>
      </c>
      <c r="C62" s="34">
        <v>0.65</v>
      </c>
      <c r="D62" s="34" t="s">
        <v>92</v>
      </c>
      <c r="E62" s="34">
        <f>(C62/15.75)*1000</f>
        <v>41.269841269841272</v>
      </c>
      <c r="F62" s="34" t="s">
        <v>89</v>
      </c>
      <c r="G62" s="34">
        <f t="shared" ref="G62:G65" si="61">E62/1000</f>
        <v>4.1269841269841276E-2</v>
      </c>
      <c r="H62" s="34" t="s">
        <v>90</v>
      </c>
      <c r="AJ62" s="34" t="str">
        <f t="shared" si="33"/>
        <v>OilLow</v>
      </c>
      <c r="AK62" s="34" t="s">
        <v>72</v>
      </c>
      <c r="AL62" s="34" t="s">
        <v>75</v>
      </c>
      <c r="AM62" s="34">
        <v>2025</v>
      </c>
      <c r="AN62" s="34">
        <f t="shared" si="34"/>
        <v>4.6267862260983506E-2</v>
      </c>
    </row>
    <row r="63" spans="2:40" x14ac:dyDescent="0.25">
      <c r="B63" s="34" t="s">
        <v>26</v>
      </c>
      <c r="C63" s="34">
        <v>0.65</v>
      </c>
      <c r="D63" s="34" t="s">
        <v>92</v>
      </c>
      <c r="E63" s="34">
        <f>(C63/15.75)*1000</f>
        <v>41.269841269841272</v>
      </c>
      <c r="F63" s="34" t="s">
        <v>89</v>
      </c>
      <c r="G63" s="34">
        <f t="shared" si="61"/>
        <v>4.1269841269841276E-2</v>
      </c>
      <c r="H63" s="34" t="s">
        <v>90</v>
      </c>
      <c r="AJ63" s="34" t="str">
        <f t="shared" si="33"/>
        <v>OilLow</v>
      </c>
      <c r="AK63" s="34" t="s">
        <v>72</v>
      </c>
      <c r="AL63" s="34" t="s">
        <v>75</v>
      </c>
      <c r="AM63" s="34">
        <v>2026</v>
      </c>
      <c r="AN63" s="34">
        <f t="shared" si="34"/>
        <v>4.2173361175940713E-2</v>
      </c>
    </row>
    <row r="64" spans="2:40" x14ac:dyDescent="0.25">
      <c r="B64" s="34" t="s">
        <v>77</v>
      </c>
      <c r="C64" s="34">
        <v>0.15</v>
      </c>
      <c r="D64" s="34" t="s">
        <v>88</v>
      </c>
      <c r="E64" s="34">
        <f>C64*100</f>
        <v>15</v>
      </c>
      <c r="F64" s="34" t="s">
        <v>89</v>
      </c>
      <c r="G64" s="34">
        <f t="shared" si="61"/>
        <v>1.4999999999999999E-2</v>
      </c>
      <c r="H64" s="34" t="s">
        <v>90</v>
      </c>
      <c r="AJ64" s="34" t="str">
        <f t="shared" si="33"/>
        <v>OilLow</v>
      </c>
      <c r="AK64" s="34" t="s">
        <v>72</v>
      </c>
      <c r="AL64" s="34" t="s">
        <v>75</v>
      </c>
      <c r="AM64" s="34">
        <v>2027</v>
      </c>
      <c r="AN64" s="34">
        <f t="shared" si="34"/>
        <v>3.807886009089792E-2</v>
      </c>
    </row>
    <row r="65" spans="2:40" x14ac:dyDescent="0.25">
      <c r="B65" s="34" t="s">
        <v>76</v>
      </c>
      <c r="C65" s="34">
        <v>50</v>
      </c>
      <c r="D65" s="34" t="s">
        <v>89</v>
      </c>
      <c r="E65" s="34">
        <f>C65</f>
        <v>50</v>
      </c>
      <c r="F65" s="34" t="str">
        <f>D65</f>
        <v>EUR/MWh</v>
      </c>
      <c r="G65" s="34">
        <f t="shared" si="61"/>
        <v>0.05</v>
      </c>
      <c r="H65" s="34" t="s">
        <v>90</v>
      </c>
      <c r="AJ65" s="34" t="str">
        <f t="shared" si="33"/>
        <v>OilLow</v>
      </c>
      <c r="AK65" s="34" t="s">
        <v>72</v>
      </c>
      <c r="AL65" s="34" t="s">
        <v>75</v>
      </c>
      <c r="AM65" s="34">
        <v>2028</v>
      </c>
      <c r="AN65" s="34">
        <f t="shared" si="34"/>
        <v>3.3984359005855135E-2</v>
      </c>
    </row>
    <row r="66" spans="2:40" x14ac:dyDescent="0.25">
      <c r="B66" s="34" t="s">
        <v>97</v>
      </c>
      <c r="C66" s="34">
        <v>0</v>
      </c>
      <c r="D66" s="34" t="s">
        <v>89</v>
      </c>
      <c r="E66" s="34">
        <f>C66</f>
        <v>0</v>
      </c>
      <c r="F66" s="34" t="str">
        <f>D66</f>
        <v>EUR/MWh</v>
      </c>
      <c r="G66" s="34">
        <f t="shared" ref="G66" si="62">E66/1000</f>
        <v>0</v>
      </c>
      <c r="H66" s="34" t="s">
        <v>90</v>
      </c>
      <c r="AJ66" s="34" t="str">
        <f t="shared" si="33"/>
        <v>OilLow</v>
      </c>
      <c r="AK66" s="34" t="s">
        <v>72</v>
      </c>
      <c r="AL66" s="34" t="s">
        <v>75</v>
      </c>
      <c r="AM66" s="34">
        <v>2029</v>
      </c>
      <c r="AN66" s="34">
        <f t="shared" si="34"/>
        <v>2.9889857920812345E-2</v>
      </c>
    </row>
    <row r="67" spans="2:40" x14ac:dyDescent="0.25">
      <c r="AJ67" s="34" t="str">
        <f t="shared" si="33"/>
        <v>OilLow</v>
      </c>
      <c r="AK67" s="34" t="s">
        <v>72</v>
      </c>
      <c r="AL67" s="34" t="s">
        <v>75</v>
      </c>
      <c r="AM67" s="34">
        <v>2030</v>
      </c>
      <c r="AN67" s="34">
        <f t="shared" si="34"/>
        <v>2.579535683576956E-2</v>
      </c>
    </row>
    <row r="68" spans="2:40" x14ac:dyDescent="0.25">
      <c r="AJ68" s="34" t="str">
        <f t="shared" si="33"/>
        <v>OilLow</v>
      </c>
      <c r="AK68" s="34" t="s">
        <v>72</v>
      </c>
      <c r="AL68" s="34" t="s">
        <v>75</v>
      </c>
      <c r="AM68" s="34">
        <v>2031</v>
      </c>
      <c r="AN68" s="34">
        <f t="shared" si="34"/>
        <v>2.579535683576956E-2</v>
      </c>
    </row>
    <row r="69" spans="2:40" x14ac:dyDescent="0.25">
      <c r="AJ69" s="34" t="str">
        <f t="shared" si="33"/>
        <v>OilLow</v>
      </c>
      <c r="AK69" s="34" t="s">
        <v>72</v>
      </c>
      <c r="AL69" s="34" t="s">
        <v>75</v>
      </c>
      <c r="AM69" s="34">
        <v>2032</v>
      </c>
      <c r="AN69" s="34">
        <f t="shared" si="34"/>
        <v>2.5058346640461856E-2</v>
      </c>
    </row>
    <row r="70" spans="2:40" x14ac:dyDescent="0.25">
      <c r="AJ70" s="34" t="str">
        <f t="shared" si="33"/>
        <v>OilLow</v>
      </c>
      <c r="AK70" s="34" t="s">
        <v>72</v>
      </c>
      <c r="AL70" s="34" t="s">
        <v>75</v>
      </c>
      <c r="AM70" s="34">
        <v>2033</v>
      </c>
      <c r="AN70" s="34">
        <f t="shared" si="34"/>
        <v>2.4321336445154159E-2</v>
      </c>
    </row>
    <row r="71" spans="2:40" x14ac:dyDescent="0.25">
      <c r="B71" s="36" t="s">
        <v>2</v>
      </c>
      <c r="C71" s="37">
        <v>2050</v>
      </c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AJ71" s="34" t="str">
        <f t="shared" si="33"/>
        <v>OilLow</v>
      </c>
      <c r="AK71" s="34" t="s">
        <v>72</v>
      </c>
      <c r="AL71" s="34" t="s">
        <v>75</v>
      </c>
      <c r="AM71" s="34">
        <v>2034</v>
      </c>
      <c r="AN71" s="34">
        <f t="shared" si="34"/>
        <v>2.3584326249846455E-2</v>
      </c>
    </row>
    <row r="72" spans="2:40" x14ac:dyDescent="0.25">
      <c r="B72" s="36" t="s">
        <v>3</v>
      </c>
      <c r="C72" t="s">
        <v>74</v>
      </c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AJ72" s="34" t="str">
        <f t="shared" ref="AJ72:AJ135" si="63">AK72&amp;AL72</f>
        <v>OilLow</v>
      </c>
      <c r="AK72" s="34" t="s">
        <v>72</v>
      </c>
      <c r="AL72" s="34" t="s">
        <v>75</v>
      </c>
      <c r="AM72" s="34">
        <v>2035</v>
      </c>
      <c r="AN72" s="34">
        <f t="shared" ref="AN72:AN135" si="64">INDEX($G$28:$AG$42,MATCH(AJ72,$F$28:$F$42,0),MATCH(AM72,$G$27:$AG$27,0))</f>
        <v>2.2847316054538755E-2</v>
      </c>
    </row>
    <row r="73" spans="2:40" x14ac:dyDescent="0.25"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AJ73" s="34" t="str">
        <f t="shared" si="63"/>
        <v>OilLow</v>
      </c>
      <c r="AK73" s="34" t="s">
        <v>72</v>
      </c>
      <c r="AL73" s="34" t="s">
        <v>75</v>
      </c>
      <c r="AM73" s="34">
        <v>2036</v>
      </c>
      <c r="AN73" s="34">
        <f t="shared" si="64"/>
        <v>2.2110305859231051E-2</v>
      </c>
    </row>
    <row r="74" spans="2:40" x14ac:dyDescent="0.25">
      <c r="B74" s="36" t="s">
        <v>83</v>
      </c>
      <c r="C74" t="s">
        <v>94</v>
      </c>
      <c r="D74" t="s">
        <v>96</v>
      </c>
      <c r="E74" t="s">
        <v>95</v>
      </c>
      <c r="F74"/>
      <c r="G74"/>
      <c r="H74"/>
      <c r="I74"/>
      <c r="J74"/>
      <c r="K74"/>
      <c r="L74"/>
      <c r="M74"/>
      <c r="N74"/>
      <c r="O74"/>
      <c r="P74"/>
      <c r="Q74"/>
      <c r="AJ74" s="34" t="str">
        <f t="shared" si="63"/>
        <v>OilLow</v>
      </c>
      <c r="AK74" s="34" t="s">
        <v>72</v>
      </c>
      <c r="AL74" s="34" t="s">
        <v>75</v>
      </c>
      <c r="AM74" s="34">
        <v>2037</v>
      </c>
      <c r="AN74" s="34">
        <f t="shared" si="64"/>
        <v>2.1373295663923347E-2</v>
      </c>
    </row>
    <row r="75" spans="2:40" x14ac:dyDescent="0.25">
      <c r="B75" s="37" t="s">
        <v>26</v>
      </c>
      <c r="C75" s="38">
        <v>0.12</v>
      </c>
      <c r="D75" s="38">
        <v>4.1269841269841276E-2</v>
      </c>
      <c r="E75" s="38">
        <v>5.4000000000000001E-4</v>
      </c>
      <c r="F75"/>
      <c r="G75"/>
      <c r="H75"/>
      <c r="I75"/>
      <c r="J75"/>
      <c r="K75"/>
      <c r="L75"/>
      <c r="M75"/>
      <c r="N75"/>
      <c r="O75"/>
      <c r="P75"/>
      <c r="Q75"/>
      <c r="AJ75" s="34" t="str">
        <f t="shared" si="63"/>
        <v>OilLow</v>
      </c>
      <c r="AK75" s="34" t="s">
        <v>72</v>
      </c>
      <c r="AL75" s="34" t="s">
        <v>75</v>
      </c>
      <c r="AM75" s="34">
        <v>2038</v>
      </c>
      <c r="AN75" s="34">
        <f t="shared" si="64"/>
        <v>2.063628546861565E-2</v>
      </c>
    </row>
    <row r="76" spans="2:40" x14ac:dyDescent="0.25">
      <c r="B76" s="37" t="s">
        <v>76</v>
      </c>
      <c r="C76" s="38">
        <v>0.1</v>
      </c>
      <c r="D76" s="38">
        <v>0.05</v>
      </c>
      <c r="E76" s="38">
        <v>0.01</v>
      </c>
      <c r="F76"/>
      <c r="G76"/>
      <c r="H76"/>
      <c r="I76"/>
      <c r="J76"/>
      <c r="K76"/>
      <c r="L76"/>
      <c r="M76"/>
      <c r="N76"/>
      <c r="O76"/>
      <c r="P76"/>
      <c r="Q76"/>
      <c r="AJ76" s="34" t="str">
        <f t="shared" si="63"/>
        <v>OilLow</v>
      </c>
      <c r="AK76" s="34" t="s">
        <v>72</v>
      </c>
      <c r="AL76" s="34" t="s">
        <v>75</v>
      </c>
      <c r="AM76" s="34">
        <v>2039</v>
      </c>
      <c r="AN76" s="34">
        <f t="shared" si="64"/>
        <v>1.9899275273307947E-2</v>
      </c>
    </row>
    <row r="77" spans="2:40" x14ac:dyDescent="0.25">
      <c r="B77" s="37" t="s">
        <v>97</v>
      </c>
      <c r="C77" s="38">
        <v>0.16246246246246249</v>
      </c>
      <c r="D77" s="38">
        <v>0</v>
      </c>
      <c r="E77" s="38">
        <v>5.4000000000000001E-4</v>
      </c>
      <c r="F77"/>
      <c r="G77"/>
      <c r="H77"/>
      <c r="I77"/>
      <c r="J77"/>
      <c r="K77"/>
      <c r="L77"/>
      <c r="M77"/>
      <c r="N77"/>
      <c r="O77"/>
      <c r="P77"/>
      <c r="Q77"/>
      <c r="AJ77" s="34" t="str">
        <f t="shared" si="63"/>
        <v>OilLow</v>
      </c>
      <c r="AK77" s="34" t="s">
        <v>72</v>
      </c>
      <c r="AL77" s="34" t="s">
        <v>75</v>
      </c>
      <c r="AM77" s="34">
        <v>2040</v>
      </c>
      <c r="AN77" s="34">
        <f t="shared" si="64"/>
        <v>1.8425254882692543E-2</v>
      </c>
    </row>
    <row r="78" spans="2:40" x14ac:dyDescent="0.25">
      <c r="B78" s="37" t="s">
        <v>77</v>
      </c>
      <c r="C78" s="38">
        <v>5.0999999999999997E-2</v>
      </c>
      <c r="D78" s="38">
        <v>1.4999999999999999E-2</v>
      </c>
      <c r="E78" s="38">
        <v>5.4000000000000001E-4</v>
      </c>
      <c r="F78"/>
      <c r="G78"/>
      <c r="H78"/>
      <c r="I78"/>
      <c r="J78"/>
      <c r="K78"/>
      <c r="L78"/>
      <c r="M78"/>
      <c r="N78"/>
      <c r="O78"/>
      <c r="P78"/>
      <c r="Q78"/>
      <c r="AJ78" s="34" t="str">
        <f t="shared" si="63"/>
        <v>OilLow</v>
      </c>
      <c r="AK78" s="34" t="s">
        <v>72</v>
      </c>
      <c r="AL78" s="34" t="s">
        <v>75</v>
      </c>
      <c r="AM78" s="34">
        <v>2041</v>
      </c>
      <c r="AN78" s="34">
        <f t="shared" si="64"/>
        <v>1.8425254882692543E-2</v>
      </c>
    </row>
    <row r="79" spans="2:40" x14ac:dyDescent="0.25">
      <c r="B79" s="37" t="s">
        <v>25</v>
      </c>
      <c r="C79" s="38">
        <v>2.6279863481228669E-2</v>
      </c>
      <c r="D79" s="38">
        <v>4.1269841269841276E-2</v>
      </c>
      <c r="E79" s="38">
        <v>3.8700000000000005E-2</v>
      </c>
      <c r="F79"/>
      <c r="G79"/>
      <c r="H79"/>
      <c r="I79"/>
      <c r="J79"/>
      <c r="K79"/>
      <c r="L79"/>
      <c r="M79"/>
      <c r="N79"/>
      <c r="O79"/>
      <c r="P79"/>
      <c r="Q79"/>
      <c r="AJ79" s="34" t="str">
        <f t="shared" si="63"/>
        <v>OilLow</v>
      </c>
      <c r="AK79" s="34" t="s">
        <v>72</v>
      </c>
      <c r="AL79" s="34" t="s">
        <v>75</v>
      </c>
      <c r="AM79" s="34">
        <v>2042</v>
      </c>
      <c r="AN79" s="34">
        <f t="shared" si="64"/>
        <v>1.8118167301314336E-2</v>
      </c>
    </row>
    <row r="80" spans="2:40" x14ac:dyDescent="0.25">
      <c r="B80" s="37" t="s">
        <v>72</v>
      </c>
      <c r="C80" s="38">
        <v>4.6063137206731358E-2</v>
      </c>
      <c r="D80" s="38">
        <v>1.4999999999999999E-2</v>
      </c>
      <c r="E80" s="38">
        <v>3.8700000000000005E-2</v>
      </c>
      <c r="F80"/>
      <c r="G80"/>
      <c r="H80"/>
      <c r="I80"/>
      <c r="J80"/>
      <c r="K80"/>
      <c r="L80"/>
      <c r="M80"/>
      <c r="N80"/>
      <c r="O80"/>
      <c r="P80"/>
      <c r="Q80"/>
      <c r="AJ80" s="34" t="str">
        <f t="shared" si="63"/>
        <v>OilLow</v>
      </c>
      <c r="AK80" s="34" t="s">
        <v>72</v>
      </c>
      <c r="AL80" s="34" t="s">
        <v>75</v>
      </c>
      <c r="AM80" s="34">
        <v>2043</v>
      </c>
      <c r="AN80" s="34">
        <f t="shared" si="64"/>
        <v>1.7811079719936125E-2</v>
      </c>
    </row>
    <row r="81" spans="2:40" x14ac:dyDescent="0.25">
      <c r="B81" s="37" t="s">
        <v>84</v>
      </c>
      <c r="C81" s="38">
        <v>0.50580546315042252</v>
      </c>
      <c r="D81" s="38">
        <v>0.16253968253968254</v>
      </c>
      <c r="E81" s="38">
        <v>8.9020000000000016E-2</v>
      </c>
      <c r="F81"/>
      <c r="G81"/>
      <c r="H81"/>
      <c r="I81"/>
      <c r="J81"/>
      <c r="K81"/>
      <c r="L81"/>
      <c r="M81"/>
      <c r="N81"/>
      <c r="O81"/>
      <c r="P81"/>
      <c r="Q81"/>
      <c r="AJ81" s="34" t="str">
        <f t="shared" si="63"/>
        <v>OilLow</v>
      </c>
      <c r="AK81" s="34" t="s">
        <v>72</v>
      </c>
      <c r="AL81" s="34" t="s">
        <v>75</v>
      </c>
      <c r="AM81" s="34">
        <v>2044</v>
      </c>
      <c r="AN81" s="34">
        <f t="shared" si="64"/>
        <v>1.7503992138557915E-2</v>
      </c>
    </row>
    <row r="82" spans="2:40" x14ac:dyDescent="0.25"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AJ82" s="34" t="str">
        <f t="shared" si="63"/>
        <v>OilLow</v>
      </c>
      <c r="AK82" s="34" t="s">
        <v>72</v>
      </c>
      <c r="AL82" s="34" t="s">
        <v>75</v>
      </c>
      <c r="AM82" s="34">
        <v>2045</v>
      </c>
      <c r="AN82" s="34">
        <f t="shared" si="64"/>
        <v>1.7196904557179708E-2</v>
      </c>
    </row>
    <row r="83" spans="2:40" x14ac:dyDescent="0.25"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AJ83" s="34" t="str">
        <f t="shared" si="63"/>
        <v>OilLow</v>
      </c>
      <c r="AK83" s="34" t="s">
        <v>72</v>
      </c>
      <c r="AL83" s="34" t="s">
        <v>75</v>
      </c>
      <c r="AM83" s="34">
        <v>2046</v>
      </c>
      <c r="AN83" s="34">
        <f t="shared" si="64"/>
        <v>1.6889816975801497E-2</v>
      </c>
    </row>
    <row r="84" spans="2:40" x14ac:dyDescent="0.25"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AJ84" s="34" t="str">
        <f t="shared" si="63"/>
        <v>OilLow</v>
      </c>
      <c r="AK84" s="34" t="s">
        <v>72</v>
      </c>
      <c r="AL84" s="34" t="s">
        <v>75</v>
      </c>
      <c r="AM84" s="34">
        <v>2047</v>
      </c>
      <c r="AN84" s="34">
        <f t="shared" si="64"/>
        <v>1.658272939442329E-2</v>
      </c>
    </row>
    <row r="85" spans="2:40" x14ac:dyDescent="0.25"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AJ85" s="34" t="str">
        <f t="shared" si="63"/>
        <v>OilLow</v>
      </c>
      <c r="AK85" s="34" t="s">
        <v>72</v>
      </c>
      <c r="AL85" s="34" t="s">
        <v>75</v>
      </c>
      <c r="AM85" s="34">
        <v>2048</v>
      </c>
      <c r="AN85" s="34">
        <f t="shared" si="64"/>
        <v>1.627564181304508E-2</v>
      </c>
    </row>
    <row r="86" spans="2:40" x14ac:dyDescent="0.25"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AJ86" s="34" t="str">
        <f t="shared" si="63"/>
        <v>OilLow</v>
      </c>
      <c r="AK86" s="34" t="s">
        <v>72</v>
      </c>
      <c r="AL86" s="34" t="s">
        <v>75</v>
      </c>
      <c r="AM86" s="34">
        <v>2049</v>
      </c>
      <c r="AN86" s="34">
        <f t="shared" si="64"/>
        <v>1.5968554231666873E-2</v>
      </c>
    </row>
    <row r="87" spans="2:40" x14ac:dyDescent="0.25"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AJ87" s="34" t="str">
        <f t="shared" si="63"/>
        <v>OilLow</v>
      </c>
      <c r="AK87" s="34" t="s">
        <v>72</v>
      </c>
      <c r="AL87" s="34" t="s">
        <v>75</v>
      </c>
      <c r="AM87" s="34">
        <v>2050</v>
      </c>
      <c r="AN87" s="34">
        <f t="shared" si="64"/>
        <v>1.5354379068910453E-2</v>
      </c>
    </row>
    <row r="88" spans="2:40" x14ac:dyDescent="0.25"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AJ88" s="34" t="str">
        <f t="shared" si="63"/>
        <v>NGHigh</v>
      </c>
      <c r="AK88" s="34" t="s">
        <v>25</v>
      </c>
      <c r="AL88" s="34" t="s">
        <v>74</v>
      </c>
      <c r="AM88" s="34">
        <v>2024</v>
      </c>
      <c r="AN88" s="34">
        <f t="shared" si="64"/>
        <v>4.1296928327645047E-2</v>
      </c>
    </row>
    <row r="89" spans="2:40" x14ac:dyDescent="0.25"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AJ89" s="34" t="str">
        <f t="shared" si="63"/>
        <v>NGHigh</v>
      </c>
      <c r="AK89" s="34" t="s">
        <v>25</v>
      </c>
      <c r="AL89" s="34" t="s">
        <v>74</v>
      </c>
      <c r="AM89" s="34">
        <v>2025</v>
      </c>
      <c r="AN89" s="34">
        <f t="shared" si="64"/>
        <v>3.811149032992036E-2</v>
      </c>
    </row>
    <row r="90" spans="2:40" x14ac:dyDescent="0.25"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AJ90" s="34" t="str">
        <f t="shared" si="63"/>
        <v>NGHigh</v>
      </c>
      <c r="AK90" s="34" t="s">
        <v>25</v>
      </c>
      <c r="AL90" s="34" t="s">
        <v>74</v>
      </c>
      <c r="AM90" s="34">
        <v>2026</v>
      </c>
      <c r="AN90" s="34">
        <f t="shared" si="64"/>
        <v>3.4926052332195673E-2</v>
      </c>
    </row>
    <row r="91" spans="2:40" x14ac:dyDescent="0.25"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AJ91" s="34" t="str">
        <f t="shared" si="63"/>
        <v>NGHigh</v>
      </c>
      <c r="AK91" s="34" t="s">
        <v>25</v>
      </c>
      <c r="AL91" s="34" t="s">
        <v>74</v>
      </c>
      <c r="AM91" s="34">
        <v>2027</v>
      </c>
      <c r="AN91" s="34">
        <f t="shared" si="64"/>
        <v>3.1740614334470993E-2</v>
      </c>
    </row>
    <row r="92" spans="2:40" x14ac:dyDescent="0.25"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AJ92" s="34" t="str">
        <f t="shared" si="63"/>
        <v>NGHigh</v>
      </c>
      <c r="AK92" s="34" t="s">
        <v>25</v>
      </c>
      <c r="AL92" s="34" t="s">
        <v>74</v>
      </c>
      <c r="AM92" s="34">
        <v>2028</v>
      </c>
      <c r="AN92" s="34">
        <f t="shared" si="64"/>
        <v>2.8555176336746303E-2</v>
      </c>
    </row>
    <row r="93" spans="2:40" x14ac:dyDescent="0.25">
      <c r="AJ93" s="34" t="str">
        <f t="shared" si="63"/>
        <v>NGHigh</v>
      </c>
      <c r="AK93" s="34" t="s">
        <v>25</v>
      </c>
      <c r="AL93" s="34" t="s">
        <v>74</v>
      </c>
      <c r="AM93" s="34">
        <v>2029</v>
      </c>
      <c r="AN93" s="34">
        <f t="shared" si="64"/>
        <v>2.5369738339021616E-2</v>
      </c>
    </row>
    <row r="94" spans="2:40" x14ac:dyDescent="0.25">
      <c r="AJ94" s="34" t="str">
        <f t="shared" si="63"/>
        <v>NGHigh</v>
      </c>
      <c r="AK94" s="34" t="s">
        <v>25</v>
      </c>
      <c r="AL94" s="34" t="s">
        <v>74</v>
      </c>
      <c r="AM94" s="34">
        <v>2030</v>
      </c>
      <c r="AN94" s="34">
        <f t="shared" si="64"/>
        <v>2.2184300341296929E-2</v>
      </c>
    </row>
    <row r="95" spans="2:40" x14ac:dyDescent="0.25">
      <c r="AJ95" s="34" t="str">
        <f t="shared" si="63"/>
        <v>NGHigh</v>
      </c>
      <c r="AK95" s="34" t="s">
        <v>25</v>
      </c>
      <c r="AL95" s="34" t="s">
        <v>74</v>
      </c>
      <c r="AM95" s="34">
        <v>2031</v>
      </c>
      <c r="AN95" s="34">
        <f t="shared" si="64"/>
        <v>2.2184300341296929E-2</v>
      </c>
    </row>
    <row r="96" spans="2:40" x14ac:dyDescent="0.25">
      <c r="AJ96" s="34" t="str">
        <f t="shared" si="63"/>
        <v>NGHigh</v>
      </c>
      <c r="AK96" s="34" t="s">
        <v>25</v>
      </c>
      <c r="AL96" s="34" t="s">
        <v>74</v>
      </c>
      <c r="AM96" s="34">
        <v>2032</v>
      </c>
      <c r="AN96" s="34">
        <f t="shared" si="64"/>
        <v>2.2559726962457338E-2</v>
      </c>
    </row>
    <row r="97" spans="36:40" x14ac:dyDescent="0.25">
      <c r="AJ97" s="34" t="str">
        <f t="shared" si="63"/>
        <v>NGHigh</v>
      </c>
      <c r="AK97" s="34" t="s">
        <v>25</v>
      </c>
      <c r="AL97" s="34" t="s">
        <v>74</v>
      </c>
      <c r="AM97" s="34">
        <v>2033</v>
      </c>
      <c r="AN97" s="34">
        <f t="shared" si="64"/>
        <v>2.2935153583617748E-2</v>
      </c>
    </row>
    <row r="98" spans="36:40" x14ac:dyDescent="0.25">
      <c r="AJ98" s="34" t="str">
        <f t="shared" si="63"/>
        <v>NGHigh</v>
      </c>
      <c r="AK98" s="34" t="s">
        <v>25</v>
      </c>
      <c r="AL98" s="34" t="s">
        <v>74</v>
      </c>
      <c r="AM98" s="34">
        <v>2034</v>
      </c>
      <c r="AN98" s="34">
        <f t="shared" si="64"/>
        <v>2.3310580204778157E-2</v>
      </c>
    </row>
    <row r="99" spans="36:40" x14ac:dyDescent="0.25">
      <c r="AJ99" s="34" t="str">
        <f t="shared" si="63"/>
        <v>NGHigh</v>
      </c>
      <c r="AK99" s="34" t="s">
        <v>25</v>
      </c>
      <c r="AL99" s="34" t="s">
        <v>74</v>
      </c>
      <c r="AM99" s="34">
        <v>2035</v>
      </c>
      <c r="AN99" s="34">
        <f t="shared" si="64"/>
        <v>2.3686006825938567E-2</v>
      </c>
    </row>
    <row r="100" spans="36:40" x14ac:dyDescent="0.25">
      <c r="AJ100" s="34" t="str">
        <f t="shared" si="63"/>
        <v>NGHigh</v>
      </c>
      <c r="AK100" s="34" t="s">
        <v>25</v>
      </c>
      <c r="AL100" s="34" t="s">
        <v>74</v>
      </c>
      <c r="AM100" s="34">
        <v>2036</v>
      </c>
      <c r="AN100" s="34">
        <f t="shared" si="64"/>
        <v>2.4061433447098976E-2</v>
      </c>
    </row>
    <row r="101" spans="36:40" x14ac:dyDescent="0.25">
      <c r="AJ101" s="34" t="str">
        <f t="shared" si="63"/>
        <v>NGHigh</v>
      </c>
      <c r="AK101" s="34" t="s">
        <v>25</v>
      </c>
      <c r="AL101" s="34" t="s">
        <v>74</v>
      </c>
      <c r="AM101" s="34">
        <v>2037</v>
      </c>
      <c r="AN101" s="34">
        <f t="shared" si="64"/>
        <v>2.4436860068259385E-2</v>
      </c>
    </row>
    <row r="102" spans="36:40" x14ac:dyDescent="0.25">
      <c r="AJ102" s="34" t="str">
        <f t="shared" si="63"/>
        <v>NGHigh</v>
      </c>
      <c r="AK102" s="34" t="s">
        <v>25</v>
      </c>
      <c r="AL102" s="34" t="s">
        <v>74</v>
      </c>
      <c r="AM102" s="34">
        <v>2038</v>
      </c>
      <c r="AN102" s="34">
        <f t="shared" si="64"/>
        <v>2.4812286689419795E-2</v>
      </c>
    </row>
    <row r="103" spans="36:40" x14ac:dyDescent="0.25">
      <c r="AJ103" s="34" t="str">
        <f t="shared" si="63"/>
        <v>NGHigh</v>
      </c>
      <c r="AK103" s="34" t="s">
        <v>25</v>
      </c>
      <c r="AL103" s="34" t="s">
        <v>74</v>
      </c>
      <c r="AM103" s="34">
        <v>2039</v>
      </c>
      <c r="AN103" s="34">
        <f t="shared" si="64"/>
        <v>2.5187713310580204E-2</v>
      </c>
    </row>
    <row r="104" spans="36:40" x14ac:dyDescent="0.25">
      <c r="AJ104" s="34" t="str">
        <f t="shared" si="63"/>
        <v>NGHigh</v>
      </c>
      <c r="AK104" s="34" t="s">
        <v>25</v>
      </c>
      <c r="AL104" s="34" t="s">
        <v>74</v>
      </c>
      <c r="AM104" s="34">
        <v>2040</v>
      </c>
      <c r="AN104" s="34">
        <f t="shared" si="64"/>
        <v>2.5938566552901023E-2</v>
      </c>
    </row>
    <row r="105" spans="36:40" x14ac:dyDescent="0.25">
      <c r="AJ105" s="34" t="str">
        <f t="shared" si="63"/>
        <v>NGHigh</v>
      </c>
      <c r="AK105" s="34" t="s">
        <v>25</v>
      </c>
      <c r="AL105" s="34" t="s">
        <v>74</v>
      </c>
      <c r="AM105" s="34">
        <v>2041</v>
      </c>
      <c r="AN105" s="34">
        <f t="shared" si="64"/>
        <v>2.5938566552901023E-2</v>
      </c>
    </row>
    <row r="106" spans="36:40" x14ac:dyDescent="0.25">
      <c r="AJ106" s="34" t="str">
        <f t="shared" si="63"/>
        <v>NGHigh</v>
      </c>
      <c r="AK106" s="34" t="s">
        <v>25</v>
      </c>
      <c r="AL106" s="34" t="s">
        <v>74</v>
      </c>
      <c r="AM106" s="34">
        <v>2042</v>
      </c>
      <c r="AN106" s="34">
        <f t="shared" si="64"/>
        <v>2.5972696245733787E-2</v>
      </c>
    </row>
    <row r="107" spans="36:40" x14ac:dyDescent="0.25">
      <c r="AJ107" s="34" t="str">
        <f t="shared" si="63"/>
        <v>NGHigh</v>
      </c>
      <c r="AK107" s="34" t="s">
        <v>25</v>
      </c>
      <c r="AL107" s="34" t="s">
        <v>74</v>
      </c>
      <c r="AM107" s="34">
        <v>2043</v>
      </c>
      <c r="AN107" s="34">
        <f t="shared" si="64"/>
        <v>2.6006825938566552E-2</v>
      </c>
    </row>
    <row r="108" spans="36:40" x14ac:dyDescent="0.25">
      <c r="AJ108" s="34" t="str">
        <f t="shared" si="63"/>
        <v>NGHigh</v>
      </c>
      <c r="AK108" s="34" t="s">
        <v>25</v>
      </c>
      <c r="AL108" s="34" t="s">
        <v>74</v>
      </c>
      <c r="AM108" s="34">
        <v>2044</v>
      </c>
      <c r="AN108" s="34">
        <f t="shared" si="64"/>
        <v>2.6040955631399316E-2</v>
      </c>
    </row>
    <row r="109" spans="36:40" x14ac:dyDescent="0.25">
      <c r="AJ109" s="34" t="str">
        <f t="shared" si="63"/>
        <v>NGHigh</v>
      </c>
      <c r="AK109" s="34" t="s">
        <v>25</v>
      </c>
      <c r="AL109" s="34" t="s">
        <v>74</v>
      </c>
      <c r="AM109" s="34">
        <v>2045</v>
      </c>
      <c r="AN109" s="34">
        <f t="shared" si="64"/>
        <v>2.607508532423208E-2</v>
      </c>
    </row>
    <row r="110" spans="36:40" x14ac:dyDescent="0.25">
      <c r="AJ110" s="34" t="str">
        <f t="shared" si="63"/>
        <v>NGHigh</v>
      </c>
      <c r="AK110" s="34" t="s">
        <v>25</v>
      </c>
      <c r="AL110" s="34" t="s">
        <v>74</v>
      </c>
      <c r="AM110" s="34">
        <v>2046</v>
      </c>
      <c r="AN110" s="34">
        <f t="shared" si="64"/>
        <v>2.6109215017064848E-2</v>
      </c>
    </row>
    <row r="111" spans="36:40" x14ac:dyDescent="0.25">
      <c r="AJ111" s="34" t="str">
        <f t="shared" si="63"/>
        <v>NGHigh</v>
      </c>
      <c r="AK111" s="34" t="s">
        <v>25</v>
      </c>
      <c r="AL111" s="34" t="s">
        <v>74</v>
      </c>
      <c r="AM111" s="34">
        <v>2047</v>
      </c>
      <c r="AN111" s="34">
        <f t="shared" si="64"/>
        <v>2.6143344709897612E-2</v>
      </c>
    </row>
    <row r="112" spans="36:40" x14ac:dyDescent="0.25">
      <c r="AJ112" s="34" t="str">
        <f t="shared" si="63"/>
        <v>NGHigh</v>
      </c>
      <c r="AK112" s="34" t="s">
        <v>25</v>
      </c>
      <c r="AL112" s="34" t="s">
        <v>74</v>
      </c>
      <c r="AM112" s="34">
        <v>2048</v>
      </c>
      <c r="AN112" s="34">
        <f t="shared" si="64"/>
        <v>2.6177474402730376E-2</v>
      </c>
    </row>
    <row r="113" spans="5:40" x14ac:dyDescent="0.25">
      <c r="AJ113" s="34" t="str">
        <f t="shared" si="63"/>
        <v>NGHigh</v>
      </c>
      <c r="AK113" s="34" t="s">
        <v>25</v>
      </c>
      <c r="AL113" s="34" t="s">
        <v>74</v>
      </c>
      <c r="AM113" s="34">
        <v>2049</v>
      </c>
      <c r="AN113" s="34">
        <f t="shared" si="64"/>
        <v>2.621160409556314E-2</v>
      </c>
    </row>
    <row r="114" spans="5:40" x14ac:dyDescent="0.25">
      <c r="AJ114" s="34" t="str">
        <f t="shared" si="63"/>
        <v>NGHigh</v>
      </c>
      <c r="AK114" s="34" t="s">
        <v>25</v>
      </c>
      <c r="AL114" s="34" t="s">
        <v>74</v>
      </c>
      <c r="AM114" s="34">
        <v>2050</v>
      </c>
      <c r="AN114" s="34">
        <f t="shared" si="64"/>
        <v>2.6279863481228669E-2</v>
      </c>
    </row>
    <row r="115" spans="5:40" x14ac:dyDescent="0.25">
      <c r="AJ115" s="34" t="str">
        <f t="shared" si="63"/>
        <v>NGAverage</v>
      </c>
      <c r="AK115" s="34" t="s">
        <v>25</v>
      </c>
      <c r="AL115" s="34" t="s">
        <v>8</v>
      </c>
      <c r="AM115" s="34">
        <v>2024</v>
      </c>
      <c r="AN115" s="34">
        <f t="shared" si="64"/>
        <v>4.1296928327645047E-2</v>
      </c>
    </row>
    <row r="116" spans="5:40" x14ac:dyDescent="0.25">
      <c r="AJ116" s="34" t="str">
        <f t="shared" si="63"/>
        <v>NGAverage</v>
      </c>
      <c r="AK116" s="34" t="s">
        <v>25</v>
      </c>
      <c r="AL116" s="34" t="s">
        <v>8</v>
      </c>
      <c r="AM116" s="34">
        <v>2025</v>
      </c>
      <c r="AN116" s="34">
        <f t="shared" si="64"/>
        <v>3.7827076222980656E-2</v>
      </c>
    </row>
    <row r="117" spans="5:40" x14ac:dyDescent="0.25">
      <c r="AJ117" s="34" t="str">
        <f t="shared" si="63"/>
        <v>NGAverage</v>
      </c>
      <c r="AK117" s="34" t="s">
        <v>25</v>
      </c>
      <c r="AL117" s="34" t="s">
        <v>8</v>
      </c>
      <c r="AM117" s="34">
        <v>2026</v>
      </c>
      <c r="AN117" s="34">
        <f t="shared" si="64"/>
        <v>3.4357224118316265E-2</v>
      </c>
    </row>
    <row r="118" spans="5:40" x14ac:dyDescent="0.25">
      <c r="AJ118" s="34" t="str">
        <f t="shared" si="63"/>
        <v>NGAverage</v>
      </c>
      <c r="AK118" s="34" t="s">
        <v>25</v>
      </c>
      <c r="AL118" s="34" t="s">
        <v>8</v>
      </c>
      <c r="AM118" s="34">
        <v>2027</v>
      </c>
      <c r="AN118" s="34">
        <f t="shared" si="64"/>
        <v>3.0887372013651878E-2</v>
      </c>
    </row>
    <row r="119" spans="5:40" x14ac:dyDescent="0.25">
      <c r="AJ119" s="34" t="str">
        <f t="shared" si="63"/>
        <v>NGAverage</v>
      </c>
      <c r="AK119" s="34" t="s">
        <v>25</v>
      </c>
      <c r="AL119" s="34" t="s">
        <v>8</v>
      </c>
      <c r="AM119" s="34">
        <v>2028</v>
      </c>
      <c r="AN119" s="34">
        <f t="shared" si="64"/>
        <v>2.7417519908987484E-2</v>
      </c>
    </row>
    <row r="120" spans="5:40" x14ac:dyDescent="0.25">
      <c r="AJ120" s="34" t="str">
        <f t="shared" si="63"/>
        <v>NGAverage</v>
      </c>
      <c r="AK120" s="34" t="s">
        <v>25</v>
      </c>
      <c r="AL120" s="34" t="s">
        <v>8</v>
      </c>
      <c r="AM120" s="34">
        <v>2029</v>
      </c>
      <c r="AN120" s="34">
        <f t="shared" si="64"/>
        <v>2.3947667804323093E-2</v>
      </c>
    </row>
    <row r="121" spans="5:40" x14ac:dyDescent="0.25">
      <c r="AJ121" s="34" t="str">
        <f t="shared" si="63"/>
        <v>NGAverage</v>
      </c>
      <c r="AK121" s="34" t="s">
        <v>25</v>
      </c>
      <c r="AL121" s="34" t="s">
        <v>8</v>
      </c>
      <c r="AM121" s="34">
        <v>2030</v>
      </c>
      <c r="AN121" s="34">
        <f t="shared" si="64"/>
        <v>2.0477815699658702E-2</v>
      </c>
    </row>
    <row r="122" spans="5:40" x14ac:dyDescent="0.25">
      <c r="AJ122" s="34" t="str">
        <f t="shared" si="63"/>
        <v>NGAverage</v>
      </c>
      <c r="AK122" s="34" t="s">
        <v>25</v>
      </c>
      <c r="AL122" s="34" t="s">
        <v>8</v>
      </c>
      <c r="AM122" s="34">
        <v>2031</v>
      </c>
      <c r="AN122" s="34">
        <f t="shared" si="64"/>
        <v>2.0477815699658702E-2</v>
      </c>
    </row>
    <row r="123" spans="5:40" x14ac:dyDescent="0.25">
      <c r="AJ123" s="34" t="str">
        <f t="shared" si="63"/>
        <v>NGAverage</v>
      </c>
      <c r="AK123" s="34" t="s">
        <v>25</v>
      </c>
      <c r="AL123" s="34" t="s">
        <v>8</v>
      </c>
      <c r="AM123" s="34">
        <v>2032</v>
      </c>
      <c r="AN123" s="34">
        <f t="shared" si="64"/>
        <v>2.0204778156996585E-2</v>
      </c>
    </row>
    <row r="124" spans="5:40" x14ac:dyDescent="0.25">
      <c r="E124" t="s">
        <v>82</v>
      </c>
      <c r="F124" t="s">
        <v>3</v>
      </c>
      <c r="G124" s="34">
        <v>2025</v>
      </c>
      <c r="H124" s="34">
        <v>2030</v>
      </c>
      <c r="I124" s="34">
        <v>2035</v>
      </c>
      <c r="J124" s="34">
        <v>2040</v>
      </c>
      <c r="AJ124" s="34" t="str">
        <f t="shared" si="63"/>
        <v>NGAverage</v>
      </c>
      <c r="AK124" s="34" t="s">
        <v>25</v>
      </c>
      <c r="AL124" s="34" t="s">
        <v>8</v>
      </c>
      <c r="AM124" s="34">
        <v>2033</v>
      </c>
      <c r="AN124" s="34">
        <f t="shared" si="64"/>
        <v>1.9931740614334472E-2</v>
      </c>
    </row>
    <row r="125" spans="5:40" x14ac:dyDescent="0.25">
      <c r="E125" t="s">
        <v>72</v>
      </c>
      <c r="F125" t="s">
        <v>74</v>
      </c>
      <c r="G125" s="34">
        <v>5.0055275764648077E-2</v>
      </c>
      <c r="H125" s="34">
        <v>4.8519837857757028E-2</v>
      </c>
      <c r="I125" s="34">
        <v>4.8028497727551897E-2</v>
      </c>
      <c r="J125" s="34">
        <v>4.7291487532244193E-2</v>
      </c>
      <c r="AJ125" s="34" t="str">
        <f t="shared" si="63"/>
        <v>NGAverage</v>
      </c>
      <c r="AK125" s="34" t="s">
        <v>25</v>
      </c>
      <c r="AL125" s="34" t="s">
        <v>8</v>
      </c>
      <c r="AM125" s="34">
        <v>2034</v>
      </c>
      <c r="AN125" s="34">
        <f t="shared" si="64"/>
        <v>1.9658703071672355E-2</v>
      </c>
    </row>
    <row r="126" spans="5:40" x14ac:dyDescent="0.25">
      <c r="E126" t="s">
        <v>72</v>
      </c>
      <c r="F126" t="s">
        <v>8</v>
      </c>
      <c r="G126" s="34">
        <v>4.9338738074765583E-2</v>
      </c>
      <c r="H126" s="34">
        <v>4.4220611718462102E-2</v>
      </c>
      <c r="I126" s="34">
        <v>4.2009581132539005E-2</v>
      </c>
      <c r="J126" s="34">
        <v>3.8693035253654341E-2</v>
      </c>
      <c r="AJ126" s="34" t="str">
        <f t="shared" si="63"/>
        <v>NGAverage</v>
      </c>
      <c r="AK126" s="34" t="s">
        <v>25</v>
      </c>
      <c r="AL126" s="34" t="s">
        <v>8</v>
      </c>
      <c r="AM126" s="34">
        <v>2035</v>
      </c>
      <c r="AN126" s="34">
        <f t="shared" si="64"/>
        <v>1.9385665529010238E-2</v>
      </c>
    </row>
    <row r="127" spans="5:40" x14ac:dyDescent="0.25">
      <c r="E127" t="s">
        <v>72</v>
      </c>
      <c r="F127" t="s">
        <v>75</v>
      </c>
      <c r="G127" s="34">
        <v>4.6267862260983506E-2</v>
      </c>
      <c r="H127" s="34">
        <v>2.579535683576956E-2</v>
      </c>
      <c r="I127" s="34">
        <v>2.2847316054538755E-2</v>
      </c>
      <c r="J127" s="34">
        <v>1.8425254882692543E-2</v>
      </c>
      <c r="AJ127" s="34" t="str">
        <f t="shared" si="63"/>
        <v>NGAverage</v>
      </c>
      <c r="AK127" s="34" t="s">
        <v>25</v>
      </c>
      <c r="AL127" s="34" t="s">
        <v>8</v>
      </c>
      <c r="AM127" s="34">
        <v>2036</v>
      </c>
      <c r="AN127" s="34">
        <f t="shared" si="64"/>
        <v>1.9112627986348121E-2</v>
      </c>
    </row>
    <row r="128" spans="5:40" x14ac:dyDescent="0.25">
      <c r="E128" t="s">
        <v>25</v>
      </c>
      <c r="F128" t="s">
        <v>74</v>
      </c>
      <c r="G128" s="34">
        <v>3.811149032992036E-2</v>
      </c>
      <c r="H128" s="34">
        <v>2.2184300341296929E-2</v>
      </c>
      <c r="I128" s="34">
        <v>2.3686006825938567E-2</v>
      </c>
      <c r="J128" s="34">
        <v>2.5938566552901023E-2</v>
      </c>
      <c r="AJ128" s="34" t="str">
        <f t="shared" si="63"/>
        <v>NGAverage</v>
      </c>
      <c r="AK128" s="34" t="s">
        <v>25</v>
      </c>
      <c r="AL128" s="34" t="s">
        <v>8</v>
      </c>
      <c r="AM128" s="34">
        <v>2037</v>
      </c>
      <c r="AN128" s="34">
        <f t="shared" si="64"/>
        <v>1.8839590443686008E-2</v>
      </c>
    </row>
    <row r="129" spans="5:40" x14ac:dyDescent="0.25">
      <c r="E129" t="s">
        <v>25</v>
      </c>
      <c r="F129" t="s">
        <v>8</v>
      </c>
      <c r="G129" s="34">
        <v>3.7827076222980656E-2</v>
      </c>
      <c r="H129" s="34">
        <v>2.0477815699658702E-2</v>
      </c>
      <c r="I129" s="34">
        <v>1.9385665529010238E-2</v>
      </c>
      <c r="J129" s="34">
        <v>1.7747440273037544E-2</v>
      </c>
      <c r="AJ129" s="34" t="str">
        <f t="shared" si="63"/>
        <v>NGAverage</v>
      </c>
      <c r="AK129" s="34" t="s">
        <v>25</v>
      </c>
      <c r="AL129" s="34" t="s">
        <v>8</v>
      </c>
      <c r="AM129" s="34">
        <v>2038</v>
      </c>
      <c r="AN129" s="34">
        <f t="shared" si="64"/>
        <v>1.8566552901023891E-2</v>
      </c>
    </row>
    <row r="130" spans="5:40" x14ac:dyDescent="0.25">
      <c r="E130" t="s">
        <v>25</v>
      </c>
      <c r="F130" t="s">
        <v>75</v>
      </c>
      <c r="G130" s="34">
        <v>3.6916951080773606E-2</v>
      </c>
      <c r="H130" s="34">
        <v>1.5017064846416383E-2</v>
      </c>
      <c r="I130" s="34">
        <v>1.460750853242321E-2</v>
      </c>
      <c r="J130" s="34">
        <v>1.3993174061433446E-2</v>
      </c>
      <c r="AJ130" s="34" t="str">
        <f t="shared" si="63"/>
        <v>NGAverage</v>
      </c>
      <c r="AK130" s="34" t="s">
        <v>25</v>
      </c>
      <c r="AL130" s="34" t="s">
        <v>8</v>
      </c>
      <c r="AM130" s="34">
        <v>2039</v>
      </c>
      <c r="AN130" s="34">
        <f t="shared" si="64"/>
        <v>1.8293515358361778E-2</v>
      </c>
    </row>
    <row r="131" spans="5:40" x14ac:dyDescent="0.25">
      <c r="E131" t="s">
        <v>76</v>
      </c>
      <c r="F131" t="s">
        <v>74</v>
      </c>
      <c r="G131" s="34">
        <v>0.2</v>
      </c>
      <c r="H131" s="34">
        <v>7.0000000000000007E-2</v>
      </c>
      <c r="I131" s="34">
        <v>7.0000000000000007E-2</v>
      </c>
      <c r="J131" s="34">
        <v>7.0000000000000007E-2</v>
      </c>
      <c r="AJ131" s="34" t="str">
        <f t="shared" si="63"/>
        <v>NGAverage</v>
      </c>
      <c r="AK131" s="34" t="s">
        <v>25</v>
      </c>
      <c r="AL131" s="34" t="s">
        <v>8</v>
      </c>
      <c r="AM131" s="34">
        <v>2040</v>
      </c>
      <c r="AN131" s="34">
        <f t="shared" si="64"/>
        <v>1.7747440273037544E-2</v>
      </c>
    </row>
    <row r="132" spans="5:40" x14ac:dyDescent="0.25">
      <c r="E132" t="s">
        <v>76</v>
      </c>
      <c r="F132" t="s">
        <v>8</v>
      </c>
      <c r="G132" s="34">
        <v>0.14000000000000001</v>
      </c>
      <c r="H132" s="34">
        <v>0.05</v>
      </c>
      <c r="I132" s="34">
        <v>0.05</v>
      </c>
      <c r="J132" s="34">
        <v>0.05</v>
      </c>
      <c r="AJ132" s="34" t="str">
        <f t="shared" si="63"/>
        <v>NGAverage</v>
      </c>
      <c r="AK132" s="34" t="s">
        <v>25</v>
      </c>
      <c r="AL132" s="34" t="s">
        <v>8</v>
      </c>
      <c r="AM132" s="34">
        <v>2041</v>
      </c>
      <c r="AN132" s="34">
        <f t="shared" si="64"/>
        <v>1.7747440273037544E-2</v>
      </c>
    </row>
    <row r="133" spans="5:40" x14ac:dyDescent="0.25">
      <c r="E133" t="s">
        <v>76</v>
      </c>
      <c r="F133" t="s">
        <v>75</v>
      </c>
      <c r="G133" s="34">
        <v>0.125</v>
      </c>
      <c r="H133" s="34">
        <v>0.04</v>
      </c>
      <c r="I133" s="34">
        <v>0.04</v>
      </c>
      <c r="J133" s="34">
        <v>0.04</v>
      </c>
      <c r="AJ133" s="34" t="str">
        <f t="shared" si="63"/>
        <v>NGAverage</v>
      </c>
      <c r="AK133" s="34" t="s">
        <v>25</v>
      </c>
      <c r="AL133" s="34" t="s">
        <v>8</v>
      </c>
      <c r="AM133" s="34">
        <v>2042</v>
      </c>
      <c r="AN133" s="34">
        <f t="shared" si="64"/>
        <v>1.7747440273037544E-2</v>
      </c>
    </row>
    <row r="134" spans="5:40" x14ac:dyDescent="0.25">
      <c r="E134" t="s">
        <v>26</v>
      </c>
      <c r="F134" t="s">
        <v>74</v>
      </c>
      <c r="G134" s="34">
        <v>7.8333333333333324E-2</v>
      </c>
      <c r="H134" s="34">
        <v>0.12</v>
      </c>
      <c r="I134" s="34">
        <v>0.12</v>
      </c>
      <c r="J134" s="34">
        <v>0.12</v>
      </c>
      <c r="AJ134" s="34" t="str">
        <f t="shared" si="63"/>
        <v>NGAverage</v>
      </c>
      <c r="AK134" s="34" t="s">
        <v>25</v>
      </c>
      <c r="AL134" s="34" t="s">
        <v>8</v>
      </c>
      <c r="AM134" s="34">
        <v>2043</v>
      </c>
      <c r="AN134" s="34">
        <f t="shared" si="64"/>
        <v>1.7747440273037544E-2</v>
      </c>
    </row>
    <row r="135" spans="5:40" x14ac:dyDescent="0.25">
      <c r="E135" t="s">
        <v>26</v>
      </c>
      <c r="F135" t="s">
        <v>8</v>
      </c>
      <c r="G135" s="34">
        <v>7.3333333333333334E-2</v>
      </c>
      <c r="H135" s="34">
        <v>0.09</v>
      </c>
      <c r="I135" s="34">
        <v>0.09</v>
      </c>
      <c r="J135" s="34">
        <v>0.09</v>
      </c>
      <c r="AJ135" s="34" t="str">
        <f t="shared" si="63"/>
        <v>NGAverage</v>
      </c>
      <c r="AK135" s="34" t="s">
        <v>25</v>
      </c>
      <c r="AL135" s="34" t="s">
        <v>8</v>
      </c>
      <c r="AM135" s="34">
        <v>2044</v>
      </c>
      <c r="AN135" s="34">
        <f t="shared" si="64"/>
        <v>1.7747440273037544E-2</v>
      </c>
    </row>
    <row r="136" spans="5:40" x14ac:dyDescent="0.25">
      <c r="E136" t="s">
        <v>26</v>
      </c>
      <c r="F136" t="s">
        <v>75</v>
      </c>
      <c r="G136" s="34">
        <v>6.5000000000000002E-2</v>
      </c>
      <c r="H136" s="34">
        <v>0.04</v>
      </c>
      <c r="I136" s="34">
        <v>0.04</v>
      </c>
      <c r="J136" s="34">
        <v>0.04</v>
      </c>
      <c r="AJ136" s="34" t="str">
        <f t="shared" ref="AJ136:AJ199" si="65">AK136&amp;AL136</f>
        <v>NGAverage</v>
      </c>
      <c r="AK136" s="34" t="s">
        <v>25</v>
      </c>
      <c r="AL136" s="34" t="s">
        <v>8</v>
      </c>
      <c r="AM136" s="34">
        <v>2045</v>
      </c>
      <c r="AN136" s="34">
        <f t="shared" ref="AN136:AN199" si="66">INDEX($G$28:$AG$42,MATCH(AJ136,$F$28:$F$42,0),MATCH(AM136,$G$27:$AG$27,0))</f>
        <v>1.7747440273037544E-2</v>
      </c>
    </row>
    <row r="137" spans="5:40" x14ac:dyDescent="0.25">
      <c r="E137" t="s">
        <v>77</v>
      </c>
      <c r="F137" t="s">
        <v>74</v>
      </c>
      <c r="G137" s="34">
        <v>7.3499999999999996E-2</v>
      </c>
      <c r="H137" s="34">
        <v>5.0999999999999997E-2</v>
      </c>
      <c r="I137" s="34">
        <v>5.0999999999999997E-2</v>
      </c>
      <c r="J137" s="34">
        <v>5.0999999999999997E-2</v>
      </c>
      <c r="AJ137" s="34" t="str">
        <f t="shared" si="65"/>
        <v>NGAverage</v>
      </c>
      <c r="AK137" s="34" t="s">
        <v>25</v>
      </c>
      <c r="AL137" s="34" t="s">
        <v>8</v>
      </c>
      <c r="AM137" s="34">
        <v>2046</v>
      </c>
      <c r="AN137" s="34">
        <f t="shared" si="66"/>
        <v>1.7747440273037544E-2</v>
      </c>
    </row>
    <row r="138" spans="5:40" x14ac:dyDescent="0.25">
      <c r="E138" t="s">
        <v>77</v>
      </c>
      <c r="F138" t="s">
        <v>8</v>
      </c>
      <c r="G138" s="34">
        <v>7.8E-2</v>
      </c>
      <c r="H138" s="34">
        <v>7.8E-2</v>
      </c>
      <c r="I138" s="34">
        <v>7.8E-2</v>
      </c>
      <c r="J138" s="34">
        <v>7.8E-2</v>
      </c>
      <c r="AJ138" s="34" t="str">
        <f t="shared" si="65"/>
        <v>NGAverage</v>
      </c>
      <c r="AK138" s="34" t="s">
        <v>25</v>
      </c>
      <c r="AL138" s="34" t="s">
        <v>8</v>
      </c>
      <c r="AM138" s="34">
        <v>2047</v>
      </c>
      <c r="AN138" s="34">
        <f t="shared" si="66"/>
        <v>1.7747440273037544E-2</v>
      </c>
    </row>
    <row r="139" spans="5:40" x14ac:dyDescent="0.25">
      <c r="E139" t="s">
        <v>77</v>
      </c>
      <c r="F139" t="s">
        <v>75</v>
      </c>
      <c r="G139" s="34">
        <v>8.0166666666666678E-2</v>
      </c>
      <c r="H139" s="34">
        <v>9.0999999999999998E-2</v>
      </c>
      <c r="I139" s="34">
        <v>9.0999999999999998E-2</v>
      </c>
      <c r="J139" s="34">
        <v>9.0999999999999998E-2</v>
      </c>
      <c r="AJ139" s="34" t="str">
        <f t="shared" si="65"/>
        <v>NGAverage</v>
      </c>
      <c r="AK139" s="34" t="s">
        <v>25</v>
      </c>
      <c r="AL139" s="34" t="s">
        <v>8</v>
      </c>
      <c r="AM139" s="34">
        <v>2048</v>
      </c>
      <c r="AN139" s="34">
        <f t="shared" si="66"/>
        <v>1.7747440273037544E-2</v>
      </c>
    </row>
    <row r="140" spans="5:40" x14ac:dyDescent="0.25">
      <c r="E140" t="s">
        <v>97</v>
      </c>
      <c r="F140" t="s">
        <v>74</v>
      </c>
      <c r="G140" s="34">
        <v>0.33213213213213216</v>
      </c>
      <c r="H140" s="34">
        <v>0.40540540540540543</v>
      </c>
      <c r="I140" s="34">
        <v>0.28581081081081083</v>
      </c>
      <c r="J140" s="34">
        <v>0.16621621621621621</v>
      </c>
      <c r="AJ140" s="34" t="str">
        <f t="shared" si="65"/>
        <v>NGAverage</v>
      </c>
      <c r="AK140" s="34" t="s">
        <v>25</v>
      </c>
      <c r="AL140" s="34" t="s">
        <v>8</v>
      </c>
      <c r="AM140" s="34">
        <v>2049</v>
      </c>
      <c r="AN140" s="34">
        <f t="shared" si="66"/>
        <v>1.7747440273037544E-2</v>
      </c>
    </row>
    <row r="141" spans="5:40" x14ac:dyDescent="0.25">
      <c r="E141" t="s">
        <v>97</v>
      </c>
      <c r="F141" t="s">
        <v>8</v>
      </c>
      <c r="G141" s="34">
        <v>0.23933933933933935</v>
      </c>
      <c r="H141" s="34">
        <v>0.28978978978978981</v>
      </c>
      <c r="I141" s="34">
        <v>0.20430180180180182</v>
      </c>
      <c r="J141" s="34">
        <v>0.11881381381381383</v>
      </c>
      <c r="AJ141" s="34" t="str">
        <f t="shared" si="65"/>
        <v>NGAverage</v>
      </c>
      <c r="AK141" s="34" t="s">
        <v>25</v>
      </c>
      <c r="AL141" s="34" t="s">
        <v>8</v>
      </c>
      <c r="AM141" s="34">
        <v>2050</v>
      </c>
      <c r="AN141" s="34">
        <f t="shared" si="66"/>
        <v>1.7747440273037544E-2</v>
      </c>
    </row>
    <row r="142" spans="5:40" x14ac:dyDescent="0.25">
      <c r="E142" s="34" t="s">
        <v>97</v>
      </c>
      <c r="F142" t="s">
        <v>75</v>
      </c>
      <c r="G142" s="34">
        <v>0.21591591591591594</v>
      </c>
      <c r="H142" s="34">
        <v>0.17417417417417419</v>
      </c>
      <c r="I142" s="34">
        <v>0.12279279279279279</v>
      </c>
      <c r="J142" s="34">
        <v>7.1411411411411413E-2</v>
      </c>
      <c r="AJ142" s="34" t="str">
        <f t="shared" si="65"/>
        <v>NGLow</v>
      </c>
      <c r="AK142" s="34" t="s">
        <v>25</v>
      </c>
      <c r="AL142" s="34" t="s">
        <v>75</v>
      </c>
      <c r="AM142" s="34">
        <v>2024</v>
      </c>
      <c r="AN142" s="34">
        <f t="shared" si="66"/>
        <v>4.1296928327645047E-2</v>
      </c>
    </row>
    <row r="143" spans="5:40" x14ac:dyDescent="0.25">
      <c r="AJ143" s="34" t="str">
        <f t="shared" si="65"/>
        <v>NGLow</v>
      </c>
      <c r="AK143" s="34" t="s">
        <v>25</v>
      </c>
      <c r="AL143" s="34" t="s">
        <v>75</v>
      </c>
      <c r="AM143" s="34">
        <v>2025</v>
      </c>
      <c r="AN143" s="34">
        <f t="shared" si="66"/>
        <v>3.6916951080773606E-2</v>
      </c>
    </row>
    <row r="144" spans="5:40" x14ac:dyDescent="0.25">
      <c r="AJ144" s="34" t="str">
        <f t="shared" si="65"/>
        <v>NGLow</v>
      </c>
      <c r="AK144" s="34" t="s">
        <v>25</v>
      </c>
      <c r="AL144" s="34" t="s">
        <v>75</v>
      </c>
      <c r="AM144" s="34">
        <v>2026</v>
      </c>
      <c r="AN144" s="34">
        <f t="shared" si="66"/>
        <v>3.2536973833902159E-2</v>
      </c>
    </row>
    <row r="145" spans="36:40" x14ac:dyDescent="0.25">
      <c r="AJ145" s="34" t="str">
        <f t="shared" si="65"/>
        <v>NGLow</v>
      </c>
      <c r="AK145" s="34" t="s">
        <v>25</v>
      </c>
      <c r="AL145" s="34" t="s">
        <v>75</v>
      </c>
      <c r="AM145" s="34">
        <v>2027</v>
      </c>
      <c r="AN145" s="34">
        <f t="shared" si="66"/>
        <v>2.8156996587030716E-2</v>
      </c>
    </row>
    <row r="146" spans="36:40" x14ac:dyDescent="0.25">
      <c r="AJ146" s="34" t="str">
        <f t="shared" si="65"/>
        <v>NGLow</v>
      </c>
      <c r="AK146" s="34" t="s">
        <v>25</v>
      </c>
      <c r="AL146" s="34" t="s">
        <v>75</v>
      </c>
      <c r="AM146" s="34">
        <v>2028</v>
      </c>
      <c r="AN146" s="34">
        <f t="shared" si="66"/>
        <v>2.3777019340159272E-2</v>
      </c>
    </row>
    <row r="147" spans="36:40" x14ac:dyDescent="0.25">
      <c r="AJ147" s="34" t="str">
        <f t="shared" si="65"/>
        <v>NGLow</v>
      </c>
      <c r="AK147" s="34" t="s">
        <v>25</v>
      </c>
      <c r="AL147" s="34" t="s">
        <v>75</v>
      </c>
      <c r="AM147" s="34">
        <v>2029</v>
      </c>
      <c r="AN147" s="34">
        <f t="shared" si="66"/>
        <v>1.9397042093287829E-2</v>
      </c>
    </row>
    <row r="148" spans="36:40" x14ac:dyDescent="0.25">
      <c r="AJ148" s="34" t="str">
        <f t="shared" si="65"/>
        <v>NGLow</v>
      </c>
      <c r="AK148" s="34" t="s">
        <v>25</v>
      </c>
      <c r="AL148" s="34" t="s">
        <v>75</v>
      </c>
      <c r="AM148" s="34">
        <v>2030</v>
      </c>
      <c r="AN148" s="34">
        <f t="shared" si="66"/>
        <v>1.5017064846416383E-2</v>
      </c>
    </row>
    <row r="149" spans="36:40" x14ac:dyDescent="0.25">
      <c r="AJ149" s="34" t="str">
        <f t="shared" si="65"/>
        <v>NGLow</v>
      </c>
      <c r="AK149" s="34" t="s">
        <v>25</v>
      </c>
      <c r="AL149" s="34" t="s">
        <v>75</v>
      </c>
      <c r="AM149" s="34">
        <v>2031</v>
      </c>
      <c r="AN149" s="34">
        <f t="shared" si="66"/>
        <v>1.5017064846416383E-2</v>
      </c>
    </row>
    <row r="150" spans="36:40" x14ac:dyDescent="0.25">
      <c r="AJ150" s="34" t="str">
        <f t="shared" si="65"/>
        <v>NGLow</v>
      </c>
      <c r="AK150" s="34" t="s">
        <v>25</v>
      </c>
      <c r="AL150" s="34" t="s">
        <v>75</v>
      </c>
      <c r="AM150" s="34">
        <v>2032</v>
      </c>
      <c r="AN150" s="34">
        <f t="shared" si="66"/>
        <v>1.4914675767918089E-2</v>
      </c>
    </row>
    <row r="151" spans="36:40" x14ac:dyDescent="0.25">
      <c r="AJ151" s="34" t="str">
        <f t="shared" si="65"/>
        <v>NGLow</v>
      </c>
      <c r="AK151" s="34" t="s">
        <v>25</v>
      </c>
      <c r="AL151" s="34" t="s">
        <v>75</v>
      </c>
      <c r="AM151" s="34">
        <v>2033</v>
      </c>
      <c r="AN151" s="34">
        <f t="shared" si="66"/>
        <v>1.4812286689419795E-2</v>
      </c>
    </row>
    <row r="152" spans="36:40" x14ac:dyDescent="0.25">
      <c r="AJ152" s="34" t="str">
        <f t="shared" si="65"/>
        <v>NGLow</v>
      </c>
      <c r="AK152" s="34" t="s">
        <v>25</v>
      </c>
      <c r="AL152" s="34" t="s">
        <v>75</v>
      </c>
      <c r="AM152" s="34">
        <v>2034</v>
      </c>
      <c r="AN152" s="34">
        <f t="shared" si="66"/>
        <v>1.4709897610921504E-2</v>
      </c>
    </row>
    <row r="153" spans="36:40" x14ac:dyDescent="0.25">
      <c r="AJ153" s="34" t="str">
        <f t="shared" si="65"/>
        <v>NGLow</v>
      </c>
      <c r="AK153" s="34" t="s">
        <v>25</v>
      </c>
      <c r="AL153" s="34" t="s">
        <v>75</v>
      </c>
      <c r="AM153" s="34">
        <v>2035</v>
      </c>
      <c r="AN153" s="34">
        <f t="shared" si="66"/>
        <v>1.460750853242321E-2</v>
      </c>
    </row>
    <row r="154" spans="36:40" x14ac:dyDescent="0.25">
      <c r="AJ154" s="34" t="str">
        <f t="shared" si="65"/>
        <v>NGLow</v>
      </c>
      <c r="AK154" s="34" t="s">
        <v>25</v>
      </c>
      <c r="AL154" s="34" t="s">
        <v>75</v>
      </c>
      <c r="AM154" s="34">
        <v>2036</v>
      </c>
      <c r="AN154" s="34">
        <f t="shared" si="66"/>
        <v>1.4505119453924915E-2</v>
      </c>
    </row>
    <row r="155" spans="36:40" x14ac:dyDescent="0.25">
      <c r="AJ155" s="34" t="str">
        <f t="shared" si="65"/>
        <v>NGLow</v>
      </c>
      <c r="AK155" s="34" t="s">
        <v>25</v>
      </c>
      <c r="AL155" s="34" t="s">
        <v>75</v>
      </c>
      <c r="AM155" s="34">
        <v>2037</v>
      </c>
      <c r="AN155" s="34">
        <f t="shared" si="66"/>
        <v>1.4402730375426621E-2</v>
      </c>
    </row>
    <row r="156" spans="36:40" x14ac:dyDescent="0.25">
      <c r="AJ156" s="34" t="str">
        <f t="shared" si="65"/>
        <v>NGLow</v>
      </c>
      <c r="AK156" s="34" t="s">
        <v>25</v>
      </c>
      <c r="AL156" s="34" t="s">
        <v>75</v>
      </c>
      <c r="AM156" s="34">
        <v>2038</v>
      </c>
      <c r="AN156" s="34">
        <f t="shared" si="66"/>
        <v>1.4300341296928327E-2</v>
      </c>
    </row>
    <row r="157" spans="36:40" x14ac:dyDescent="0.25">
      <c r="AJ157" s="34" t="str">
        <f t="shared" si="65"/>
        <v>NGLow</v>
      </c>
      <c r="AK157" s="34" t="s">
        <v>25</v>
      </c>
      <c r="AL157" s="34" t="s">
        <v>75</v>
      </c>
      <c r="AM157" s="34">
        <v>2039</v>
      </c>
      <c r="AN157" s="34">
        <f t="shared" si="66"/>
        <v>1.4197952218430034E-2</v>
      </c>
    </row>
    <row r="158" spans="36:40" x14ac:dyDescent="0.25">
      <c r="AJ158" s="34" t="str">
        <f t="shared" si="65"/>
        <v>NGLow</v>
      </c>
      <c r="AK158" s="34" t="s">
        <v>25</v>
      </c>
      <c r="AL158" s="34" t="s">
        <v>75</v>
      </c>
      <c r="AM158" s="34">
        <v>2040</v>
      </c>
      <c r="AN158" s="34">
        <f t="shared" si="66"/>
        <v>1.3993174061433446E-2</v>
      </c>
    </row>
    <row r="159" spans="36:40" x14ac:dyDescent="0.25">
      <c r="AJ159" s="34" t="str">
        <f t="shared" si="65"/>
        <v>NGLow</v>
      </c>
      <c r="AK159" s="34" t="s">
        <v>25</v>
      </c>
      <c r="AL159" s="34" t="s">
        <v>75</v>
      </c>
      <c r="AM159" s="34">
        <v>2041</v>
      </c>
      <c r="AN159" s="34">
        <f t="shared" si="66"/>
        <v>1.3993174061433446E-2</v>
      </c>
    </row>
    <row r="160" spans="36:40" x14ac:dyDescent="0.25">
      <c r="AJ160" s="34" t="str">
        <f t="shared" si="65"/>
        <v>NGLow</v>
      </c>
      <c r="AK160" s="34" t="s">
        <v>25</v>
      </c>
      <c r="AL160" s="34" t="s">
        <v>75</v>
      </c>
      <c r="AM160" s="34">
        <v>2042</v>
      </c>
      <c r="AN160" s="34">
        <f t="shared" si="66"/>
        <v>1.3959044368600682E-2</v>
      </c>
    </row>
    <row r="161" spans="36:40" x14ac:dyDescent="0.25">
      <c r="AJ161" s="34" t="str">
        <f t="shared" si="65"/>
        <v>NGLow</v>
      </c>
      <c r="AK161" s="34" t="s">
        <v>25</v>
      </c>
      <c r="AL161" s="34" t="s">
        <v>75</v>
      </c>
      <c r="AM161" s="34">
        <v>2043</v>
      </c>
      <c r="AN161" s="34">
        <f t="shared" si="66"/>
        <v>1.3924914675767919E-2</v>
      </c>
    </row>
    <row r="162" spans="36:40" x14ac:dyDescent="0.25">
      <c r="AJ162" s="34" t="str">
        <f t="shared" si="65"/>
        <v>NGLow</v>
      </c>
      <c r="AK162" s="34" t="s">
        <v>25</v>
      </c>
      <c r="AL162" s="34" t="s">
        <v>75</v>
      </c>
      <c r="AM162" s="34">
        <v>2044</v>
      </c>
      <c r="AN162" s="34">
        <f t="shared" si="66"/>
        <v>1.3890784982935151E-2</v>
      </c>
    </row>
    <row r="163" spans="36:40" x14ac:dyDescent="0.25">
      <c r="AJ163" s="34" t="str">
        <f t="shared" si="65"/>
        <v>NGLow</v>
      </c>
      <c r="AK163" s="34" t="s">
        <v>25</v>
      </c>
      <c r="AL163" s="34" t="s">
        <v>75</v>
      </c>
      <c r="AM163" s="34">
        <v>2045</v>
      </c>
      <c r="AN163" s="34">
        <f t="shared" si="66"/>
        <v>1.3856655290102387E-2</v>
      </c>
    </row>
    <row r="164" spans="36:40" x14ac:dyDescent="0.25">
      <c r="AJ164" s="34" t="str">
        <f t="shared" si="65"/>
        <v>NGLow</v>
      </c>
      <c r="AK164" s="34" t="s">
        <v>25</v>
      </c>
      <c r="AL164" s="34" t="s">
        <v>75</v>
      </c>
      <c r="AM164" s="34">
        <v>2046</v>
      </c>
      <c r="AN164" s="34">
        <f t="shared" si="66"/>
        <v>1.3822525597269625E-2</v>
      </c>
    </row>
    <row r="165" spans="36:40" x14ac:dyDescent="0.25">
      <c r="AJ165" s="34" t="str">
        <f t="shared" si="65"/>
        <v>NGLow</v>
      </c>
      <c r="AK165" s="34" t="s">
        <v>25</v>
      </c>
      <c r="AL165" s="34" t="s">
        <v>75</v>
      </c>
      <c r="AM165" s="34">
        <v>2047</v>
      </c>
      <c r="AN165" s="34">
        <f t="shared" si="66"/>
        <v>1.3788395904436861E-2</v>
      </c>
    </row>
    <row r="166" spans="36:40" x14ac:dyDescent="0.25">
      <c r="AJ166" s="34" t="str">
        <f t="shared" si="65"/>
        <v>NGLow</v>
      </c>
      <c r="AK166" s="34" t="s">
        <v>25</v>
      </c>
      <c r="AL166" s="34" t="s">
        <v>75</v>
      </c>
      <c r="AM166" s="34">
        <v>2048</v>
      </c>
      <c r="AN166" s="34">
        <f t="shared" si="66"/>
        <v>1.3754266211604096E-2</v>
      </c>
    </row>
    <row r="167" spans="36:40" x14ac:dyDescent="0.25">
      <c r="AJ167" s="34" t="str">
        <f t="shared" si="65"/>
        <v>NGLow</v>
      </c>
      <c r="AK167" s="34" t="s">
        <v>25</v>
      </c>
      <c r="AL167" s="34" t="s">
        <v>75</v>
      </c>
      <c r="AM167" s="34">
        <v>2049</v>
      </c>
      <c r="AN167" s="34">
        <f t="shared" si="66"/>
        <v>1.3720136518771329E-2</v>
      </c>
    </row>
    <row r="168" spans="36:40" x14ac:dyDescent="0.25">
      <c r="AJ168" s="34" t="str">
        <f t="shared" si="65"/>
        <v>NGLow</v>
      </c>
      <c r="AK168" s="34" t="s">
        <v>25</v>
      </c>
      <c r="AL168" s="34" t="s">
        <v>75</v>
      </c>
      <c r="AM168" s="34">
        <v>2050</v>
      </c>
      <c r="AN168" s="34">
        <f t="shared" si="66"/>
        <v>1.3651877133105802E-2</v>
      </c>
    </row>
    <row r="169" spans="36:40" x14ac:dyDescent="0.25">
      <c r="AJ169" s="34" t="str">
        <f t="shared" si="65"/>
        <v>ElectricityHigh</v>
      </c>
      <c r="AK169" s="34" t="s">
        <v>76</v>
      </c>
      <c r="AL169" s="34" t="s">
        <v>74</v>
      </c>
      <c r="AM169" s="34">
        <v>2024</v>
      </c>
      <c r="AN169" s="34">
        <f t="shared" si="66"/>
        <v>0.184</v>
      </c>
    </row>
    <row r="170" spans="36:40" x14ac:dyDescent="0.25">
      <c r="AJ170" s="34" t="str">
        <f t="shared" si="65"/>
        <v>ElectricityHigh</v>
      </c>
      <c r="AK170" s="34" t="s">
        <v>76</v>
      </c>
      <c r="AL170" s="34" t="s">
        <v>74</v>
      </c>
      <c r="AM170" s="34">
        <v>2025</v>
      </c>
      <c r="AN170" s="34">
        <f t="shared" si="66"/>
        <v>0.2</v>
      </c>
    </row>
    <row r="171" spans="36:40" x14ac:dyDescent="0.25">
      <c r="AJ171" s="34" t="str">
        <f t="shared" si="65"/>
        <v>ElectricityHigh</v>
      </c>
      <c r="AK171" s="34" t="s">
        <v>76</v>
      </c>
      <c r="AL171" s="34" t="s">
        <v>74</v>
      </c>
      <c r="AM171" s="34">
        <v>2026</v>
      </c>
      <c r="AN171" s="34">
        <f t="shared" si="66"/>
        <v>0.184</v>
      </c>
    </row>
    <row r="172" spans="36:40" x14ac:dyDescent="0.25">
      <c r="AJ172" s="34" t="str">
        <f t="shared" si="65"/>
        <v>ElectricityHigh</v>
      </c>
      <c r="AK172" s="34" t="s">
        <v>76</v>
      </c>
      <c r="AL172" s="34" t="s">
        <v>74</v>
      </c>
      <c r="AM172" s="34">
        <v>2027</v>
      </c>
      <c r="AN172" s="34">
        <f t="shared" si="66"/>
        <v>0.16800000000000001</v>
      </c>
    </row>
    <row r="173" spans="36:40" x14ac:dyDescent="0.25">
      <c r="AJ173" s="34" t="str">
        <f t="shared" si="65"/>
        <v>ElectricityHigh</v>
      </c>
      <c r="AK173" s="34" t="s">
        <v>76</v>
      </c>
      <c r="AL173" s="34" t="s">
        <v>74</v>
      </c>
      <c r="AM173" s="34">
        <v>2028</v>
      </c>
      <c r="AN173" s="34">
        <f t="shared" si="66"/>
        <v>0.152</v>
      </c>
    </row>
    <row r="174" spans="36:40" x14ac:dyDescent="0.25">
      <c r="AJ174" s="34" t="str">
        <f t="shared" si="65"/>
        <v>ElectricityHigh</v>
      </c>
      <c r="AK174" s="34" t="s">
        <v>76</v>
      </c>
      <c r="AL174" s="34" t="s">
        <v>74</v>
      </c>
      <c r="AM174" s="34">
        <v>2029</v>
      </c>
      <c r="AN174" s="34">
        <f t="shared" si="66"/>
        <v>0.13600000000000001</v>
      </c>
    </row>
    <row r="175" spans="36:40" x14ac:dyDescent="0.25">
      <c r="AJ175" s="34" t="str">
        <f t="shared" si="65"/>
        <v>ElectricityHigh</v>
      </c>
      <c r="AK175" s="34" t="s">
        <v>76</v>
      </c>
      <c r="AL175" s="34" t="s">
        <v>74</v>
      </c>
      <c r="AM175" s="34">
        <v>2030</v>
      </c>
      <c r="AN175" s="34">
        <f t="shared" si="66"/>
        <v>7.0000000000000007E-2</v>
      </c>
    </row>
    <row r="176" spans="36:40" x14ac:dyDescent="0.25">
      <c r="AJ176" s="34" t="str">
        <f t="shared" si="65"/>
        <v>ElectricityHigh</v>
      </c>
      <c r="AK176" s="34" t="s">
        <v>76</v>
      </c>
      <c r="AL176" s="34" t="s">
        <v>74</v>
      </c>
      <c r="AM176" s="34">
        <v>2031</v>
      </c>
      <c r="AN176" s="34">
        <f t="shared" si="66"/>
        <v>7.0000000000000007E-2</v>
      </c>
    </row>
    <row r="177" spans="36:40" x14ac:dyDescent="0.25">
      <c r="AJ177" s="34" t="str">
        <f t="shared" si="65"/>
        <v>ElectricityHigh</v>
      </c>
      <c r="AK177" s="34" t="s">
        <v>76</v>
      </c>
      <c r="AL177" s="34" t="s">
        <v>74</v>
      </c>
      <c r="AM177" s="34">
        <v>2032</v>
      </c>
      <c r="AN177" s="34">
        <f t="shared" si="66"/>
        <v>7.0000000000000007E-2</v>
      </c>
    </row>
    <row r="178" spans="36:40" x14ac:dyDescent="0.25">
      <c r="AJ178" s="34" t="str">
        <f t="shared" si="65"/>
        <v>ElectricityHigh</v>
      </c>
      <c r="AK178" s="34" t="s">
        <v>76</v>
      </c>
      <c r="AL178" s="34" t="s">
        <v>74</v>
      </c>
      <c r="AM178" s="34">
        <v>2033</v>
      </c>
      <c r="AN178" s="34">
        <f t="shared" si="66"/>
        <v>7.0000000000000007E-2</v>
      </c>
    </row>
    <row r="179" spans="36:40" x14ac:dyDescent="0.25">
      <c r="AJ179" s="34" t="str">
        <f t="shared" si="65"/>
        <v>ElectricityHigh</v>
      </c>
      <c r="AK179" s="34" t="s">
        <v>76</v>
      </c>
      <c r="AL179" s="34" t="s">
        <v>74</v>
      </c>
      <c r="AM179" s="34">
        <v>2034</v>
      </c>
      <c r="AN179" s="34">
        <f t="shared" si="66"/>
        <v>7.0000000000000007E-2</v>
      </c>
    </row>
    <row r="180" spans="36:40" x14ac:dyDescent="0.25">
      <c r="AJ180" s="34" t="str">
        <f t="shared" si="65"/>
        <v>ElectricityHigh</v>
      </c>
      <c r="AK180" s="34" t="s">
        <v>76</v>
      </c>
      <c r="AL180" s="34" t="s">
        <v>74</v>
      </c>
      <c r="AM180" s="34">
        <v>2035</v>
      </c>
      <c r="AN180" s="34">
        <f t="shared" si="66"/>
        <v>7.0000000000000007E-2</v>
      </c>
    </row>
    <row r="181" spans="36:40" x14ac:dyDescent="0.25">
      <c r="AJ181" s="34" t="str">
        <f t="shared" si="65"/>
        <v>ElectricityHigh</v>
      </c>
      <c r="AK181" s="34" t="s">
        <v>76</v>
      </c>
      <c r="AL181" s="34" t="s">
        <v>74</v>
      </c>
      <c r="AM181" s="34">
        <v>2036</v>
      </c>
      <c r="AN181" s="34">
        <f t="shared" si="66"/>
        <v>7.0000000000000007E-2</v>
      </c>
    </row>
    <row r="182" spans="36:40" x14ac:dyDescent="0.25">
      <c r="AJ182" s="34" t="str">
        <f t="shared" si="65"/>
        <v>ElectricityHigh</v>
      </c>
      <c r="AK182" s="34" t="s">
        <v>76</v>
      </c>
      <c r="AL182" s="34" t="s">
        <v>74</v>
      </c>
      <c r="AM182" s="34">
        <v>2037</v>
      </c>
      <c r="AN182" s="34">
        <f t="shared" si="66"/>
        <v>7.0000000000000007E-2</v>
      </c>
    </row>
    <row r="183" spans="36:40" x14ac:dyDescent="0.25">
      <c r="AJ183" s="34" t="str">
        <f t="shared" si="65"/>
        <v>ElectricityHigh</v>
      </c>
      <c r="AK183" s="34" t="s">
        <v>76</v>
      </c>
      <c r="AL183" s="34" t="s">
        <v>74</v>
      </c>
      <c r="AM183" s="34">
        <v>2038</v>
      </c>
      <c r="AN183" s="34">
        <f t="shared" si="66"/>
        <v>7.0000000000000007E-2</v>
      </c>
    </row>
    <row r="184" spans="36:40" x14ac:dyDescent="0.25">
      <c r="AJ184" s="34" t="str">
        <f t="shared" si="65"/>
        <v>ElectricityHigh</v>
      </c>
      <c r="AK184" s="34" t="s">
        <v>76</v>
      </c>
      <c r="AL184" s="34" t="s">
        <v>74</v>
      </c>
      <c r="AM184" s="34">
        <v>2039</v>
      </c>
      <c r="AN184" s="34">
        <f t="shared" si="66"/>
        <v>7.0000000000000007E-2</v>
      </c>
    </row>
    <row r="185" spans="36:40" x14ac:dyDescent="0.25">
      <c r="AJ185" s="34" t="str">
        <f t="shared" si="65"/>
        <v>ElectricityHigh</v>
      </c>
      <c r="AK185" s="34" t="s">
        <v>76</v>
      </c>
      <c r="AL185" s="34" t="s">
        <v>74</v>
      </c>
      <c r="AM185" s="34">
        <v>2040</v>
      </c>
      <c r="AN185" s="34">
        <f t="shared" si="66"/>
        <v>7.0000000000000007E-2</v>
      </c>
    </row>
    <row r="186" spans="36:40" x14ac:dyDescent="0.25">
      <c r="AJ186" s="34" t="str">
        <f t="shared" si="65"/>
        <v>ElectricityHigh</v>
      </c>
      <c r="AK186" s="34" t="s">
        <v>76</v>
      </c>
      <c r="AL186" s="34" t="s">
        <v>74</v>
      </c>
      <c r="AM186" s="34">
        <v>2041</v>
      </c>
      <c r="AN186" s="34">
        <f t="shared" si="66"/>
        <v>7.0000000000000007E-2</v>
      </c>
    </row>
    <row r="187" spans="36:40" x14ac:dyDescent="0.25">
      <c r="AJ187" s="34" t="str">
        <f t="shared" si="65"/>
        <v>ElectricityHigh</v>
      </c>
      <c r="AK187" s="34" t="s">
        <v>76</v>
      </c>
      <c r="AL187" s="34" t="s">
        <v>74</v>
      </c>
      <c r="AM187" s="34">
        <v>2042</v>
      </c>
      <c r="AN187" s="34">
        <f t="shared" si="66"/>
        <v>7.0000000000000007E-2</v>
      </c>
    </row>
    <row r="188" spans="36:40" x14ac:dyDescent="0.25">
      <c r="AJ188" s="34" t="str">
        <f t="shared" si="65"/>
        <v>ElectricityHigh</v>
      </c>
      <c r="AK188" s="34" t="s">
        <v>76</v>
      </c>
      <c r="AL188" s="34" t="s">
        <v>74</v>
      </c>
      <c r="AM188" s="34">
        <v>2043</v>
      </c>
      <c r="AN188" s="34">
        <f t="shared" si="66"/>
        <v>7.0000000000000007E-2</v>
      </c>
    </row>
    <row r="189" spans="36:40" x14ac:dyDescent="0.25">
      <c r="AJ189" s="34" t="str">
        <f t="shared" si="65"/>
        <v>ElectricityHigh</v>
      </c>
      <c r="AK189" s="34" t="s">
        <v>76</v>
      </c>
      <c r="AL189" s="34" t="s">
        <v>74</v>
      </c>
      <c r="AM189" s="34">
        <v>2044</v>
      </c>
      <c r="AN189" s="34">
        <f t="shared" si="66"/>
        <v>7.0000000000000007E-2</v>
      </c>
    </row>
    <row r="190" spans="36:40" x14ac:dyDescent="0.25">
      <c r="AJ190" s="34" t="str">
        <f t="shared" si="65"/>
        <v>ElectricityHigh</v>
      </c>
      <c r="AK190" s="34" t="s">
        <v>76</v>
      </c>
      <c r="AL190" s="34" t="s">
        <v>74</v>
      </c>
      <c r="AM190" s="34">
        <v>2045</v>
      </c>
      <c r="AN190" s="34">
        <f t="shared" si="66"/>
        <v>7.0000000000000007E-2</v>
      </c>
    </row>
    <row r="191" spans="36:40" x14ac:dyDescent="0.25">
      <c r="AJ191" s="34" t="str">
        <f t="shared" si="65"/>
        <v>ElectricityHigh</v>
      </c>
      <c r="AK191" s="34" t="s">
        <v>76</v>
      </c>
      <c r="AL191" s="34" t="s">
        <v>74</v>
      </c>
      <c r="AM191" s="34">
        <v>2046</v>
      </c>
      <c r="AN191" s="34">
        <f t="shared" si="66"/>
        <v>7.0000000000000007E-2</v>
      </c>
    </row>
    <row r="192" spans="36:40" x14ac:dyDescent="0.25">
      <c r="AJ192" s="34" t="str">
        <f t="shared" si="65"/>
        <v>ElectricityHigh</v>
      </c>
      <c r="AK192" s="34" t="s">
        <v>76</v>
      </c>
      <c r="AL192" s="34" t="s">
        <v>74</v>
      </c>
      <c r="AM192" s="34">
        <v>2047</v>
      </c>
      <c r="AN192" s="34">
        <f t="shared" si="66"/>
        <v>7.0000000000000007E-2</v>
      </c>
    </row>
    <row r="193" spans="36:40" x14ac:dyDescent="0.25">
      <c r="AJ193" s="34" t="str">
        <f t="shared" si="65"/>
        <v>ElectricityHigh</v>
      </c>
      <c r="AK193" s="34" t="s">
        <v>76</v>
      </c>
      <c r="AL193" s="34" t="s">
        <v>74</v>
      </c>
      <c r="AM193" s="34">
        <v>2048</v>
      </c>
      <c r="AN193" s="34">
        <f t="shared" si="66"/>
        <v>7.0000000000000007E-2</v>
      </c>
    </row>
    <row r="194" spans="36:40" x14ac:dyDescent="0.25">
      <c r="AJ194" s="34" t="str">
        <f t="shared" si="65"/>
        <v>ElectricityHigh</v>
      </c>
      <c r="AK194" s="34" t="s">
        <v>76</v>
      </c>
      <c r="AL194" s="34" t="s">
        <v>74</v>
      </c>
      <c r="AM194" s="34">
        <v>2049</v>
      </c>
      <c r="AN194" s="34">
        <f t="shared" si="66"/>
        <v>7.0000000000000007E-2</v>
      </c>
    </row>
    <row r="195" spans="36:40" x14ac:dyDescent="0.25">
      <c r="AJ195" s="34" t="str">
        <f t="shared" si="65"/>
        <v>ElectricityHigh</v>
      </c>
      <c r="AK195" s="34" t="s">
        <v>76</v>
      </c>
      <c r="AL195" s="34" t="s">
        <v>74</v>
      </c>
      <c r="AM195" s="34">
        <v>2050</v>
      </c>
      <c r="AN195" s="34">
        <f t="shared" si="66"/>
        <v>7.0000000000000007E-2</v>
      </c>
    </row>
    <row r="196" spans="36:40" x14ac:dyDescent="0.25">
      <c r="AJ196" s="34" t="str">
        <f t="shared" si="65"/>
        <v>ElectricityAverage</v>
      </c>
      <c r="AK196" s="34" t="s">
        <v>76</v>
      </c>
      <c r="AL196" s="34" t="s">
        <v>8</v>
      </c>
      <c r="AM196" s="34">
        <v>2024</v>
      </c>
      <c r="AN196" s="34">
        <f t="shared" si="66"/>
        <v>0.127</v>
      </c>
    </row>
    <row r="197" spans="36:40" x14ac:dyDescent="0.25">
      <c r="AJ197" s="34" t="str">
        <f t="shared" si="65"/>
        <v>ElectricityAverage</v>
      </c>
      <c r="AK197" s="34" t="s">
        <v>76</v>
      </c>
      <c r="AL197" s="34" t="s">
        <v>8</v>
      </c>
      <c r="AM197" s="34">
        <v>2025</v>
      </c>
      <c r="AN197" s="34">
        <f t="shared" si="66"/>
        <v>0.14000000000000001</v>
      </c>
    </row>
    <row r="198" spans="36:40" x14ac:dyDescent="0.25">
      <c r="AJ198" s="34" t="str">
        <f t="shared" si="65"/>
        <v>ElectricityAverage</v>
      </c>
      <c r="AK198" s="34" t="s">
        <v>76</v>
      </c>
      <c r="AL198" s="34" t="s">
        <v>8</v>
      </c>
      <c r="AM198" s="34">
        <v>2026</v>
      </c>
      <c r="AN198" s="34">
        <f t="shared" si="66"/>
        <v>0.127</v>
      </c>
    </row>
    <row r="199" spans="36:40" x14ac:dyDescent="0.25">
      <c r="AJ199" s="34" t="str">
        <f t="shared" si="65"/>
        <v>ElectricityAverage</v>
      </c>
      <c r="AK199" s="34" t="s">
        <v>76</v>
      </c>
      <c r="AL199" s="34" t="s">
        <v>8</v>
      </c>
      <c r="AM199" s="34">
        <v>2027</v>
      </c>
      <c r="AN199" s="34">
        <f t="shared" si="66"/>
        <v>0.114</v>
      </c>
    </row>
    <row r="200" spans="36:40" x14ac:dyDescent="0.25">
      <c r="AJ200" s="34" t="str">
        <f t="shared" ref="AJ200:AJ263" si="67">AK200&amp;AL200</f>
        <v>ElectricityAverage</v>
      </c>
      <c r="AK200" s="34" t="s">
        <v>76</v>
      </c>
      <c r="AL200" s="34" t="s">
        <v>8</v>
      </c>
      <c r="AM200" s="34">
        <v>2028</v>
      </c>
      <c r="AN200" s="34">
        <f t="shared" ref="AN200:AN263" si="68">INDEX($G$28:$AG$42,MATCH(AJ200,$F$28:$F$42,0),MATCH(AM200,$G$27:$AG$27,0))</f>
        <v>0.10100000000000001</v>
      </c>
    </row>
    <row r="201" spans="36:40" x14ac:dyDescent="0.25">
      <c r="AJ201" s="34" t="str">
        <f t="shared" si="67"/>
        <v>ElectricityAverage</v>
      </c>
      <c r="AK201" s="34" t="s">
        <v>76</v>
      </c>
      <c r="AL201" s="34" t="s">
        <v>8</v>
      </c>
      <c r="AM201" s="34">
        <v>2029</v>
      </c>
      <c r="AN201" s="34">
        <f t="shared" si="68"/>
        <v>8.7999999999999995E-2</v>
      </c>
    </row>
    <row r="202" spans="36:40" x14ac:dyDescent="0.25">
      <c r="AJ202" s="34" t="str">
        <f t="shared" si="67"/>
        <v>ElectricityAverage</v>
      </c>
      <c r="AK202" s="34" t="s">
        <v>76</v>
      </c>
      <c r="AL202" s="34" t="s">
        <v>8</v>
      </c>
      <c r="AM202" s="34">
        <v>2030</v>
      </c>
      <c r="AN202" s="34">
        <f t="shared" si="68"/>
        <v>0.05</v>
      </c>
    </row>
    <row r="203" spans="36:40" x14ac:dyDescent="0.25">
      <c r="AJ203" s="34" t="str">
        <f t="shared" si="67"/>
        <v>ElectricityAverage</v>
      </c>
      <c r="AK203" s="34" t="s">
        <v>76</v>
      </c>
      <c r="AL203" s="34" t="s">
        <v>8</v>
      </c>
      <c r="AM203" s="34">
        <v>2031</v>
      </c>
      <c r="AN203" s="34">
        <f t="shared" si="68"/>
        <v>0.05</v>
      </c>
    </row>
    <row r="204" spans="36:40" x14ac:dyDescent="0.25">
      <c r="AJ204" s="34" t="str">
        <f t="shared" si="67"/>
        <v>ElectricityAverage</v>
      </c>
      <c r="AK204" s="34" t="s">
        <v>76</v>
      </c>
      <c r="AL204" s="34" t="s">
        <v>8</v>
      </c>
      <c r="AM204" s="34">
        <v>2032</v>
      </c>
      <c r="AN204" s="34">
        <f t="shared" si="68"/>
        <v>0.05</v>
      </c>
    </row>
    <row r="205" spans="36:40" x14ac:dyDescent="0.25">
      <c r="AJ205" s="34" t="str">
        <f t="shared" si="67"/>
        <v>ElectricityAverage</v>
      </c>
      <c r="AK205" s="34" t="s">
        <v>76</v>
      </c>
      <c r="AL205" s="34" t="s">
        <v>8</v>
      </c>
      <c r="AM205" s="34">
        <v>2033</v>
      </c>
      <c r="AN205" s="34">
        <f t="shared" si="68"/>
        <v>0.05</v>
      </c>
    </row>
    <row r="206" spans="36:40" x14ac:dyDescent="0.25">
      <c r="AJ206" s="34" t="str">
        <f t="shared" si="67"/>
        <v>ElectricityAverage</v>
      </c>
      <c r="AK206" s="34" t="s">
        <v>76</v>
      </c>
      <c r="AL206" s="34" t="s">
        <v>8</v>
      </c>
      <c r="AM206" s="34">
        <v>2034</v>
      </c>
      <c r="AN206" s="34">
        <f t="shared" si="68"/>
        <v>0.05</v>
      </c>
    </row>
    <row r="207" spans="36:40" x14ac:dyDescent="0.25">
      <c r="AJ207" s="34" t="str">
        <f t="shared" si="67"/>
        <v>ElectricityAverage</v>
      </c>
      <c r="AK207" s="34" t="s">
        <v>76</v>
      </c>
      <c r="AL207" s="34" t="s">
        <v>8</v>
      </c>
      <c r="AM207" s="34">
        <v>2035</v>
      </c>
      <c r="AN207" s="34">
        <f t="shared" si="68"/>
        <v>0.05</v>
      </c>
    </row>
    <row r="208" spans="36:40" x14ac:dyDescent="0.25">
      <c r="AJ208" s="34" t="str">
        <f t="shared" si="67"/>
        <v>ElectricityAverage</v>
      </c>
      <c r="AK208" s="34" t="s">
        <v>76</v>
      </c>
      <c r="AL208" s="34" t="s">
        <v>8</v>
      </c>
      <c r="AM208" s="34">
        <v>2036</v>
      </c>
      <c r="AN208" s="34">
        <f t="shared" si="68"/>
        <v>0.05</v>
      </c>
    </row>
    <row r="209" spans="36:40" x14ac:dyDescent="0.25">
      <c r="AJ209" s="34" t="str">
        <f t="shared" si="67"/>
        <v>ElectricityAverage</v>
      </c>
      <c r="AK209" s="34" t="s">
        <v>76</v>
      </c>
      <c r="AL209" s="34" t="s">
        <v>8</v>
      </c>
      <c r="AM209" s="34">
        <v>2037</v>
      </c>
      <c r="AN209" s="34">
        <f t="shared" si="68"/>
        <v>0.05</v>
      </c>
    </row>
    <row r="210" spans="36:40" x14ac:dyDescent="0.25">
      <c r="AJ210" s="34" t="str">
        <f t="shared" si="67"/>
        <v>ElectricityAverage</v>
      </c>
      <c r="AK210" s="34" t="s">
        <v>76</v>
      </c>
      <c r="AL210" s="34" t="s">
        <v>8</v>
      </c>
      <c r="AM210" s="34">
        <v>2038</v>
      </c>
      <c r="AN210" s="34">
        <f t="shared" si="68"/>
        <v>0.05</v>
      </c>
    </row>
    <row r="211" spans="36:40" x14ac:dyDescent="0.25">
      <c r="AJ211" s="34" t="str">
        <f t="shared" si="67"/>
        <v>ElectricityAverage</v>
      </c>
      <c r="AK211" s="34" t="s">
        <v>76</v>
      </c>
      <c r="AL211" s="34" t="s">
        <v>8</v>
      </c>
      <c r="AM211" s="34">
        <v>2039</v>
      </c>
      <c r="AN211" s="34">
        <f t="shared" si="68"/>
        <v>0.05</v>
      </c>
    </row>
    <row r="212" spans="36:40" x14ac:dyDescent="0.25">
      <c r="AJ212" s="34" t="str">
        <f t="shared" si="67"/>
        <v>ElectricityAverage</v>
      </c>
      <c r="AK212" s="34" t="s">
        <v>76</v>
      </c>
      <c r="AL212" s="34" t="s">
        <v>8</v>
      </c>
      <c r="AM212" s="34">
        <v>2040</v>
      </c>
      <c r="AN212" s="34">
        <f t="shared" si="68"/>
        <v>0.05</v>
      </c>
    </row>
    <row r="213" spans="36:40" x14ac:dyDescent="0.25">
      <c r="AJ213" s="34" t="str">
        <f t="shared" si="67"/>
        <v>ElectricityAverage</v>
      </c>
      <c r="AK213" s="34" t="s">
        <v>76</v>
      </c>
      <c r="AL213" s="34" t="s">
        <v>8</v>
      </c>
      <c r="AM213" s="34">
        <v>2041</v>
      </c>
      <c r="AN213" s="34">
        <f t="shared" si="68"/>
        <v>0.05</v>
      </c>
    </row>
    <row r="214" spans="36:40" x14ac:dyDescent="0.25">
      <c r="AJ214" s="34" t="str">
        <f t="shared" si="67"/>
        <v>ElectricityAverage</v>
      </c>
      <c r="AK214" s="34" t="s">
        <v>76</v>
      </c>
      <c r="AL214" s="34" t="s">
        <v>8</v>
      </c>
      <c r="AM214" s="34">
        <v>2042</v>
      </c>
      <c r="AN214" s="34">
        <f t="shared" si="68"/>
        <v>0.05</v>
      </c>
    </row>
    <row r="215" spans="36:40" x14ac:dyDescent="0.25">
      <c r="AJ215" s="34" t="str">
        <f t="shared" si="67"/>
        <v>ElectricityAverage</v>
      </c>
      <c r="AK215" s="34" t="s">
        <v>76</v>
      </c>
      <c r="AL215" s="34" t="s">
        <v>8</v>
      </c>
      <c r="AM215" s="34">
        <v>2043</v>
      </c>
      <c r="AN215" s="34">
        <f t="shared" si="68"/>
        <v>0.05</v>
      </c>
    </row>
    <row r="216" spans="36:40" x14ac:dyDescent="0.25">
      <c r="AJ216" s="34" t="str">
        <f t="shared" si="67"/>
        <v>ElectricityAverage</v>
      </c>
      <c r="AK216" s="34" t="s">
        <v>76</v>
      </c>
      <c r="AL216" s="34" t="s">
        <v>8</v>
      </c>
      <c r="AM216" s="34">
        <v>2044</v>
      </c>
      <c r="AN216" s="34">
        <f t="shared" si="68"/>
        <v>0.05</v>
      </c>
    </row>
    <row r="217" spans="36:40" x14ac:dyDescent="0.25">
      <c r="AJ217" s="34" t="str">
        <f t="shared" si="67"/>
        <v>ElectricityAverage</v>
      </c>
      <c r="AK217" s="34" t="s">
        <v>76</v>
      </c>
      <c r="AL217" s="34" t="s">
        <v>8</v>
      </c>
      <c r="AM217" s="34">
        <v>2045</v>
      </c>
      <c r="AN217" s="34">
        <f t="shared" si="68"/>
        <v>0.05</v>
      </c>
    </row>
    <row r="218" spans="36:40" x14ac:dyDescent="0.25">
      <c r="AJ218" s="34" t="str">
        <f t="shared" si="67"/>
        <v>ElectricityAverage</v>
      </c>
      <c r="AK218" s="34" t="s">
        <v>76</v>
      </c>
      <c r="AL218" s="34" t="s">
        <v>8</v>
      </c>
      <c r="AM218" s="34">
        <v>2046</v>
      </c>
      <c r="AN218" s="34">
        <f t="shared" si="68"/>
        <v>0.05</v>
      </c>
    </row>
    <row r="219" spans="36:40" x14ac:dyDescent="0.25">
      <c r="AJ219" s="34" t="str">
        <f t="shared" si="67"/>
        <v>ElectricityAverage</v>
      </c>
      <c r="AK219" s="34" t="s">
        <v>76</v>
      </c>
      <c r="AL219" s="34" t="s">
        <v>8</v>
      </c>
      <c r="AM219" s="34">
        <v>2047</v>
      </c>
      <c r="AN219" s="34">
        <f t="shared" si="68"/>
        <v>0.05</v>
      </c>
    </row>
    <row r="220" spans="36:40" x14ac:dyDescent="0.25">
      <c r="AJ220" s="34" t="str">
        <f t="shared" si="67"/>
        <v>ElectricityAverage</v>
      </c>
      <c r="AK220" s="34" t="s">
        <v>76</v>
      </c>
      <c r="AL220" s="34" t="s">
        <v>8</v>
      </c>
      <c r="AM220" s="34">
        <v>2048</v>
      </c>
      <c r="AN220" s="34">
        <f t="shared" si="68"/>
        <v>0.05</v>
      </c>
    </row>
    <row r="221" spans="36:40" x14ac:dyDescent="0.25">
      <c r="AJ221" s="34" t="str">
        <f t="shared" si="67"/>
        <v>ElectricityAverage</v>
      </c>
      <c r="AK221" s="34" t="s">
        <v>76</v>
      </c>
      <c r="AL221" s="34" t="s">
        <v>8</v>
      </c>
      <c r="AM221" s="34">
        <v>2049</v>
      </c>
      <c r="AN221" s="34">
        <f t="shared" si="68"/>
        <v>0.05</v>
      </c>
    </row>
    <row r="222" spans="36:40" x14ac:dyDescent="0.25">
      <c r="AJ222" s="34" t="str">
        <f t="shared" si="67"/>
        <v>ElectricityAverage</v>
      </c>
      <c r="AK222" s="34" t="s">
        <v>76</v>
      </c>
      <c r="AL222" s="34" t="s">
        <v>8</v>
      </c>
      <c r="AM222" s="34">
        <v>2050</v>
      </c>
      <c r="AN222" s="34">
        <f t="shared" si="68"/>
        <v>0.05</v>
      </c>
    </row>
    <row r="223" spans="36:40" x14ac:dyDescent="0.25">
      <c r="AJ223" s="34" t="str">
        <f t="shared" si="67"/>
        <v>ElectricityLow</v>
      </c>
      <c r="AK223" s="34" t="s">
        <v>76</v>
      </c>
      <c r="AL223" s="34" t="s">
        <v>75</v>
      </c>
      <c r="AM223" s="34">
        <v>2024</v>
      </c>
      <c r="AN223" s="34">
        <f t="shared" si="68"/>
        <v>0.112</v>
      </c>
    </row>
    <row r="224" spans="36:40" x14ac:dyDescent="0.25">
      <c r="AJ224" s="34" t="str">
        <f t="shared" si="67"/>
        <v>ElectricityLow</v>
      </c>
      <c r="AK224" s="34" t="s">
        <v>76</v>
      </c>
      <c r="AL224" s="34" t="s">
        <v>75</v>
      </c>
      <c r="AM224" s="34">
        <v>2025</v>
      </c>
      <c r="AN224" s="34">
        <f t="shared" si="68"/>
        <v>0.125</v>
      </c>
    </row>
    <row r="225" spans="36:40" x14ac:dyDescent="0.25">
      <c r="AJ225" s="34" t="str">
        <f t="shared" si="67"/>
        <v>ElectricityLow</v>
      </c>
      <c r="AK225" s="34" t="s">
        <v>76</v>
      </c>
      <c r="AL225" s="34" t="s">
        <v>75</v>
      </c>
      <c r="AM225" s="34">
        <v>2026</v>
      </c>
      <c r="AN225" s="34">
        <f t="shared" si="68"/>
        <v>0.112</v>
      </c>
    </row>
    <row r="226" spans="36:40" x14ac:dyDescent="0.25">
      <c r="AJ226" s="34" t="str">
        <f t="shared" si="67"/>
        <v>ElectricityLow</v>
      </c>
      <c r="AK226" s="34" t="s">
        <v>76</v>
      </c>
      <c r="AL226" s="34" t="s">
        <v>75</v>
      </c>
      <c r="AM226" s="34">
        <v>2027</v>
      </c>
      <c r="AN226" s="34">
        <f t="shared" si="68"/>
        <v>9.9000000000000005E-2</v>
      </c>
    </row>
    <row r="227" spans="36:40" x14ac:dyDescent="0.25">
      <c r="AJ227" s="34" t="str">
        <f t="shared" si="67"/>
        <v>ElectricityLow</v>
      </c>
      <c r="AK227" s="34" t="s">
        <v>76</v>
      </c>
      <c r="AL227" s="34" t="s">
        <v>75</v>
      </c>
      <c r="AM227" s="34">
        <v>2028</v>
      </c>
      <c r="AN227" s="34">
        <f t="shared" si="68"/>
        <v>8.5999999999999993E-2</v>
      </c>
    </row>
    <row r="228" spans="36:40" x14ac:dyDescent="0.25">
      <c r="AJ228" s="34" t="str">
        <f t="shared" si="67"/>
        <v>ElectricityLow</v>
      </c>
      <c r="AK228" s="34" t="s">
        <v>76</v>
      </c>
      <c r="AL228" s="34" t="s">
        <v>75</v>
      </c>
      <c r="AM228" s="34">
        <v>2029</v>
      </c>
      <c r="AN228" s="34">
        <f t="shared" si="68"/>
        <v>7.2999999999999995E-2</v>
      </c>
    </row>
    <row r="229" spans="36:40" x14ac:dyDescent="0.25">
      <c r="AJ229" s="34" t="str">
        <f t="shared" si="67"/>
        <v>ElectricityLow</v>
      </c>
      <c r="AK229" s="34" t="s">
        <v>76</v>
      </c>
      <c r="AL229" s="34" t="s">
        <v>75</v>
      </c>
      <c r="AM229" s="34">
        <v>2030</v>
      </c>
      <c r="AN229" s="34">
        <f t="shared" si="68"/>
        <v>0.04</v>
      </c>
    </row>
    <row r="230" spans="36:40" x14ac:dyDescent="0.25">
      <c r="AJ230" s="34" t="str">
        <f t="shared" si="67"/>
        <v>ElectricityLow</v>
      </c>
      <c r="AK230" s="34" t="s">
        <v>76</v>
      </c>
      <c r="AL230" s="34" t="s">
        <v>75</v>
      </c>
      <c r="AM230" s="34">
        <v>2031</v>
      </c>
      <c r="AN230" s="34">
        <f t="shared" si="68"/>
        <v>0.04</v>
      </c>
    </row>
    <row r="231" spans="36:40" x14ac:dyDescent="0.25">
      <c r="AJ231" s="34" t="str">
        <f t="shared" si="67"/>
        <v>ElectricityLow</v>
      </c>
      <c r="AK231" s="34" t="s">
        <v>76</v>
      </c>
      <c r="AL231" s="34" t="s">
        <v>75</v>
      </c>
      <c r="AM231" s="34">
        <v>2032</v>
      </c>
      <c r="AN231" s="34">
        <f t="shared" si="68"/>
        <v>0.04</v>
      </c>
    </row>
    <row r="232" spans="36:40" x14ac:dyDescent="0.25">
      <c r="AJ232" s="34" t="str">
        <f t="shared" si="67"/>
        <v>ElectricityLow</v>
      </c>
      <c r="AK232" s="34" t="s">
        <v>76</v>
      </c>
      <c r="AL232" s="34" t="s">
        <v>75</v>
      </c>
      <c r="AM232" s="34">
        <v>2033</v>
      </c>
      <c r="AN232" s="34">
        <f t="shared" si="68"/>
        <v>0.04</v>
      </c>
    </row>
    <row r="233" spans="36:40" x14ac:dyDescent="0.25">
      <c r="AJ233" s="34" t="str">
        <f t="shared" si="67"/>
        <v>ElectricityLow</v>
      </c>
      <c r="AK233" s="34" t="s">
        <v>76</v>
      </c>
      <c r="AL233" s="34" t="s">
        <v>75</v>
      </c>
      <c r="AM233" s="34">
        <v>2034</v>
      </c>
      <c r="AN233" s="34">
        <f t="shared" si="68"/>
        <v>0.04</v>
      </c>
    </row>
    <row r="234" spans="36:40" x14ac:dyDescent="0.25">
      <c r="AJ234" s="34" t="str">
        <f t="shared" si="67"/>
        <v>ElectricityLow</v>
      </c>
      <c r="AK234" s="34" t="s">
        <v>76</v>
      </c>
      <c r="AL234" s="34" t="s">
        <v>75</v>
      </c>
      <c r="AM234" s="34">
        <v>2035</v>
      </c>
      <c r="AN234" s="34">
        <f t="shared" si="68"/>
        <v>0.04</v>
      </c>
    </row>
    <row r="235" spans="36:40" x14ac:dyDescent="0.25">
      <c r="AJ235" s="34" t="str">
        <f t="shared" si="67"/>
        <v>ElectricityLow</v>
      </c>
      <c r="AK235" s="34" t="s">
        <v>76</v>
      </c>
      <c r="AL235" s="34" t="s">
        <v>75</v>
      </c>
      <c r="AM235" s="34">
        <v>2036</v>
      </c>
      <c r="AN235" s="34">
        <f t="shared" si="68"/>
        <v>0.04</v>
      </c>
    </row>
    <row r="236" spans="36:40" x14ac:dyDescent="0.25">
      <c r="AJ236" s="34" t="str">
        <f t="shared" si="67"/>
        <v>ElectricityLow</v>
      </c>
      <c r="AK236" s="34" t="s">
        <v>76</v>
      </c>
      <c r="AL236" s="34" t="s">
        <v>75</v>
      </c>
      <c r="AM236" s="34">
        <v>2037</v>
      </c>
      <c r="AN236" s="34">
        <f t="shared" si="68"/>
        <v>0.04</v>
      </c>
    </row>
    <row r="237" spans="36:40" x14ac:dyDescent="0.25">
      <c r="AJ237" s="34" t="str">
        <f t="shared" si="67"/>
        <v>ElectricityLow</v>
      </c>
      <c r="AK237" s="34" t="s">
        <v>76</v>
      </c>
      <c r="AL237" s="34" t="s">
        <v>75</v>
      </c>
      <c r="AM237" s="34">
        <v>2038</v>
      </c>
      <c r="AN237" s="34">
        <f t="shared" si="68"/>
        <v>0.04</v>
      </c>
    </row>
    <row r="238" spans="36:40" x14ac:dyDescent="0.25">
      <c r="AJ238" s="34" t="str">
        <f t="shared" si="67"/>
        <v>ElectricityLow</v>
      </c>
      <c r="AK238" s="34" t="s">
        <v>76</v>
      </c>
      <c r="AL238" s="34" t="s">
        <v>75</v>
      </c>
      <c r="AM238" s="34">
        <v>2039</v>
      </c>
      <c r="AN238" s="34">
        <f t="shared" si="68"/>
        <v>0.04</v>
      </c>
    </row>
    <row r="239" spans="36:40" x14ac:dyDescent="0.25">
      <c r="AJ239" s="34" t="str">
        <f t="shared" si="67"/>
        <v>ElectricityLow</v>
      </c>
      <c r="AK239" s="34" t="s">
        <v>76</v>
      </c>
      <c r="AL239" s="34" t="s">
        <v>75</v>
      </c>
      <c r="AM239" s="34">
        <v>2040</v>
      </c>
      <c r="AN239" s="34">
        <f t="shared" si="68"/>
        <v>0.04</v>
      </c>
    </row>
    <row r="240" spans="36:40" x14ac:dyDescent="0.25">
      <c r="AJ240" s="34" t="str">
        <f t="shared" si="67"/>
        <v>ElectricityLow</v>
      </c>
      <c r="AK240" s="34" t="s">
        <v>76</v>
      </c>
      <c r="AL240" s="34" t="s">
        <v>75</v>
      </c>
      <c r="AM240" s="34">
        <v>2041</v>
      </c>
      <c r="AN240" s="34">
        <f t="shared" si="68"/>
        <v>0.04</v>
      </c>
    </row>
    <row r="241" spans="36:40" x14ac:dyDescent="0.25">
      <c r="AJ241" s="34" t="str">
        <f t="shared" si="67"/>
        <v>ElectricityLow</v>
      </c>
      <c r="AK241" s="34" t="s">
        <v>76</v>
      </c>
      <c r="AL241" s="34" t="s">
        <v>75</v>
      </c>
      <c r="AM241" s="34">
        <v>2042</v>
      </c>
      <c r="AN241" s="34">
        <f t="shared" si="68"/>
        <v>0.04</v>
      </c>
    </row>
    <row r="242" spans="36:40" x14ac:dyDescent="0.25">
      <c r="AJ242" s="34" t="str">
        <f t="shared" si="67"/>
        <v>ElectricityLow</v>
      </c>
      <c r="AK242" s="34" t="s">
        <v>76</v>
      </c>
      <c r="AL242" s="34" t="s">
        <v>75</v>
      </c>
      <c r="AM242" s="34">
        <v>2043</v>
      </c>
      <c r="AN242" s="34">
        <f t="shared" si="68"/>
        <v>0.04</v>
      </c>
    </row>
    <row r="243" spans="36:40" x14ac:dyDescent="0.25">
      <c r="AJ243" s="34" t="str">
        <f t="shared" si="67"/>
        <v>ElectricityLow</v>
      </c>
      <c r="AK243" s="34" t="s">
        <v>76</v>
      </c>
      <c r="AL243" s="34" t="s">
        <v>75</v>
      </c>
      <c r="AM243" s="34">
        <v>2044</v>
      </c>
      <c r="AN243" s="34">
        <f t="shared" si="68"/>
        <v>0.04</v>
      </c>
    </row>
    <row r="244" spans="36:40" x14ac:dyDescent="0.25">
      <c r="AJ244" s="34" t="str">
        <f t="shared" si="67"/>
        <v>ElectricityLow</v>
      </c>
      <c r="AK244" s="34" t="s">
        <v>76</v>
      </c>
      <c r="AL244" s="34" t="s">
        <v>75</v>
      </c>
      <c r="AM244" s="34">
        <v>2045</v>
      </c>
      <c r="AN244" s="34">
        <f t="shared" si="68"/>
        <v>0.04</v>
      </c>
    </row>
    <row r="245" spans="36:40" x14ac:dyDescent="0.25">
      <c r="AJ245" s="34" t="str">
        <f t="shared" si="67"/>
        <v>ElectricityLow</v>
      </c>
      <c r="AK245" s="34" t="s">
        <v>76</v>
      </c>
      <c r="AL245" s="34" t="s">
        <v>75</v>
      </c>
      <c r="AM245" s="34">
        <v>2046</v>
      </c>
      <c r="AN245" s="34">
        <f t="shared" si="68"/>
        <v>0.04</v>
      </c>
    </row>
    <row r="246" spans="36:40" x14ac:dyDescent="0.25">
      <c r="AJ246" s="34" t="str">
        <f t="shared" si="67"/>
        <v>ElectricityLow</v>
      </c>
      <c r="AK246" s="34" t="s">
        <v>76</v>
      </c>
      <c r="AL246" s="34" t="s">
        <v>75</v>
      </c>
      <c r="AM246" s="34">
        <v>2047</v>
      </c>
      <c r="AN246" s="34">
        <f t="shared" si="68"/>
        <v>0.04</v>
      </c>
    </row>
    <row r="247" spans="36:40" x14ac:dyDescent="0.25">
      <c r="AJ247" s="34" t="str">
        <f t="shared" si="67"/>
        <v>ElectricityLow</v>
      </c>
      <c r="AK247" s="34" t="s">
        <v>76</v>
      </c>
      <c r="AL247" s="34" t="s">
        <v>75</v>
      </c>
      <c r="AM247" s="34">
        <v>2048</v>
      </c>
      <c r="AN247" s="34">
        <f t="shared" si="68"/>
        <v>0.04</v>
      </c>
    </row>
    <row r="248" spans="36:40" x14ac:dyDescent="0.25">
      <c r="AJ248" s="34" t="str">
        <f t="shared" si="67"/>
        <v>ElectricityLow</v>
      </c>
      <c r="AK248" s="34" t="s">
        <v>76</v>
      </c>
      <c r="AL248" s="34" t="s">
        <v>75</v>
      </c>
      <c r="AM248" s="34">
        <v>2049</v>
      </c>
      <c r="AN248" s="34">
        <f t="shared" si="68"/>
        <v>0.04</v>
      </c>
    </row>
    <row r="249" spans="36:40" x14ac:dyDescent="0.25">
      <c r="AJ249" s="34" t="str">
        <f t="shared" si="67"/>
        <v>ElectricityLow</v>
      </c>
      <c r="AK249" s="34" t="s">
        <v>76</v>
      </c>
      <c r="AL249" s="34" t="s">
        <v>75</v>
      </c>
      <c r="AM249" s="34">
        <v>2050</v>
      </c>
      <c r="AN249" s="34">
        <f t="shared" si="68"/>
        <v>0.04</v>
      </c>
    </row>
    <row r="250" spans="36:40" x14ac:dyDescent="0.25">
      <c r="AJ250" s="34" t="str">
        <f t="shared" si="67"/>
        <v>BGHigh</v>
      </c>
      <c r="AK250" s="34" t="s">
        <v>26</v>
      </c>
      <c r="AL250" s="34" t="s">
        <v>74</v>
      </c>
      <c r="AM250" s="34">
        <v>2024</v>
      </c>
      <c r="AN250" s="34">
        <f t="shared" si="68"/>
        <v>7.0000000000000007E-2</v>
      </c>
    </row>
    <row r="251" spans="36:40" x14ac:dyDescent="0.25">
      <c r="AJ251" s="34" t="str">
        <f t="shared" si="67"/>
        <v>BGHigh</v>
      </c>
      <c r="AK251" s="34" t="s">
        <v>26</v>
      </c>
      <c r="AL251" s="34" t="s">
        <v>74</v>
      </c>
      <c r="AM251" s="34">
        <v>2025</v>
      </c>
      <c r="AN251" s="34">
        <f t="shared" si="68"/>
        <v>7.8333333333333324E-2</v>
      </c>
    </row>
    <row r="252" spans="36:40" x14ac:dyDescent="0.25">
      <c r="AJ252" s="34" t="str">
        <f t="shared" si="67"/>
        <v>BGHigh</v>
      </c>
      <c r="AK252" s="34" t="s">
        <v>26</v>
      </c>
      <c r="AL252" s="34" t="s">
        <v>74</v>
      </c>
      <c r="AM252" s="34">
        <v>2026</v>
      </c>
      <c r="AN252" s="34">
        <f t="shared" si="68"/>
        <v>8.6666666666666656E-2</v>
      </c>
    </row>
    <row r="253" spans="36:40" x14ac:dyDescent="0.25">
      <c r="AJ253" s="34" t="str">
        <f t="shared" si="67"/>
        <v>BGHigh</v>
      </c>
      <c r="AK253" s="34" t="s">
        <v>26</v>
      </c>
      <c r="AL253" s="34" t="s">
        <v>74</v>
      </c>
      <c r="AM253" s="34">
        <v>2027</v>
      </c>
      <c r="AN253" s="34">
        <f t="shared" si="68"/>
        <v>9.5000000000000001E-2</v>
      </c>
    </row>
    <row r="254" spans="36:40" x14ac:dyDescent="0.25">
      <c r="AJ254" s="34" t="str">
        <f t="shared" si="67"/>
        <v>BGHigh</v>
      </c>
      <c r="AK254" s="34" t="s">
        <v>26</v>
      </c>
      <c r="AL254" s="34" t="s">
        <v>74</v>
      </c>
      <c r="AM254" s="34">
        <v>2028</v>
      </c>
      <c r="AN254" s="34">
        <f t="shared" si="68"/>
        <v>0.10333333333333333</v>
      </c>
    </row>
    <row r="255" spans="36:40" x14ac:dyDescent="0.25">
      <c r="AJ255" s="34" t="str">
        <f t="shared" si="67"/>
        <v>BGHigh</v>
      </c>
      <c r="AK255" s="34" t="s">
        <v>26</v>
      </c>
      <c r="AL255" s="34" t="s">
        <v>74</v>
      </c>
      <c r="AM255" s="34">
        <v>2029</v>
      </c>
      <c r="AN255" s="34">
        <f t="shared" si="68"/>
        <v>0.11166666666666668</v>
      </c>
    </row>
    <row r="256" spans="36:40" x14ac:dyDescent="0.25">
      <c r="AJ256" s="34" t="str">
        <f t="shared" si="67"/>
        <v>BGHigh</v>
      </c>
      <c r="AK256" s="34" t="s">
        <v>26</v>
      </c>
      <c r="AL256" s="34" t="s">
        <v>74</v>
      </c>
      <c r="AM256" s="34">
        <v>2030</v>
      </c>
      <c r="AN256" s="34">
        <f t="shared" si="68"/>
        <v>0.12</v>
      </c>
    </row>
    <row r="257" spans="36:40" x14ac:dyDescent="0.25">
      <c r="AJ257" s="34" t="str">
        <f t="shared" si="67"/>
        <v>BGHigh</v>
      </c>
      <c r="AK257" s="34" t="s">
        <v>26</v>
      </c>
      <c r="AL257" s="34" t="s">
        <v>74</v>
      </c>
      <c r="AM257" s="34">
        <v>2031</v>
      </c>
      <c r="AN257" s="34">
        <f t="shared" si="68"/>
        <v>0.12</v>
      </c>
    </row>
    <row r="258" spans="36:40" x14ac:dyDescent="0.25">
      <c r="AJ258" s="34" t="str">
        <f t="shared" si="67"/>
        <v>BGHigh</v>
      </c>
      <c r="AK258" s="34" t="s">
        <v>26</v>
      </c>
      <c r="AL258" s="34" t="s">
        <v>74</v>
      </c>
      <c r="AM258" s="34">
        <v>2032</v>
      </c>
      <c r="AN258" s="34">
        <f t="shared" si="68"/>
        <v>0.12</v>
      </c>
    </row>
    <row r="259" spans="36:40" x14ac:dyDescent="0.25">
      <c r="AJ259" s="34" t="str">
        <f t="shared" si="67"/>
        <v>BGHigh</v>
      </c>
      <c r="AK259" s="34" t="s">
        <v>26</v>
      </c>
      <c r="AL259" s="34" t="s">
        <v>74</v>
      </c>
      <c r="AM259" s="34">
        <v>2033</v>
      </c>
      <c r="AN259" s="34">
        <f t="shared" si="68"/>
        <v>0.12</v>
      </c>
    </row>
    <row r="260" spans="36:40" x14ac:dyDescent="0.25">
      <c r="AJ260" s="34" t="str">
        <f t="shared" si="67"/>
        <v>BGHigh</v>
      </c>
      <c r="AK260" s="34" t="s">
        <v>26</v>
      </c>
      <c r="AL260" s="34" t="s">
        <v>74</v>
      </c>
      <c r="AM260" s="34">
        <v>2034</v>
      </c>
      <c r="AN260" s="34">
        <f t="shared" si="68"/>
        <v>0.12</v>
      </c>
    </row>
    <row r="261" spans="36:40" x14ac:dyDescent="0.25">
      <c r="AJ261" s="34" t="str">
        <f t="shared" si="67"/>
        <v>BGHigh</v>
      </c>
      <c r="AK261" s="34" t="s">
        <v>26</v>
      </c>
      <c r="AL261" s="34" t="s">
        <v>74</v>
      </c>
      <c r="AM261" s="34">
        <v>2035</v>
      </c>
      <c r="AN261" s="34">
        <f t="shared" si="68"/>
        <v>0.12</v>
      </c>
    </row>
    <row r="262" spans="36:40" x14ac:dyDescent="0.25">
      <c r="AJ262" s="34" t="str">
        <f t="shared" si="67"/>
        <v>BGHigh</v>
      </c>
      <c r="AK262" s="34" t="s">
        <v>26</v>
      </c>
      <c r="AL262" s="34" t="s">
        <v>74</v>
      </c>
      <c r="AM262" s="34">
        <v>2036</v>
      </c>
      <c r="AN262" s="34">
        <f t="shared" si="68"/>
        <v>0.12</v>
      </c>
    </row>
    <row r="263" spans="36:40" x14ac:dyDescent="0.25">
      <c r="AJ263" s="34" t="str">
        <f t="shared" si="67"/>
        <v>BGHigh</v>
      </c>
      <c r="AK263" s="34" t="s">
        <v>26</v>
      </c>
      <c r="AL263" s="34" t="s">
        <v>74</v>
      </c>
      <c r="AM263" s="34">
        <v>2037</v>
      </c>
      <c r="AN263" s="34">
        <f t="shared" si="68"/>
        <v>0.12</v>
      </c>
    </row>
    <row r="264" spans="36:40" x14ac:dyDescent="0.25">
      <c r="AJ264" s="34" t="str">
        <f t="shared" ref="AJ264:AJ327" si="69">AK264&amp;AL264</f>
        <v>BGHigh</v>
      </c>
      <c r="AK264" s="34" t="s">
        <v>26</v>
      </c>
      <c r="AL264" s="34" t="s">
        <v>74</v>
      </c>
      <c r="AM264" s="34">
        <v>2038</v>
      </c>
      <c r="AN264" s="34">
        <f t="shared" ref="AN264:AN327" si="70">INDEX($G$28:$AG$42,MATCH(AJ264,$F$28:$F$42,0),MATCH(AM264,$G$27:$AG$27,0))</f>
        <v>0.12</v>
      </c>
    </row>
    <row r="265" spans="36:40" x14ac:dyDescent="0.25">
      <c r="AJ265" s="34" t="str">
        <f t="shared" si="69"/>
        <v>BGHigh</v>
      </c>
      <c r="AK265" s="34" t="s">
        <v>26</v>
      </c>
      <c r="AL265" s="34" t="s">
        <v>74</v>
      </c>
      <c r="AM265" s="34">
        <v>2039</v>
      </c>
      <c r="AN265" s="34">
        <f t="shared" si="70"/>
        <v>0.12</v>
      </c>
    </row>
    <row r="266" spans="36:40" x14ac:dyDescent="0.25">
      <c r="AJ266" s="34" t="str">
        <f t="shared" si="69"/>
        <v>BGHigh</v>
      </c>
      <c r="AK266" s="34" t="s">
        <v>26</v>
      </c>
      <c r="AL266" s="34" t="s">
        <v>74</v>
      </c>
      <c r="AM266" s="34">
        <v>2040</v>
      </c>
      <c r="AN266" s="34">
        <f t="shared" si="70"/>
        <v>0.12</v>
      </c>
    </row>
    <row r="267" spans="36:40" x14ac:dyDescent="0.25">
      <c r="AJ267" s="34" t="str">
        <f t="shared" si="69"/>
        <v>BGHigh</v>
      </c>
      <c r="AK267" s="34" t="s">
        <v>26</v>
      </c>
      <c r="AL267" s="34" t="s">
        <v>74</v>
      </c>
      <c r="AM267" s="34">
        <v>2041</v>
      </c>
      <c r="AN267" s="34">
        <f t="shared" si="70"/>
        <v>0.12</v>
      </c>
    </row>
    <row r="268" spans="36:40" x14ac:dyDescent="0.25">
      <c r="AJ268" s="34" t="str">
        <f t="shared" si="69"/>
        <v>BGHigh</v>
      </c>
      <c r="AK268" s="34" t="s">
        <v>26</v>
      </c>
      <c r="AL268" s="34" t="s">
        <v>74</v>
      </c>
      <c r="AM268" s="34">
        <v>2042</v>
      </c>
      <c r="AN268" s="34">
        <f t="shared" si="70"/>
        <v>0.12</v>
      </c>
    </row>
    <row r="269" spans="36:40" x14ac:dyDescent="0.25">
      <c r="AJ269" s="34" t="str">
        <f t="shared" si="69"/>
        <v>BGHigh</v>
      </c>
      <c r="AK269" s="34" t="s">
        <v>26</v>
      </c>
      <c r="AL269" s="34" t="s">
        <v>74</v>
      </c>
      <c r="AM269" s="34">
        <v>2043</v>
      </c>
      <c r="AN269" s="34">
        <f t="shared" si="70"/>
        <v>0.12</v>
      </c>
    </row>
    <row r="270" spans="36:40" x14ac:dyDescent="0.25">
      <c r="AJ270" s="34" t="str">
        <f t="shared" si="69"/>
        <v>BGHigh</v>
      </c>
      <c r="AK270" s="34" t="s">
        <v>26</v>
      </c>
      <c r="AL270" s="34" t="s">
        <v>74</v>
      </c>
      <c r="AM270" s="34">
        <v>2044</v>
      </c>
      <c r="AN270" s="34">
        <f t="shared" si="70"/>
        <v>0.12</v>
      </c>
    </row>
    <row r="271" spans="36:40" x14ac:dyDescent="0.25">
      <c r="AJ271" s="34" t="str">
        <f t="shared" si="69"/>
        <v>BGHigh</v>
      </c>
      <c r="AK271" s="34" t="s">
        <v>26</v>
      </c>
      <c r="AL271" s="34" t="s">
        <v>74</v>
      </c>
      <c r="AM271" s="34">
        <v>2045</v>
      </c>
      <c r="AN271" s="34">
        <f t="shared" si="70"/>
        <v>0.12</v>
      </c>
    </row>
    <row r="272" spans="36:40" x14ac:dyDescent="0.25">
      <c r="AJ272" s="34" t="str">
        <f t="shared" si="69"/>
        <v>BGHigh</v>
      </c>
      <c r="AK272" s="34" t="s">
        <v>26</v>
      </c>
      <c r="AL272" s="34" t="s">
        <v>74</v>
      </c>
      <c r="AM272" s="34">
        <v>2046</v>
      </c>
      <c r="AN272" s="34">
        <f t="shared" si="70"/>
        <v>0.12</v>
      </c>
    </row>
    <row r="273" spans="36:40" x14ac:dyDescent="0.25">
      <c r="AJ273" s="34" t="str">
        <f t="shared" si="69"/>
        <v>BGHigh</v>
      </c>
      <c r="AK273" s="34" t="s">
        <v>26</v>
      </c>
      <c r="AL273" s="34" t="s">
        <v>74</v>
      </c>
      <c r="AM273" s="34">
        <v>2047</v>
      </c>
      <c r="AN273" s="34">
        <f t="shared" si="70"/>
        <v>0.12</v>
      </c>
    </row>
    <row r="274" spans="36:40" x14ac:dyDescent="0.25">
      <c r="AJ274" s="34" t="str">
        <f t="shared" si="69"/>
        <v>BGHigh</v>
      </c>
      <c r="AK274" s="34" t="s">
        <v>26</v>
      </c>
      <c r="AL274" s="34" t="s">
        <v>74</v>
      </c>
      <c r="AM274" s="34">
        <v>2048</v>
      </c>
      <c r="AN274" s="34">
        <f t="shared" si="70"/>
        <v>0.12</v>
      </c>
    </row>
    <row r="275" spans="36:40" x14ac:dyDescent="0.25">
      <c r="AJ275" s="34" t="str">
        <f t="shared" si="69"/>
        <v>BGHigh</v>
      </c>
      <c r="AK275" s="34" t="s">
        <v>26</v>
      </c>
      <c r="AL275" s="34" t="s">
        <v>74</v>
      </c>
      <c r="AM275" s="34">
        <v>2049</v>
      </c>
      <c r="AN275" s="34">
        <f t="shared" si="70"/>
        <v>0.12</v>
      </c>
    </row>
    <row r="276" spans="36:40" x14ac:dyDescent="0.25">
      <c r="AJ276" s="34" t="str">
        <f t="shared" si="69"/>
        <v>BGHigh</v>
      </c>
      <c r="AK276" s="34" t="s">
        <v>26</v>
      </c>
      <c r="AL276" s="34" t="s">
        <v>74</v>
      </c>
      <c r="AM276" s="34">
        <v>2050</v>
      </c>
      <c r="AN276" s="34">
        <f t="shared" si="70"/>
        <v>0.12</v>
      </c>
    </row>
    <row r="277" spans="36:40" x14ac:dyDescent="0.25">
      <c r="AJ277" s="34" t="str">
        <f t="shared" si="69"/>
        <v>BGAverage</v>
      </c>
      <c r="AK277" s="34" t="s">
        <v>26</v>
      </c>
      <c r="AL277" s="34" t="s">
        <v>8</v>
      </c>
      <c r="AM277" s="34">
        <v>2024</v>
      </c>
      <c r="AN277" s="34">
        <f t="shared" si="70"/>
        <v>7.0000000000000007E-2</v>
      </c>
    </row>
    <row r="278" spans="36:40" x14ac:dyDescent="0.25">
      <c r="AJ278" s="34" t="str">
        <f t="shared" si="69"/>
        <v>BGAverage</v>
      </c>
      <c r="AK278" s="34" t="s">
        <v>26</v>
      </c>
      <c r="AL278" s="34" t="s">
        <v>8</v>
      </c>
      <c r="AM278" s="34">
        <v>2025</v>
      </c>
      <c r="AN278" s="34">
        <f t="shared" si="70"/>
        <v>7.3333333333333334E-2</v>
      </c>
    </row>
    <row r="279" spans="36:40" x14ac:dyDescent="0.25">
      <c r="AJ279" s="34" t="str">
        <f t="shared" si="69"/>
        <v>BGAverage</v>
      </c>
      <c r="AK279" s="34" t="s">
        <v>26</v>
      </c>
      <c r="AL279" s="34" t="s">
        <v>8</v>
      </c>
      <c r="AM279" s="34">
        <v>2026</v>
      </c>
      <c r="AN279" s="34">
        <f t="shared" si="70"/>
        <v>7.6666666666666675E-2</v>
      </c>
    </row>
    <row r="280" spans="36:40" x14ac:dyDescent="0.25">
      <c r="AJ280" s="34" t="str">
        <f t="shared" si="69"/>
        <v>BGAverage</v>
      </c>
      <c r="AK280" s="34" t="s">
        <v>26</v>
      </c>
      <c r="AL280" s="34" t="s">
        <v>8</v>
      </c>
      <c r="AM280" s="34">
        <v>2027</v>
      </c>
      <c r="AN280" s="34">
        <f t="shared" si="70"/>
        <v>0.08</v>
      </c>
    </row>
    <row r="281" spans="36:40" x14ac:dyDescent="0.25">
      <c r="AJ281" s="34" t="str">
        <f t="shared" si="69"/>
        <v>BGAverage</v>
      </c>
      <c r="AK281" s="34" t="s">
        <v>26</v>
      </c>
      <c r="AL281" s="34" t="s">
        <v>8</v>
      </c>
      <c r="AM281" s="34">
        <v>2028</v>
      </c>
      <c r="AN281" s="34">
        <f t="shared" si="70"/>
        <v>8.3333333333333329E-2</v>
      </c>
    </row>
    <row r="282" spans="36:40" x14ac:dyDescent="0.25">
      <c r="AJ282" s="34" t="str">
        <f t="shared" si="69"/>
        <v>BGAverage</v>
      </c>
      <c r="AK282" s="34" t="s">
        <v>26</v>
      </c>
      <c r="AL282" s="34" t="s">
        <v>8</v>
      </c>
      <c r="AM282" s="34">
        <v>2029</v>
      </c>
      <c r="AN282" s="34">
        <f t="shared" si="70"/>
        <v>8.666666666666667E-2</v>
      </c>
    </row>
    <row r="283" spans="36:40" x14ac:dyDescent="0.25">
      <c r="AJ283" s="34" t="str">
        <f t="shared" si="69"/>
        <v>BGAverage</v>
      </c>
      <c r="AK283" s="34" t="s">
        <v>26</v>
      </c>
      <c r="AL283" s="34" t="s">
        <v>8</v>
      </c>
      <c r="AM283" s="34">
        <v>2030</v>
      </c>
      <c r="AN283" s="34">
        <f t="shared" si="70"/>
        <v>0.09</v>
      </c>
    </row>
    <row r="284" spans="36:40" x14ac:dyDescent="0.25">
      <c r="AJ284" s="34" t="str">
        <f t="shared" si="69"/>
        <v>BGAverage</v>
      </c>
      <c r="AK284" s="34" t="s">
        <v>26</v>
      </c>
      <c r="AL284" s="34" t="s">
        <v>8</v>
      </c>
      <c r="AM284" s="34">
        <v>2031</v>
      </c>
      <c r="AN284" s="34">
        <f t="shared" si="70"/>
        <v>0.09</v>
      </c>
    </row>
    <row r="285" spans="36:40" x14ac:dyDescent="0.25">
      <c r="AJ285" s="34" t="str">
        <f t="shared" si="69"/>
        <v>BGAverage</v>
      </c>
      <c r="AK285" s="34" t="s">
        <v>26</v>
      </c>
      <c r="AL285" s="34" t="s">
        <v>8</v>
      </c>
      <c r="AM285" s="34">
        <v>2032</v>
      </c>
      <c r="AN285" s="34">
        <f t="shared" si="70"/>
        <v>0.09</v>
      </c>
    </row>
    <row r="286" spans="36:40" x14ac:dyDescent="0.25">
      <c r="AJ286" s="34" t="str">
        <f t="shared" si="69"/>
        <v>BGAverage</v>
      </c>
      <c r="AK286" s="34" t="s">
        <v>26</v>
      </c>
      <c r="AL286" s="34" t="s">
        <v>8</v>
      </c>
      <c r="AM286" s="34">
        <v>2033</v>
      </c>
      <c r="AN286" s="34">
        <f t="shared" si="70"/>
        <v>0.09</v>
      </c>
    </row>
    <row r="287" spans="36:40" x14ac:dyDescent="0.25">
      <c r="AJ287" s="34" t="str">
        <f t="shared" si="69"/>
        <v>BGAverage</v>
      </c>
      <c r="AK287" s="34" t="s">
        <v>26</v>
      </c>
      <c r="AL287" s="34" t="s">
        <v>8</v>
      </c>
      <c r="AM287" s="34">
        <v>2034</v>
      </c>
      <c r="AN287" s="34">
        <f t="shared" si="70"/>
        <v>0.09</v>
      </c>
    </row>
    <row r="288" spans="36:40" x14ac:dyDescent="0.25">
      <c r="AJ288" s="34" t="str">
        <f t="shared" si="69"/>
        <v>BGAverage</v>
      </c>
      <c r="AK288" s="34" t="s">
        <v>26</v>
      </c>
      <c r="AL288" s="34" t="s">
        <v>8</v>
      </c>
      <c r="AM288" s="34">
        <v>2035</v>
      </c>
      <c r="AN288" s="34">
        <f t="shared" si="70"/>
        <v>0.09</v>
      </c>
    </row>
    <row r="289" spans="36:40" x14ac:dyDescent="0.25">
      <c r="AJ289" s="34" t="str">
        <f t="shared" si="69"/>
        <v>BGAverage</v>
      </c>
      <c r="AK289" s="34" t="s">
        <v>26</v>
      </c>
      <c r="AL289" s="34" t="s">
        <v>8</v>
      </c>
      <c r="AM289" s="34">
        <v>2036</v>
      </c>
      <c r="AN289" s="34">
        <f t="shared" si="70"/>
        <v>0.09</v>
      </c>
    </row>
    <row r="290" spans="36:40" x14ac:dyDescent="0.25">
      <c r="AJ290" s="34" t="str">
        <f t="shared" si="69"/>
        <v>BGAverage</v>
      </c>
      <c r="AK290" s="34" t="s">
        <v>26</v>
      </c>
      <c r="AL290" s="34" t="s">
        <v>8</v>
      </c>
      <c r="AM290" s="34">
        <v>2037</v>
      </c>
      <c r="AN290" s="34">
        <f t="shared" si="70"/>
        <v>0.09</v>
      </c>
    </row>
    <row r="291" spans="36:40" x14ac:dyDescent="0.25">
      <c r="AJ291" s="34" t="str">
        <f t="shared" si="69"/>
        <v>BGAverage</v>
      </c>
      <c r="AK291" s="34" t="s">
        <v>26</v>
      </c>
      <c r="AL291" s="34" t="s">
        <v>8</v>
      </c>
      <c r="AM291" s="34">
        <v>2038</v>
      </c>
      <c r="AN291" s="34">
        <f t="shared" si="70"/>
        <v>0.09</v>
      </c>
    </row>
    <row r="292" spans="36:40" x14ac:dyDescent="0.25">
      <c r="AJ292" s="34" t="str">
        <f t="shared" si="69"/>
        <v>BGAverage</v>
      </c>
      <c r="AK292" s="34" t="s">
        <v>26</v>
      </c>
      <c r="AL292" s="34" t="s">
        <v>8</v>
      </c>
      <c r="AM292" s="34">
        <v>2039</v>
      </c>
      <c r="AN292" s="34">
        <f t="shared" si="70"/>
        <v>0.09</v>
      </c>
    </row>
    <row r="293" spans="36:40" x14ac:dyDescent="0.25">
      <c r="AJ293" s="34" t="str">
        <f t="shared" si="69"/>
        <v>BGAverage</v>
      </c>
      <c r="AK293" s="34" t="s">
        <v>26</v>
      </c>
      <c r="AL293" s="34" t="s">
        <v>8</v>
      </c>
      <c r="AM293" s="34">
        <v>2040</v>
      </c>
      <c r="AN293" s="34">
        <f t="shared" si="70"/>
        <v>0.09</v>
      </c>
    </row>
    <row r="294" spans="36:40" x14ac:dyDescent="0.25">
      <c r="AJ294" s="34" t="str">
        <f t="shared" si="69"/>
        <v>BGAverage</v>
      </c>
      <c r="AK294" s="34" t="s">
        <v>26</v>
      </c>
      <c r="AL294" s="34" t="s">
        <v>8</v>
      </c>
      <c r="AM294" s="34">
        <v>2041</v>
      </c>
      <c r="AN294" s="34">
        <f t="shared" si="70"/>
        <v>0.09</v>
      </c>
    </row>
    <row r="295" spans="36:40" x14ac:dyDescent="0.25">
      <c r="AJ295" s="34" t="str">
        <f t="shared" si="69"/>
        <v>BGAverage</v>
      </c>
      <c r="AK295" s="34" t="s">
        <v>26</v>
      </c>
      <c r="AL295" s="34" t="s">
        <v>8</v>
      </c>
      <c r="AM295" s="34">
        <v>2042</v>
      </c>
      <c r="AN295" s="34">
        <f t="shared" si="70"/>
        <v>0.09</v>
      </c>
    </row>
    <row r="296" spans="36:40" x14ac:dyDescent="0.25">
      <c r="AJ296" s="34" t="str">
        <f t="shared" si="69"/>
        <v>BGAverage</v>
      </c>
      <c r="AK296" s="34" t="s">
        <v>26</v>
      </c>
      <c r="AL296" s="34" t="s">
        <v>8</v>
      </c>
      <c r="AM296" s="34">
        <v>2043</v>
      </c>
      <c r="AN296" s="34">
        <f t="shared" si="70"/>
        <v>0.09</v>
      </c>
    </row>
    <row r="297" spans="36:40" x14ac:dyDescent="0.25">
      <c r="AJ297" s="34" t="str">
        <f t="shared" si="69"/>
        <v>BGAverage</v>
      </c>
      <c r="AK297" s="34" t="s">
        <v>26</v>
      </c>
      <c r="AL297" s="34" t="s">
        <v>8</v>
      </c>
      <c r="AM297" s="34">
        <v>2044</v>
      </c>
      <c r="AN297" s="34">
        <f t="shared" si="70"/>
        <v>0.09</v>
      </c>
    </row>
    <row r="298" spans="36:40" x14ac:dyDescent="0.25">
      <c r="AJ298" s="34" t="str">
        <f t="shared" si="69"/>
        <v>BGAverage</v>
      </c>
      <c r="AK298" s="34" t="s">
        <v>26</v>
      </c>
      <c r="AL298" s="34" t="s">
        <v>8</v>
      </c>
      <c r="AM298" s="34">
        <v>2045</v>
      </c>
      <c r="AN298" s="34">
        <f t="shared" si="70"/>
        <v>0.09</v>
      </c>
    </row>
    <row r="299" spans="36:40" x14ac:dyDescent="0.25">
      <c r="AJ299" s="34" t="str">
        <f t="shared" si="69"/>
        <v>BGAverage</v>
      </c>
      <c r="AK299" s="34" t="s">
        <v>26</v>
      </c>
      <c r="AL299" s="34" t="s">
        <v>8</v>
      </c>
      <c r="AM299" s="34">
        <v>2046</v>
      </c>
      <c r="AN299" s="34">
        <f t="shared" si="70"/>
        <v>0.09</v>
      </c>
    </row>
    <row r="300" spans="36:40" x14ac:dyDescent="0.25">
      <c r="AJ300" s="34" t="str">
        <f t="shared" si="69"/>
        <v>BGAverage</v>
      </c>
      <c r="AK300" s="34" t="s">
        <v>26</v>
      </c>
      <c r="AL300" s="34" t="s">
        <v>8</v>
      </c>
      <c r="AM300" s="34">
        <v>2047</v>
      </c>
      <c r="AN300" s="34">
        <f t="shared" si="70"/>
        <v>0.09</v>
      </c>
    </row>
    <row r="301" spans="36:40" x14ac:dyDescent="0.25">
      <c r="AJ301" s="34" t="str">
        <f t="shared" si="69"/>
        <v>BGAverage</v>
      </c>
      <c r="AK301" s="34" t="s">
        <v>26</v>
      </c>
      <c r="AL301" s="34" t="s">
        <v>8</v>
      </c>
      <c r="AM301" s="34">
        <v>2048</v>
      </c>
      <c r="AN301" s="34">
        <f t="shared" si="70"/>
        <v>0.09</v>
      </c>
    </row>
    <row r="302" spans="36:40" x14ac:dyDescent="0.25">
      <c r="AJ302" s="34" t="str">
        <f t="shared" si="69"/>
        <v>BGAverage</v>
      </c>
      <c r="AK302" s="34" t="s">
        <v>26</v>
      </c>
      <c r="AL302" s="34" t="s">
        <v>8</v>
      </c>
      <c r="AM302" s="34">
        <v>2049</v>
      </c>
      <c r="AN302" s="34">
        <f t="shared" si="70"/>
        <v>0.09</v>
      </c>
    </row>
    <row r="303" spans="36:40" x14ac:dyDescent="0.25">
      <c r="AJ303" s="34" t="str">
        <f t="shared" si="69"/>
        <v>BGAverage</v>
      </c>
      <c r="AK303" s="34" t="s">
        <v>26</v>
      </c>
      <c r="AL303" s="34" t="s">
        <v>8</v>
      </c>
      <c r="AM303" s="34">
        <v>2050</v>
      </c>
      <c r="AN303" s="34">
        <f t="shared" si="70"/>
        <v>0.09</v>
      </c>
    </row>
    <row r="304" spans="36:40" x14ac:dyDescent="0.25">
      <c r="AJ304" s="34" t="str">
        <f t="shared" si="69"/>
        <v>BGLow</v>
      </c>
      <c r="AK304" s="34" t="s">
        <v>26</v>
      </c>
      <c r="AL304" s="34" t="s">
        <v>75</v>
      </c>
      <c r="AM304" s="34">
        <v>2024</v>
      </c>
      <c r="AN304" s="34">
        <f t="shared" si="70"/>
        <v>7.0000000000000007E-2</v>
      </c>
    </row>
    <row r="305" spans="36:40" x14ac:dyDescent="0.25">
      <c r="AJ305" s="34" t="str">
        <f t="shared" si="69"/>
        <v>BGLow</v>
      </c>
      <c r="AK305" s="34" t="s">
        <v>26</v>
      </c>
      <c r="AL305" s="34" t="s">
        <v>75</v>
      </c>
      <c r="AM305" s="34">
        <v>2025</v>
      </c>
      <c r="AN305" s="34">
        <f t="shared" si="70"/>
        <v>6.5000000000000002E-2</v>
      </c>
    </row>
    <row r="306" spans="36:40" x14ac:dyDescent="0.25">
      <c r="AJ306" s="34" t="str">
        <f t="shared" si="69"/>
        <v>BGLow</v>
      </c>
      <c r="AK306" s="34" t="s">
        <v>26</v>
      </c>
      <c r="AL306" s="34" t="s">
        <v>75</v>
      </c>
      <c r="AM306" s="34">
        <v>2026</v>
      </c>
      <c r="AN306" s="34">
        <f t="shared" si="70"/>
        <v>0.06</v>
      </c>
    </row>
    <row r="307" spans="36:40" x14ac:dyDescent="0.25">
      <c r="AJ307" s="34" t="str">
        <f t="shared" si="69"/>
        <v>BGLow</v>
      </c>
      <c r="AK307" s="34" t="s">
        <v>26</v>
      </c>
      <c r="AL307" s="34" t="s">
        <v>75</v>
      </c>
      <c r="AM307" s="34">
        <v>2027</v>
      </c>
      <c r="AN307" s="34">
        <f t="shared" si="70"/>
        <v>5.5E-2</v>
      </c>
    </row>
    <row r="308" spans="36:40" x14ac:dyDescent="0.25">
      <c r="AJ308" s="34" t="str">
        <f t="shared" si="69"/>
        <v>BGLow</v>
      </c>
      <c r="AK308" s="34" t="s">
        <v>26</v>
      </c>
      <c r="AL308" s="34" t="s">
        <v>75</v>
      </c>
      <c r="AM308" s="34">
        <v>2028</v>
      </c>
      <c r="AN308" s="34">
        <f t="shared" si="70"/>
        <v>0.05</v>
      </c>
    </row>
    <row r="309" spans="36:40" x14ac:dyDescent="0.25">
      <c r="AJ309" s="34" t="str">
        <f t="shared" si="69"/>
        <v>BGLow</v>
      </c>
      <c r="AK309" s="34" t="s">
        <v>26</v>
      </c>
      <c r="AL309" s="34" t="s">
        <v>75</v>
      </c>
      <c r="AM309" s="34">
        <v>2029</v>
      </c>
      <c r="AN309" s="34">
        <f t="shared" si="70"/>
        <v>4.4999999999999998E-2</v>
      </c>
    </row>
    <row r="310" spans="36:40" x14ac:dyDescent="0.25">
      <c r="AJ310" s="34" t="str">
        <f t="shared" si="69"/>
        <v>BGLow</v>
      </c>
      <c r="AK310" s="34" t="s">
        <v>26</v>
      </c>
      <c r="AL310" s="34" t="s">
        <v>75</v>
      </c>
      <c r="AM310" s="34">
        <v>2030</v>
      </c>
      <c r="AN310" s="34">
        <f t="shared" si="70"/>
        <v>0.04</v>
      </c>
    </row>
    <row r="311" spans="36:40" x14ac:dyDescent="0.25">
      <c r="AJ311" s="34" t="str">
        <f t="shared" si="69"/>
        <v>BGLow</v>
      </c>
      <c r="AK311" s="34" t="s">
        <v>26</v>
      </c>
      <c r="AL311" s="34" t="s">
        <v>75</v>
      </c>
      <c r="AM311" s="34">
        <v>2031</v>
      </c>
      <c r="AN311" s="34">
        <f t="shared" si="70"/>
        <v>0.04</v>
      </c>
    </row>
    <row r="312" spans="36:40" x14ac:dyDescent="0.25">
      <c r="AJ312" s="34" t="str">
        <f t="shared" si="69"/>
        <v>BGLow</v>
      </c>
      <c r="AK312" s="34" t="s">
        <v>26</v>
      </c>
      <c r="AL312" s="34" t="s">
        <v>75</v>
      </c>
      <c r="AM312" s="34">
        <v>2032</v>
      </c>
      <c r="AN312" s="34">
        <f t="shared" si="70"/>
        <v>0.04</v>
      </c>
    </row>
    <row r="313" spans="36:40" x14ac:dyDescent="0.25">
      <c r="AJ313" s="34" t="str">
        <f t="shared" si="69"/>
        <v>BGLow</v>
      </c>
      <c r="AK313" s="34" t="s">
        <v>26</v>
      </c>
      <c r="AL313" s="34" t="s">
        <v>75</v>
      </c>
      <c r="AM313" s="34">
        <v>2033</v>
      </c>
      <c r="AN313" s="34">
        <f t="shared" si="70"/>
        <v>0.04</v>
      </c>
    </row>
    <row r="314" spans="36:40" x14ac:dyDescent="0.25">
      <c r="AJ314" s="34" t="str">
        <f t="shared" si="69"/>
        <v>BGLow</v>
      </c>
      <c r="AK314" s="34" t="s">
        <v>26</v>
      </c>
      <c r="AL314" s="34" t="s">
        <v>75</v>
      </c>
      <c r="AM314" s="34">
        <v>2034</v>
      </c>
      <c r="AN314" s="34">
        <f t="shared" si="70"/>
        <v>0.04</v>
      </c>
    </row>
    <row r="315" spans="36:40" x14ac:dyDescent="0.25">
      <c r="AJ315" s="34" t="str">
        <f t="shared" si="69"/>
        <v>BGLow</v>
      </c>
      <c r="AK315" s="34" t="s">
        <v>26</v>
      </c>
      <c r="AL315" s="34" t="s">
        <v>75</v>
      </c>
      <c r="AM315" s="34">
        <v>2035</v>
      </c>
      <c r="AN315" s="34">
        <f t="shared" si="70"/>
        <v>0.04</v>
      </c>
    </row>
    <row r="316" spans="36:40" x14ac:dyDescent="0.25">
      <c r="AJ316" s="34" t="str">
        <f t="shared" si="69"/>
        <v>BGLow</v>
      </c>
      <c r="AK316" s="34" t="s">
        <v>26</v>
      </c>
      <c r="AL316" s="34" t="s">
        <v>75</v>
      </c>
      <c r="AM316" s="34">
        <v>2036</v>
      </c>
      <c r="AN316" s="34">
        <f t="shared" si="70"/>
        <v>0.04</v>
      </c>
    </row>
    <row r="317" spans="36:40" x14ac:dyDescent="0.25">
      <c r="AJ317" s="34" t="str">
        <f t="shared" si="69"/>
        <v>BGLow</v>
      </c>
      <c r="AK317" s="34" t="s">
        <v>26</v>
      </c>
      <c r="AL317" s="34" t="s">
        <v>75</v>
      </c>
      <c r="AM317" s="34">
        <v>2037</v>
      </c>
      <c r="AN317" s="34">
        <f t="shared" si="70"/>
        <v>0.04</v>
      </c>
    </row>
    <row r="318" spans="36:40" x14ac:dyDescent="0.25">
      <c r="AJ318" s="34" t="str">
        <f t="shared" si="69"/>
        <v>BGLow</v>
      </c>
      <c r="AK318" s="34" t="s">
        <v>26</v>
      </c>
      <c r="AL318" s="34" t="s">
        <v>75</v>
      </c>
      <c r="AM318" s="34">
        <v>2038</v>
      </c>
      <c r="AN318" s="34">
        <f t="shared" si="70"/>
        <v>0.04</v>
      </c>
    </row>
    <row r="319" spans="36:40" x14ac:dyDescent="0.25">
      <c r="AJ319" s="34" t="str">
        <f t="shared" si="69"/>
        <v>BGLow</v>
      </c>
      <c r="AK319" s="34" t="s">
        <v>26</v>
      </c>
      <c r="AL319" s="34" t="s">
        <v>75</v>
      </c>
      <c r="AM319" s="34">
        <v>2039</v>
      </c>
      <c r="AN319" s="34">
        <f t="shared" si="70"/>
        <v>0.04</v>
      </c>
    </row>
    <row r="320" spans="36:40" x14ac:dyDescent="0.25">
      <c r="AJ320" s="34" t="str">
        <f t="shared" si="69"/>
        <v>BGLow</v>
      </c>
      <c r="AK320" s="34" t="s">
        <v>26</v>
      </c>
      <c r="AL320" s="34" t="s">
        <v>75</v>
      </c>
      <c r="AM320" s="34">
        <v>2040</v>
      </c>
      <c r="AN320" s="34">
        <f t="shared" si="70"/>
        <v>0.04</v>
      </c>
    </row>
    <row r="321" spans="36:40" x14ac:dyDescent="0.25">
      <c r="AJ321" s="34" t="str">
        <f t="shared" si="69"/>
        <v>BGLow</v>
      </c>
      <c r="AK321" s="34" t="s">
        <v>26</v>
      </c>
      <c r="AL321" s="34" t="s">
        <v>75</v>
      </c>
      <c r="AM321" s="34">
        <v>2041</v>
      </c>
      <c r="AN321" s="34">
        <f t="shared" si="70"/>
        <v>0.04</v>
      </c>
    </row>
    <row r="322" spans="36:40" x14ac:dyDescent="0.25">
      <c r="AJ322" s="34" t="str">
        <f t="shared" si="69"/>
        <v>BGLow</v>
      </c>
      <c r="AK322" s="34" t="s">
        <v>26</v>
      </c>
      <c r="AL322" s="34" t="s">
        <v>75</v>
      </c>
      <c r="AM322" s="34">
        <v>2042</v>
      </c>
      <c r="AN322" s="34">
        <f t="shared" si="70"/>
        <v>0.04</v>
      </c>
    </row>
    <row r="323" spans="36:40" x14ac:dyDescent="0.25">
      <c r="AJ323" s="34" t="str">
        <f t="shared" si="69"/>
        <v>BGLow</v>
      </c>
      <c r="AK323" s="34" t="s">
        <v>26</v>
      </c>
      <c r="AL323" s="34" t="s">
        <v>75</v>
      </c>
      <c r="AM323" s="34">
        <v>2043</v>
      </c>
      <c r="AN323" s="34">
        <f t="shared" si="70"/>
        <v>0.04</v>
      </c>
    </row>
    <row r="324" spans="36:40" x14ac:dyDescent="0.25">
      <c r="AJ324" s="34" t="str">
        <f t="shared" si="69"/>
        <v>BGLow</v>
      </c>
      <c r="AK324" s="34" t="s">
        <v>26</v>
      </c>
      <c r="AL324" s="34" t="s">
        <v>75</v>
      </c>
      <c r="AM324" s="34">
        <v>2044</v>
      </c>
      <c r="AN324" s="34">
        <f t="shared" si="70"/>
        <v>0.04</v>
      </c>
    </row>
    <row r="325" spans="36:40" x14ac:dyDescent="0.25">
      <c r="AJ325" s="34" t="str">
        <f t="shared" si="69"/>
        <v>BGLow</v>
      </c>
      <c r="AK325" s="34" t="s">
        <v>26</v>
      </c>
      <c r="AL325" s="34" t="s">
        <v>75</v>
      </c>
      <c r="AM325" s="34">
        <v>2045</v>
      </c>
      <c r="AN325" s="34">
        <f t="shared" si="70"/>
        <v>0.04</v>
      </c>
    </row>
    <row r="326" spans="36:40" x14ac:dyDescent="0.25">
      <c r="AJ326" s="34" t="str">
        <f t="shared" si="69"/>
        <v>BGLow</v>
      </c>
      <c r="AK326" s="34" t="s">
        <v>26</v>
      </c>
      <c r="AL326" s="34" t="s">
        <v>75</v>
      </c>
      <c r="AM326" s="34">
        <v>2046</v>
      </c>
      <c r="AN326" s="34">
        <f t="shared" si="70"/>
        <v>0.04</v>
      </c>
    </row>
    <row r="327" spans="36:40" x14ac:dyDescent="0.25">
      <c r="AJ327" s="34" t="str">
        <f t="shared" si="69"/>
        <v>BGLow</v>
      </c>
      <c r="AK327" s="34" t="s">
        <v>26</v>
      </c>
      <c r="AL327" s="34" t="s">
        <v>75</v>
      </c>
      <c r="AM327" s="34">
        <v>2047</v>
      </c>
      <c r="AN327" s="34">
        <f t="shared" si="70"/>
        <v>0.04</v>
      </c>
    </row>
    <row r="328" spans="36:40" x14ac:dyDescent="0.25">
      <c r="AJ328" s="34" t="str">
        <f t="shared" ref="AJ328:AJ391" si="71">AK328&amp;AL328</f>
        <v>BGLow</v>
      </c>
      <c r="AK328" s="34" t="s">
        <v>26</v>
      </c>
      <c r="AL328" s="34" t="s">
        <v>75</v>
      </c>
      <c r="AM328" s="34">
        <v>2048</v>
      </c>
      <c r="AN328" s="34">
        <f t="shared" ref="AN328:AN391" si="72">INDEX($G$28:$AG$42,MATCH(AJ328,$F$28:$F$42,0),MATCH(AM328,$G$27:$AG$27,0))</f>
        <v>0.04</v>
      </c>
    </row>
    <row r="329" spans="36:40" x14ac:dyDescent="0.25">
      <c r="AJ329" s="34" t="str">
        <f t="shared" si="71"/>
        <v>BGLow</v>
      </c>
      <c r="AK329" s="34" t="s">
        <v>26</v>
      </c>
      <c r="AL329" s="34" t="s">
        <v>75</v>
      </c>
      <c r="AM329" s="34">
        <v>2049</v>
      </c>
      <c r="AN329" s="34">
        <f t="shared" si="72"/>
        <v>0.04</v>
      </c>
    </row>
    <row r="330" spans="36:40" x14ac:dyDescent="0.25">
      <c r="AJ330" s="34" t="str">
        <f t="shared" si="71"/>
        <v>BGLow</v>
      </c>
      <c r="AK330" s="34" t="s">
        <v>26</v>
      </c>
      <c r="AL330" s="34" t="s">
        <v>75</v>
      </c>
      <c r="AM330" s="34">
        <v>2050</v>
      </c>
      <c r="AN330" s="34">
        <f t="shared" si="72"/>
        <v>0.04</v>
      </c>
    </row>
    <row r="331" spans="36:40" x14ac:dyDescent="0.25">
      <c r="AJ331" s="34" t="str">
        <f t="shared" si="71"/>
        <v>HVOHigh</v>
      </c>
      <c r="AK331" s="34" t="s">
        <v>77</v>
      </c>
      <c r="AL331" s="34" t="s">
        <v>74</v>
      </c>
      <c r="AM331" s="34">
        <v>2024</v>
      </c>
      <c r="AN331" s="34">
        <f t="shared" si="72"/>
        <v>7.8E-2</v>
      </c>
    </row>
    <row r="332" spans="36:40" x14ac:dyDescent="0.25">
      <c r="AJ332" s="34" t="str">
        <f t="shared" si="71"/>
        <v>HVOHigh</v>
      </c>
      <c r="AK332" s="34" t="s">
        <v>77</v>
      </c>
      <c r="AL332" s="34" t="s">
        <v>74</v>
      </c>
      <c r="AM332" s="34">
        <v>2025</v>
      </c>
      <c r="AN332" s="34">
        <f t="shared" si="72"/>
        <v>7.3499999999999996E-2</v>
      </c>
    </row>
    <row r="333" spans="36:40" x14ac:dyDescent="0.25">
      <c r="AJ333" s="34" t="str">
        <f t="shared" si="71"/>
        <v>HVOHigh</v>
      </c>
      <c r="AK333" s="34" t="s">
        <v>77</v>
      </c>
      <c r="AL333" s="34" t="s">
        <v>74</v>
      </c>
      <c r="AM333" s="34">
        <v>2026</v>
      </c>
      <c r="AN333" s="34">
        <f t="shared" si="72"/>
        <v>6.9000000000000006E-2</v>
      </c>
    </row>
    <row r="334" spans="36:40" x14ac:dyDescent="0.25">
      <c r="AJ334" s="34" t="str">
        <f t="shared" si="71"/>
        <v>HVOHigh</v>
      </c>
      <c r="AK334" s="34" t="s">
        <v>77</v>
      </c>
      <c r="AL334" s="34" t="s">
        <v>74</v>
      </c>
      <c r="AM334" s="34">
        <v>2027</v>
      </c>
      <c r="AN334" s="34">
        <f t="shared" si="72"/>
        <v>6.4500000000000002E-2</v>
      </c>
    </row>
    <row r="335" spans="36:40" x14ac:dyDescent="0.25">
      <c r="AJ335" s="34" t="str">
        <f t="shared" si="71"/>
        <v>HVOHigh</v>
      </c>
      <c r="AK335" s="34" t="s">
        <v>77</v>
      </c>
      <c r="AL335" s="34" t="s">
        <v>74</v>
      </c>
      <c r="AM335" s="34">
        <v>2028</v>
      </c>
      <c r="AN335" s="34">
        <f t="shared" si="72"/>
        <v>0.06</v>
      </c>
    </row>
    <row r="336" spans="36:40" x14ac:dyDescent="0.25">
      <c r="AJ336" s="34" t="str">
        <f t="shared" si="71"/>
        <v>HVOHigh</v>
      </c>
      <c r="AK336" s="34" t="s">
        <v>77</v>
      </c>
      <c r="AL336" s="34" t="s">
        <v>74</v>
      </c>
      <c r="AM336" s="34">
        <v>2029</v>
      </c>
      <c r="AN336" s="34">
        <f t="shared" si="72"/>
        <v>5.5500000000000001E-2</v>
      </c>
    </row>
    <row r="337" spans="36:40" x14ac:dyDescent="0.25">
      <c r="AJ337" s="34" t="str">
        <f t="shared" si="71"/>
        <v>HVOHigh</v>
      </c>
      <c r="AK337" s="34" t="s">
        <v>77</v>
      </c>
      <c r="AL337" s="34" t="s">
        <v>74</v>
      </c>
      <c r="AM337" s="34">
        <v>2030</v>
      </c>
      <c r="AN337" s="34">
        <f t="shared" si="72"/>
        <v>5.0999999999999997E-2</v>
      </c>
    </row>
    <row r="338" spans="36:40" x14ac:dyDescent="0.25">
      <c r="AJ338" s="34" t="str">
        <f t="shared" si="71"/>
        <v>HVOHigh</v>
      </c>
      <c r="AK338" s="34" t="s">
        <v>77</v>
      </c>
      <c r="AL338" s="34" t="s">
        <v>74</v>
      </c>
      <c r="AM338" s="34">
        <v>2031</v>
      </c>
      <c r="AN338" s="34">
        <f t="shared" si="72"/>
        <v>5.0999999999999997E-2</v>
      </c>
    </row>
    <row r="339" spans="36:40" x14ac:dyDescent="0.25">
      <c r="AJ339" s="34" t="str">
        <f t="shared" si="71"/>
        <v>HVOHigh</v>
      </c>
      <c r="AK339" s="34" t="s">
        <v>77</v>
      </c>
      <c r="AL339" s="34" t="s">
        <v>74</v>
      </c>
      <c r="AM339" s="34">
        <v>2032</v>
      </c>
      <c r="AN339" s="34">
        <f t="shared" si="72"/>
        <v>5.0999999999999997E-2</v>
      </c>
    </row>
    <row r="340" spans="36:40" x14ac:dyDescent="0.25">
      <c r="AJ340" s="34" t="str">
        <f t="shared" si="71"/>
        <v>HVOHigh</v>
      </c>
      <c r="AK340" s="34" t="s">
        <v>77</v>
      </c>
      <c r="AL340" s="34" t="s">
        <v>74</v>
      </c>
      <c r="AM340" s="34">
        <v>2033</v>
      </c>
      <c r="AN340" s="34">
        <f t="shared" si="72"/>
        <v>5.0999999999999997E-2</v>
      </c>
    </row>
    <row r="341" spans="36:40" x14ac:dyDescent="0.25">
      <c r="AJ341" s="34" t="str">
        <f t="shared" si="71"/>
        <v>HVOHigh</v>
      </c>
      <c r="AK341" s="34" t="s">
        <v>77</v>
      </c>
      <c r="AL341" s="34" t="s">
        <v>74</v>
      </c>
      <c r="AM341" s="34">
        <v>2034</v>
      </c>
      <c r="AN341" s="34">
        <f t="shared" si="72"/>
        <v>5.0999999999999997E-2</v>
      </c>
    </row>
    <row r="342" spans="36:40" x14ac:dyDescent="0.25">
      <c r="AJ342" s="34" t="str">
        <f t="shared" si="71"/>
        <v>HVOHigh</v>
      </c>
      <c r="AK342" s="34" t="s">
        <v>77</v>
      </c>
      <c r="AL342" s="34" t="s">
        <v>74</v>
      </c>
      <c r="AM342" s="34">
        <v>2035</v>
      </c>
      <c r="AN342" s="34">
        <f t="shared" si="72"/>
        <v>5.0999999999999997E-2</v>
      </c>
    </row>
    <row r="343" spans="36:40" x14ac:dyDescent="0.25">
      <c r="AJ343" s="34" t="str">
        <f t="shared" si="71"/>
        <v>HVOHigh</v>
      </c>
      <c r="AK343" s="34" t="s">
        <v>77</v>
      </c>
      <c r="AL343" s="34" t="s">
        <v>74</v>
      </c>
      <c r="AM343" s="34">
        <v>2036</v>
      </c>
      <c r="AN343" s="34">
        <f t="shared" si="72"/>
        <v>5.0999999999999997E-2</v>
      </c>
    </row>
    <row r="344" spans="36:40" x14ac:dyDescent="0.25">
      <c r="AJ344" s="34" t="str">
        <f t="shared" si="71"/>
        <v>HVOHigh</v>
      </c>
      <c r="AK344" s="34" t="s">
        <v>77</v>
      </c>
      <c r="AL344" s="34" t="s">
        <v>74</v>
      </c>
      <c r="AM344" s="34">
        <v>2037</v>
      </c>
      <c r="AN344" s="34">
        <f t="shared" si="72"/>
        <v>5.0999999999999997E-2</v>
      </c>
    </row>
    <row r="345" spans="36:40" x14ac:dyDescent="0.25">
      <c r="AJ345" s="34" t="str">
        <f t="shared" si="71"/>
        <v>HVOHigh</v>
      </c>
      <c r="AK345" s="34" t="s">
        <v>77</v>
      </c>
      <c r="AL345" s="34" t="s">
        <v>74</v>
      </c>
      <c r="AM345" s="34">
        <v>2038</v>
      </c>
      <c r="AN345" s="34">
        <f t="shared" si="72"/>
        <v>5.0999999999999997E-2</v>
      </c>
    </row>
    <row r="346" spans="36:40" x14ac:dyDescent="0.25">
      <c r="AJ346" s="34" t="str">
        <f t="shared" si="71"/>
        <v>HVOHigh</v>
      </c>
      <c r="AK346" s="34" t="s">
        <v>77</v>
      </c>
      <c r="AL346" s="34" t="s">
        <v>74</v>
      </c>
      <c r="AM346" s="34">
        <v>2039</v>
      </c>
      <c r="AN346" s="34">
        <f t="shared" si="72"/>
        <v>5.0999999999999997E-2</v>
      </c>
    </row>
    <row r="347" spans="36:40" x14ac:dyDescent="0.25">
      <c r="AJ347" s="34" t="str">
        <f t="shared" si="71"/>
        <v>HVOHigh</v>
      </c>
      <c r="AK347" s="34" t="s">
        <v>77</v>
      </c>
      <c r="AL347" s="34" t="s">
        <v>74</v>
      </c>
      <c r="AM347" s="34">
        <v>2040</v>
      </c>
      <c r="AN347" s="34">
        <f t="shared" si="72"/>
        <v>5.0999999999999997E-2</v>
      </c>
    </row>
    <row r="348" spans="36:40" x14ac:dyDescent="0.25">
      <c r="AJ348" s="34" t="str">
        <f t="shared" si="71"/>
        <v>HVOHigh</v>
      </c>
      <c r="AK348" s="34" t="s">
        <v>77</v>
      </c>
      <c r="AL348" s="34" t="s">
        <v>74</v>
      </c>
      <c r="AM348" s="34">
        <v>2041</v>
      </c>
      <c r="AN348" s="34">
        <f t="shared" si="72"/>
        <v>5.0999999999999997E-2</v>
      </c>
    </row>
    <row r="349" spans="36:40" x14ac:dyDescent="0.25">
      <c r="AJ349" s="34" t="str">
        <f t="shared" si="71"/>
        <v>HVOHigh</v>
      </c>
      <c r="AK349" s="34" t="s">
        <v>77</v>
      </c>
      <c r="AL349" s="34" t="s">
        <v>74</v>
      </c>
      <c r="AM349" s="34">
        <v>2042</v>
      </c>
      <c r="AN349" s="34">
        <f t="shared" si="72"/>
        <v>5.0999999999999997E-2</v>
      </c>
    </row>
    <row r="350" spans="36:40" x14ac:dyDescent="0.25">
      <c r="AJ350" s="34" t="str">
        <f t="shared" si="71"/>
        <v>HVOHigh</v>
      </c>
      <c r="AK350" s="34" t="s">
        <v>77</v>
      </c>
      <c r="AL350" s="34" t="s">
        <v>74</v>
      </c>
      <c r="AM350" s="34">
        <v>2043</v>
      </c>
      <c r="AN350" s="34">
        <f t="shared" si="72"/>
        <v>5.0999999999999997E-2</v>
      </c>
    </row>
    <row r="351" spans="36:40" x14ac:dyDescent="0.25">
      <c r="AJ351" s="34" t="str">
        <f t="shared" si="71"/>
        <v>HVOHigh</v>
      </c>
      <c r="AK351" s="34" t="s">
        <v>77</v>
      </c>
      <c r="AL351" s="34" t="s">
        <v>74</v>
      </c>
      <c r="AM351" s="34">
        <v>2044</v>
      </c>
      <c r="AN351" s="34">
        <f t="shared" si="72"/>
        <v>5.0999999999999997E-2</v>
      </c>
    </row>
    <row r="352" spans="36:40" x14ac:dyDescent="0.25">
      <c r="AJ352" s="34" t="str">
        <f t="shared" si="71"/>
        <v>HVOHigh</v>
      </c>
      <c r="AK352" s="34" t="s">
        <v>77</v>
      </c>
      <c r="AL352" s="34" t="s">
        <v>74</v>
      </c>
      <c r="AM352" s="34">
        <v>2045</v>
      </c>
      <c r="AN352" s="34">
        <f t="shared" si="72"/>
        <v>5.0999999999999997E-2</v>
      </c>
    </row>
    <row r="353" spans="36:40" x14ac:dyDescent="0.25">
      <c r="AJ353" s="34" t="str">
        <f t="shared" si="71"/>
        <v>HVOHigh</v>
      </c>
      <c r="AK353" s="34" t="s">
        <v>77</v>
      </c>
      <c r="AL353" s="34" t="s">
        <v>74</v>
      </c>
      <c r="AM353" s="34">
        <v>2046</v>
      </c>
      <c r="AN353" s="34">
        <f t="shared" si="72"/>
        <v>5.0999999999999997E-2</v>
      </c>
    </row>
    <row r="354" spans="36:40" x14ac:dyDescent="0.25">
      <c r="AJ354" s="34" t="str">
        <f t="shared" si="71"/>
        <v>HVOHigh</v>
      </c>
      <c r="AK354" s="34" t="s">
        <v>77</v>
      </c>
      <c r="AL354" s="34" t="s">
        <v>74</v>
      </c>
      <c r="AM354" s="34">
        <v>2047</v>
      </c>
      <c r="AN354" s="34">
        <f t="shared" si="72"/>
        <v>5.0999999999999997E-2</v>
      </c>
    </row>
    <row r="355" spans="36:40" x14ac:dyDescent="0.25">
      <c r="AJ355" s="34" t="str">
        <f t="shared" si="71"/>
        <v>HVOHigh</v>
      </c>
      <c r="AK355" s="34" t="s">
        <v>77</v>
      </c>
      <c r="AL355" s="34" t="s">
        <v>74</v>
      </c>
      <c r="AM355" s="34">
        <v>2048</v>
      </c>
      <c r="AN355" s="34">
        <f t="shared" si="72"/>
        <v>5.0999999999999997E-2</v>
      </c>
    </row>
    <row r="356" spans="36:40" x14ac:dyDescent="0.25">
      <c r="AJ356" s="34" t="str">
        <f t="shared" si="71"/>
        <v>HVOHigh</v>
      </c>
      <c r="AK356" s="34" t="s">
        <v>77</v>
      </c>
      <c r="AL356" s="34" t="s">
        <v>74</v>
      </c>
      <c r="AM356" s="34">
        <v>2049</v>
      </c>
      <c r="AN356" s="34">
        <f t="shared" si="72"/>
        <v>5.0999999999999997E-2</v>
      </c>
    </row>
    <row r="357" spans="36:40" x14ac:dyDescent="0.25">
      <c r="AJ357" s="34" t="str">
        <f t="shared" si="71"/>
        <v>HVOHigh</v>
      </c>
      <c r="AK357" s="34" t="s">
        <v>77</v>
      </c>
      <c r="AL357" s="34" t="s">
        <v>74</v>
      </c>
      <c r="AM357" s="34">
        <v>2050</v>
      </c>
      <c r="AN357" s="34">
        <f t="shared" si="72"/>
        <v>5.0999999999999997E-2</v>
      </c>
    </row>
    <row r="358" spans="36:40" x14ac:dyDescent="0.25">
      <c r="AJ358" s="34" t="str">
        <f t="shared" si="71"/>
        <v>HVOAverage</v>
      </c>
      <c r="AK358" s="34" t="s">
        <v>77</v>
      </c>
      <c r="AL358" s="34" t="s">
        <v>8</v>
      </c>
      <c r="AM358" s="34">
        <v>2024</v>
      </c>
      <c r="AN358" s="34">
        <f t="shared" si="72"/>
        <v>7.8E-2</v>
      </c>
    </row>
    <row r="359" spans="36:40" x14ac:dyDescent="0.25">
      <c r="AJ359" s="34" t="str">
        <f t="shared" si="71"/>
        <v>HVOAverage</v>
      </c>
      <c r="AK359" s="34" t="s">
        <v>77</v>
      </c>
      <c r="AL359" s="34" t="s">
        <v>8</v>
      </c>
      <c r="AM359" s="34">
        <v>2025</v>
      </c>
      <c r="AN359" s="34">
        <f t="shared" si="72"/>
        <v>7.8E-2</v>
      </c>
    </row>
    <row r="360" spans="36:40" x14ac:dyDescent="0.25">
      <c r="AJ360" s="34" t="str">
        <f t="shared" si="71"/>
        <v>HVOAverage</v>
      </c>
      <c r="AK360" s="34" t="s">
        <v>77</v>
      </c>
      <c r="AL360" s="34" t="s">
        <v>8</v>
      </c>
      <c r="AM360" s="34">
        <v>2026</v>
      </c>
      <c r="AN360" s="34">
        <f t="shared" si="72"/>
        <v>7.8E-2</v>
      </c>
    </row>
    <row r="361" spans="36:40" x14ac:dyDescent="0.25">
      <c r="AJ361" s="34" t="str">
        <f t="shared" si="71"/>
        <v>HVOAverage</v>
      </c>
      <c r="AK361" s="34" t="s">
        <v>77</v>
      </c>
      <c r="AL361" s="34" t="s">
        <v>8</v>
      </c>
      <c r="AM361" s="34">
        <v>2027</v>
      </c>
      <c r="AN361" s="34">
        <f t="shared" si="72"/>
        <v>7.8E-2</v>
      </c>
    </row>
    <row r="362" spans="36:40" x14ac:dyDescent="0.25">
      <c r="AJ362" s="34" t="str">
        <f t="shared" si="71"/>
        <v>HVOAverage</v>
      </c>
      <c r="AK362" s="34" t="s">
        <v>77</v>
      </c>
      <c r="AL362" s="34" t="s">
        <v>8</v>
      </c>
      <c r="AM362" s="34">
        <v>2028</v>
      </c>
      <c r="AN362" s="34">
        <f t="shared" si="72"/>
        <v>7.8E-2</v>
      </c>
    </row>
    <row r="363" spans="36:40" x14ac:dyDescent="0.25">
      <c r="AJ363" s="34" t="str">
        <f t="shared" si="71"/>
        <v>HVOAverage</v>
      </c>
      <c r="AK363" s="34" t="s">
        <v>77</v>
      </c>
      <c r="AL363" s="34" t="s">
        <v>8</v>
      </c>
      <c r="AM363" s="34">
        <v>2029</v>
      </c>
      <c r="AN363" s="34">
        <f t="shared" si="72"/>
        <v>7.8E-2</v>
      </c>
    </row>
    <row r="364" spans="36:40" x14ac:dyDescent="0.25">
      <c r="AJ364" s="34" t="str">
        <f t="shared" si="71"/>
        <v>HVOAverage</v>
      </c>
      <c r="AK364" s="34" t="s">
        <v>77</v>
      </c>
      <c r="AL364" s="34" t="s">
        <v>8</v>
      </c>
      <c r="AM364" s="34">
        <v>2030</v>
      </c>
      <c r="AN364" s="34">
        <f t="shared" si="72"/>
        <v>7.8E-2</v>
      </c>
    </row>
    <row r="365" spans="36:40" x14ac:dyDescent="0.25">
      <c r="AJ365" s="34" t="str">
        <f t="shared" si="71"/>
        <v>HVOAverage</v>
      </c>
      <c r="AK365" s="34" t="s">
        <v>77</v>
      </c>
      <c r="AL365" s="34" t="s">
        <v>8</v>
      </c>
      <c r="AM365" s="34">
        <v>2031</v>
      </c>
      <c r="AN365" s="34">
        <f t="shared" si="72"/>
        <v>7.8E-2</v>
      </c>
    </row>
    <row r="366" spans="36:40" x14ac:dyDescent="0.25">
      <c r="AJ366" s="34" t="str">
        <f t="shared" si="71"/>
        <v>HVOAverage</v>
      </c>
      <c r="AK366" s="34" t="s">
        <v>77</v>
      </c>
      <c r="AL366" s="34" t="s">
        <v>8</v>
      </c>
      <c r="AM366" s="34">
        <v>2032</v>
      </c>
      <c r="AN366" s="34">
        <f t="shared" si="72"/>
        <v>7.8E-2</v>
      </c>
    </row>
    <row r="367" spans="36:40" x14ac:dyDescent="0.25">
      <c r="AJ367" s="34" t="str">
        <f t="shared" si="71"/>
        <v>HVOAverage</v>
      </c>
      <c r="AK367" s="34" t="s">
        <v>77</v>
      </c>
      <c r="AL367" s="34" t="s">
        <v>8</v>
      </c>
      <c r="AM367" s="34">
        <v>2033</v>
      </c>
      <c r="AN367" s="34">
        <f t="shared" si="72"/>
        <v>7.8E-2</v>
      </c>
    </row>
    <row r="368" spans="36:40" x14ac:dyDescent="0.25">
      <c r="AJ368" s="34" t="str">
        <f t="shared" si="71"/>
        <v>HVOAverage</v>
      </c>
      <c r="AK368" s="34" t="s">
        <v>77</v>
      </c>
      <c r="AL368" s="34" t="s">
        <v>8</v>
      </c>
      <c r="AM368" s="34">
        <v>2034</v>
      </c>
      <c r="AN368" s="34">
        <f t="shared" si="72"/>
        <v>7.8E-2</v>
      </c>
    </row>
    <row r="369" spans="36:40" x14ac:dyDescent="0.25">
      <c r="AJ369" s="34" t="str">
        <f t="shared" si="71"/>
        <v>HVOAverage</v>
      </c>
      <c r="AK369" s="34" t="s">
        <v>77</v>
      </c>
      <c r="AL369" s="34" t="s">
        <v>8</v>
      </c>
      <c r="AM369" s="34">
        <v>2035</v>
      </c>
      <c r="AN369" s="34">
        <f t="shared" si="72"/>
        <v>7.8E-2</v>
      </c>
    </row>
    <row r="370" spans="36:40" x14ac:dyDescent="0.25">
      <c r="AJ370" s="34" t="str">
        <f t="shared" si="71"/>
        <v>HVOAverage</v>
      </c>
      <c r="AK370" s="34" t="s">
        <v>77</v>
      </c>
      <c r="AL370" s="34" t="s">
        <v>8</v>
      </c>
      <c r="AM370" s="34">
        <v>2036</v>
      </c>
      <c r="AN370" s="34">
        <f t="shared" si="72"/>
        <v>7.8E-2</v>
      </c>
    </row>
    <row r="371" spans="36:40" ht="13.5" customHeight="1" x14ac:dyDescent="0.25">
      <c r="AJ371" s="34" t="str">
        <f t="shared" si="71"/>
        <v>HVOAverage</v>
      </c>
      <c r="AK371" s="34" t="s">
        <v>77</v>
      </c>
      <c r="AL371" s="34" t="s">
        <v>8</v>
      </c>
      <c r="AM371" s="34">
        <v>2037</v>
      </c>
      <c r="AN371" s="34">
        <f t="shared" si="72"/>
        <v>7.8E-2</v>
      </c>
    </row>
    <row r="372" spans="36:40" x14ac:dyDescent="0.25">
      <c r="AJ372" s="34" t="str">
        <f t="shared" si="71"/>
        <v>HVOAverage</v>
      </c>
      <c r="AK372" s="34" t="s">
        <v>77</v>
      </c>
      <c r="AL372" s="34" t="s">
        <v>8</v>
      </c>
      <c r="AM372" s="34">
        <v>2038</v>
      </c>
      <c r="AN372" s="34">
        <f t="shared" si="72"/>
        <v>7.8E-2</v>
      </c>
    </row>
    <row r="373" spans="36:40" x14ac:dyDescent="0.25">
      <c r="AJ373" s="34" t="str">
        <f t="shared" si="71"/>
        <v>HVOAverage</v>
      </c>
      <c r="AK373" s="34" t="s">
        <v>77</v>
      </c>
      <c r="AL373" s="34" t="s">
        <v>8</v>
      </c>
      <c r="AM373" s="34">
        <v>2039</v>
      </c>
      <c r="AN373" s="34">
        <f t="shared" si="72"/>
        <v>7.8E-2</v>
      </c>
    </row>
    <row r="374" spans="36:40" x14ac:dyDescent="0.25">
      <c r="AJ374" s="34" t="str">
        <f t="shared" si="71"/>
        <v>HVOAverage</v>
      </c>
      <c r="AK374" s="34" t="s">
        <v>77</v>
      </c>
      <c r="AL374" s="34" t="s">
        <v>8</v>
      </c>
      <c r="AM374" s="34">
        <v>2040</v>
      </c>
      <c r="AN374" s="34">
        <f t="shared" si="72"/>
        <v>7.8E-2</v>
      </c>
    </row>
    <row r="375" spans="36:40" x14ac:dyDescent="0.25">
      <c r="AJ375" s="34" t="str">
        <f t="shared" si="71"/>
        <v>HVOAverage</v>
      </c>
      <c r="AK375" s="34" t="s">
        <v>77</v>
      </c>
      <c r="AL375" s="34" t="s">
        <v>8</v>
      </c>
      <c r="AM375" s="34">
        <v>2041</v>
      </c>
      <c r="AN375" s="34">
        <f t="shared" si="72"/>
        <v>7.8E-2</v>
      </c>
    </row>
    <row r="376" spans="36:40" x14ac:dyDescent="0.25">
      <c r="AJ376" s="34" t="str">
        <f t="shared" si="71"/>
        <v>HVOAverage</v>
      </c>
      <c r="AK376" s="34" t="s">
        <v>77</v>
      </c>
      <c r="AL376" s="34" t="s">
        <v>8</v>
      </c>
      <c r="AM376" s="34">
        <v>2042</v>
      </c>
      <c r="AN376" s="34">
        <f t="shared" si="72"/>
        <v>7.8E-2</v>
      </c>
    </row>
    <row r="377" spans="36:40" x14ac:dyDescent="0.25">
      <c r="AJ377" s="34" t="str">
        <f t="shared" si="71"/>
        <v>HVOAverage</v>
      </c>
      <c r="AK377" s="34" t="s">
        <v>77</v>
      </c>
      <c r="AL377" s="34" t="s">
        <v>8</v>
      </c>
      <c r="AM377" s="34">
        <v>2043</v>
      </c>
      <c r="AN377" s="34">
        <f t="shared" si="72"/>
        <v>7.8E-2</v>
      </c>
    </row>
    <row r="378" spans="36:40" x14ac:dyDescent="0.25">
      <c r="AJ378" s="34" t="str">
        <f t="shared" si="71"/>
        <v>HVOAverage</v>
      </c>
      <c r="AK378" s="34" t="s">
        <v>77</v>
      </c>
      <c r="AL378" s="34" t="s">
        <v>8</v>
      </c>
      <c r="AM378" s="34">
        <v>2044</v>
      </c>
      <c r="AN378" s="34">
        <f t="shared" si="72"/>
        <v>7.8E-2</v>
      </c>
    </row>
    <row r="379" spans="36:40" x14ac:dyDescent="0.25">
      <c r="AJ379" s="34" t="str">
        <f t="shared" si="71"/>
        <v>HVOAverage</v>
      </c>
      <c r="AK379" s="34" t="s">
        <v>77</v>
      </c>
      <c r="AL379" s="34" t="s">
        <v>8</v>
      </c>
      <c r="AM379" s="34">
        <v>2045</v>
      </c>
      <c r="AN379" s="34">
        <f t="shared" si="72"/>
        <v>7.8E-2</v>
      </c>
    </row>
    <row r="380" spans="36:40" x14ac:dyDescent="0.25">
      <c r="AJ380" s="34" t="str">
        <f t="shared" si="71"/>
        <v>HVOAverage</v>
      </c>
      <c r="AK380" s="34" t="s">
        <v>77</v>
      </c>
      <c r="AL380" s="34" t="s">
        <v>8</v>
      </c>
      <c r="AM380" s="34">
        <v>2046</v>
      </c>
      <c r="AN380" s="34">
        <f t="shared" si="72"/>
        <v>7.8E-2</v>
      </c>
    </row>
    <row r="381" spans="36:40" x14ac:dyDescent="0.25">
      <c r="AJ381" s="34" t="str">
        <f t="shared" si="71"/>
        <v>HVOAverage</v>
      </c>
      <c r="AK381" s="34" t="s">
        <v>77</v>
      </c>
      <c r="AL381" s="34" t="s">
        <v>8</v>
      </c>
      <c r="AM381" s="34">
        <v>2047</v>
      </c>
      <c r="AN381" s="34">
        <f t="shared" si="72"/>
        <v>7.8E-2</v>
      </c>
    </row>
    <row r="382" spans="36:40" x14ac:dyDescent="0.25">
      <c r="AJ382" s="34" t="str">
        <f t="shared" si="71"/>
        <v>HVOAverage</v>
      </c>
      <c r="AK382" s="34" t="s">
        <v>77</v>
      </c>
      <c r="AL382" s="34" t="s">
        <v>8</v>
      </c>
      <c r="AM382" s="34">
        <v>2048</v>
      </c>
      <c r="AN382" s="34">
        <f t="shared" si="72"/>
        <v>7.8E-2</v>
      </c>
    </row>
    <row r="383" spans="36:40" x14ac:dyDescent="0.25">
      <c r="AJ383" s="34" t="str">
        <f t="shared" si="71"/>
        <v>HVOAverage</v>
      </c>
      <c r="AK383" s="34" t="s">
        <v>77</v>
      </c>
      <c r="AL383" s="34" t="s">
        <v>8</v>
      </c>
      <c r="AM383" s="34">
        <v>2049</v>
      </c>
      <c r="AN383" s="34">
        <f t="shared" si="72"/>
        <v>7.8E-2</v>
      </c>
    </row>
    <row r="384" spans="36:40" x14ac:dyDescent="0.25">
      <c r="AJ384" s="34" t="str">
        <f t="shared" si="71"/>
        <v>HVOAverage</v>
      </c>
      <c r="AK384" s="34" t="s">
        <v>77</v>
      </c>
      <c r="AL384" s="34" t="s">
        <v>8</v>
      </c>
      <c r="AM384" s="34">
        <v>2050</v>
      </c>
      <c r="AN384" s="34">
        <f t="shared" si="72"/>
        <v>7.8E-2</v>
      </c>
    </row>
    <row r="385" spans="36:40" x14ac:dyDescent="0.25">
      <c r="AJ385" s="34" t="str">
        <f t="shared" si="71"/>
        <v>HVOLow</v>
      </c>
      <c r="AK385" s="34" t="s">
        <v>77</v>
      </c>
      <c r="AL385" s="34" t="s">
        <v>75</v>
      </c>
      <c r="AM385" s="34">
        <v>2024</v>
      </c>
      <c r="AN385" s="34">
        <f t="shared" si="72"/>
        <v>7.8E-2</v>
      </c>
    </row>
    <row r="386" spans="36:40" x14ac:dyDescent="0.25">
      <c r="AJ386" s="34" t="str">
        <f t="shared" si="71"/>
        <v>HVOLow</v>
      </c>
      <c r="AK386" s="34" t="s">
        <v>77</v>
      </c>
      <c r="AL386" s="34" t="s">
        <v>75</v>
      </c>
      <c r="AM386" s="34">
        <v>2025</v>
      </c>
      <c r="AN386" s="34">
        <f t="shared" si="72"/>
        <v>8.0166666666666678E-2</v>
      </c>
    </row>
    <row r="387" spans="36:40" x14ac:dyDescent="0.25">
      <c r="AJ387" s="34" t="str">
        <f t="shared" si="71"/>
        <v>HVOLow</v>
      </c>
      <c r="AK387" s="34" t="s">
        <v>77</v>
      </c>
      <c r="AL387" s="34" t="s">
        <v>75</v>
      </c>
      <c r="AM387" s="34">
        <v>2026</v>
      </c>
      <c r="AN387" s="34">
        <f t="shared" si="72"/>
        <v>8.2333333333333328E-2</v>
      </c>
    </row>
    <row r="388" spans="36:40" x14ac:dyDescent="0.25">
      <c r="AJ388" s="34" t="str">
        <f t="shared" si="71"/>
        <v>HVOLow</v>
      </c>
      <c r="AK388" s="34" t="s">
        <v>77</v>
      </c>
      <c r="AL388" s="34" t="s">
        <v>75</v>
      </c>
      <c r="AM388" s="34">
        <v>2027</v>
      </c>
      <c r="AN388" s="34">
        <f t="shared" si="72"/>
        <v>8.4500000000000006E-2</v>
      </c>
    </row>
    <row r="389" spans="36:40" x14ac:dyDescent="0.25">
      <c r="AJ389" s="34" t="str">
        <f t="shared" si="71"/>
        <v>HVOLow</v>
      </c>
      <c r="AK389" s="34" t="s">
        <v>77</v>
      </c>
      <c r="AL389" s="34" t="s">
        <v>75</v>
      </c>
      <c r="AM389" s="34">
        <v>2028</v>
      </c>
      <c r="AN389" s="34">
        <f t="shared" si="72"/>
        <v>8.666666666666667E-2</v>
      </c>
    </row>
    <row r="390" spans="36:40" x14ac:dyDescent="0.25">
      <c r="AJ390" s="34" t="str">
        <f t="shared" si="71"/>
        <v>HVOLow</v>
      </c>
      <c r="AK390" s="34" t="s">
        <v>77</v>
      </c>
      <c r="AL390" s="34" t="s">
        <v>75</v>
      </c>
      <c r="AM390" s="34">
        <v>2029</v>
      </c>
      <c r="AN390" s="34">
        <f t="shared" si="72"/>
        <v>8.8833333333333334E-2</v>
      </c>
    </row>
    <row r="391" spans="36:40" x14ac:dyDescent="0.25">
      <c r="AJ391" s="34" t="str">
        <f t="shared" si="71"/>
        <v>HVOLow</v>
      </c>
      <c r="AK391" s="34" t="s">
        <v>77</v>
      </c>
      <c r="AL391" s="34" t="s">
        <v>75</v>
      </c>
      <c r="AM391" s="34">
        <v>2030</v>
      </c>
      <c r="AN391" s="34">
        <f t="shared" si="72"/>
        <v>9.0999999999999998E-2</v>
      </c>
    </row>
    <row r="392" spans="36:40" x14ac:dyDescent="0.25">
      <c r="AJ392" s="34" t="str">
        <f t="shared" ref="AJ392:AJ455" si="73">AK392&amp;AL392</f>
        <v>HVOLow</v>
      </c>
      <c r="AK392" s="34" t="s">
        <v>77</v>
      </c>
      <c r="AL392" s="34" t="s">
        <v>75</v>
      </c>
      <c r="AM392" s="34">
        <v>2031</v>
      </c>
      <c r="AN392" s="34">
        <f t="shared" ref="AN392:AN411" si="74">INDEX($G$28:$AG$42,MATCH(AJ392,$F$28:$F$42,0),MATCH(AM392,$G$27:$AG$27,0))</f>
        <v>9.0999999999999998E-2</v>
      </c>
    </row>
    <row r="393" spans="36:40" x14ac:dyDescent="0.25">
      <c r="AJ393" s="34" t="str">
        <f t="shared" si="73"/>
        <v>HVOLow</v>
      </c>
      <c r="AK393" s="34" t="s">
        <v>77</v>
      </c>
      <c r="AL393" s="34" t="s">
        <v>75</v>
      </c>
      <c r="AM393" s="34">
        <v>2032</v>
      </c>
      <c r="AN393" s="34">
        <f t="shared" si="74"/>
        <v>9.0999999999999998E-2</v>
      </c>
    </row>
    <row r="394" spans="36:40" x14ac:dyDescent="0.25">
      <c r="AJ394" s="34" t="str">
        <f t="shared" si="73"/>
        <v>HVOLow</v>
      </c>
      <c r="AK394" s="34" t="s">
        <v>77</v>
      </c>
      <c r="AL394" s="34" t="s">
        <v>75</v>
      </c>
      <c r="AM394" s="34">
        <v>2033</v>
      </c>
      <c r="AN394" s="34">
        <f t="shared" si="74"/>
        <v>9.0999999999999998E-2</v>
      </c>
    </row>
    <row r="395" spans="36:40" x14ac:dyDescent="0.25">
      <c r="AJ395" s="34" t="str">
        <f t="shared" si="73"/>
        <v>HVOLow</v>
      </c>
      <c r="AK395" s="34" t="s">
        <v>77</v>
      </c>
      <c r="AL395" s="34" t="s">
        <v>75</v>
      </c>
      <c r="AM395" s="34">
        <v>2034</v>
      </c>
      <c r="AN395" s="34">
        <f t="shared" si="74"/>
        <v>9.0999999999999998E-2</v>
      </c>
    </row>
    <row r="396" spans="36:40" x14ac:dyDescent="0.25">
      <c r="AJ396" s="34" t="str">
        <f t="shared" si="73"/>
        <v>HVOLow</v>
      </c>
      <c r="AK396" s="34" t="s">
        <v>77</v>
      </c>
      <c r="AL396" s="34" t="s">
        <v>75</v>
      </c>
      <c r="AM396" s="34">
        <v>2035</v>
      </c>
      <c r="AN396" s="34">
        <f t="shared" si="74"/>
        <v>9.0999999999999998E-2</v>
      </c>
    </row>
    <row r="397" spans="36:40" x14ac:dyDescent="0.25">
      <c r="AJ397" s="34" t="str">
        <f t="shared" si="73"/>
        <v>HVOLow</v>
      </c>
      <c r="AK397" s="34" t="s">
        <v>77</v>
      </c>
      <c r="AL397" s="34" t="s">
        <v>75</v>
      </c>
      <c r="AM397" s="34">
        <v>2036</v>
      </c>
      <c r="AN397" s="34">
        <f t="shared" si="74"/>
        <v>9.0999999999999998E-2</v>
      </c>
    </row>
    <row r="398" spans="36:40" x14ac:dyDescent="0.25">
      <c r="AJ398" s="34" t="str">
        <f t="shared" si="73"/>
        <v>HVOLow</v>
      </c>
      <c r="AK398" s="34" t="s">
        <v>77</v>
      </c>
      <c r="AL398" s="34" t="s">
        <v>75</v>
      </c>
      <c r="AM398" s="34">
        <v>2037</v>
      </c>
      <c r="AN398" s="34">
        <f t="shared" si="74"/>
        <v>9.0999999999999998E-2</v>
      </c>
    </row>
    <row r="399" spans="36:40" x14ac:dyDescent="0.25">
      <c r="AJ399" s="34" t="str">
        <f t="shared" si="73"/>
        <v>HVOLow</v>
      </c>
      <c r="AK399" s="34" t="s">
        <v>77</v>
      </c>
      <c r="AL399" s="34" t="s">
        <v>75</v>
      </c>
      <c r="AM399" s="34">
        <v>2038</v>
      </c>
      <c r="AN399" s="34">
        <f t="shared" si="74"/>
        <v>9.0999999999999998E-2</v>
      </c>
    </row>
    <row r="400" spans="36:40" x14ac:dyDescent="0.25">
      <c r="AJ400" s="34" t="str">
        <f t="shared" si="73"/>
        <v>HVOLow</v>
      </c>
      <c r="AK400" s="34" t="s">
        <v>77</v>
      </c>
      <c r="AL400" s="34" t="s">
        <v>75</v>
      </c>
      <c r="AM400" s="34">
        <v>2039</v>
      </c>
      <c r="AN400" s="34">
        <f t="shared" si="74"/>
        <v>9.0999999999999998E-2</v>
      </c>
    </row>
    <row r="401" spans="36:40" x14ac:dyDescent="0.25">
      <c r="AJ401" s="34" t="str">
        <f t="shared" si="73"/>
        <v>HVOLow</v>
      </c>
      <c r="AK401" s="34" t="s">
        <v>77</v>
      </c>
      <c r="AL401" s="34" t="s">
        <v>75</v>
      </c>
      <c r="AM401" s="34">
        <v>2040</v>
      </c>
      <c r="AN401" s="34">
        <f t="shared" si="74"/>
        <v>9.0999999999999998E-2</v>
      </c>
    </row>
    <row r="402" spans="36:40" x14ac:dyDescent="0.25">
      <c r="AJ402" s="34" t="str">
        <f t="shared" si="73"/>
        <v>HVOLow</v>
      </c>
      <c r="AK402" s="34" t="s">
        <v>77</v>
      </c>
      <c r="AL402" s="34" t="s">
        <v>75</v>
      </c>
      <c r="AM402" s="34">
        <v>2041</v>
      </c>
      <c r="AN402" s="34">
        <f t="shared" si="74"/>
        <v>9.0999999999999998E-2</v>
      </c>
    </row>
    <row r="403" spans="36:40" x14ac:dyDescent="0.25">
      <c r="AJ403" s="34" t="str">
        <f t="shared" si="73"/>
        <v>HVOLow</v>
      </c>
      <c r="AK403" s="34" t="s">
        <v>77</v>
      </c>
      <c r="AL403" s="34" t="s">
        <v>75</v>
      </c>
      <c r="AM403" s="34">
        <v>2042</v>
      </c>
      <c r="AN403" s="34">
        <f t="shared" si="74"/>
        <v>9.0999999999999998E-2</v>
      </c>
    </row>
    <row r="404" spans="36:40" x14ac:dyDescent="0.25">
      <c r="AJ404" s="34" t="str">
        <f t="shared" si="73"/>
        <v>HVOLow</v>
      </c>
      <c r="AK404" s="34" t="s">
        <v>77</v>
      </c>
      <c r="AL404" s="34" t="s">
        <v>75</v>
      </c>
      <c r="AM404" s="34">
        <v>2043</v>
      </c>
      <c r="AN404" s="34">
        <f t="shared" si="74"/>
        <v>9.0999999999999998E-2</v>
      </c>
    </row>
    <row r="405" spans="36:40" x14ac:dyDescent="0.25">
      <c r="AJ405" s="34" t="str">
        <f t="shared" si="73"/>
        <v>HVOLow</v>
      </c>
      <c r="AK405" s="34" t="s">
        <v>77</v>
      </c>
      <c r="AL405" s="34" t="s">
        <v>75</v>
      </c>
      <c r="AM405" s="34">
        <v>2044</v>
      </c>
      <c r="AN405" s="34">
        <f t="shared" si="74"/>
        <v>9.0999999999999998E-2</v>
      </c>
    </row>
    <row r="406" spans="36:40" x14ac:dyDescent="0.25">
      <c r="AJ406" s="34" t="str">
        <f t="shared" si="73"/>
        <v>HVOLow</v>
      </c>
      <c r="AK406" s="34" t="s">
        <v>77</v>
      </c>
      <c r="AL406" s="34" t="s">
        <v>75</v>
      </c>
      <c r="AM406" s="34">
        <v>2045</v>
      </c>
      <c r="AN406" s="34">
        <f t="shared" si="74"/>
        <v>9.0999999999999998E-2</v>
      </c>
    </row>
    <row r="407" spans="36:40" x14ac:dyDescent="0.25">
      <c r="AJ407" s="34" t="str">
        <f t="shared" si="73"/>
        <v>HVOLow</v>
      </c>
      <c r="AK407" s="34" t="s">
        <v>77</v>
      </c>
      <c r="AL407" s="34" t="s">
        <v>75</v>
      </c>
      <c r="AM407" s="34">
        <v>2046</v>
      </c>
      <c r="AN407" s="34">
        <f t="shared" si="74"/>
        <v>9.0999999999999998E-2</v>
      </c>
    </row>
    <row r="408" spans="36:40" x14ac:dyDescent="0.25">
      <c r="AJ408" s="34" t="str">
        <f t="shared" si="73"/>
        <v>HVOLow</v>
      </c>
      <c r="AK408" s="34" t="s">
        <v>77</v>
      </c>
      <c r="AL408" s="34" t="s">
        <v>75</v>
      </c>
      <c r="AM408" s="34">
        <v>2047</v>
      </c>
      <c r="AN408" s="34">
        <f t="shared" si="74"/>
        <v>9.0999999999999998E-2</v>
      </c>
    </row>
    <row r="409" spans="36:40" x14ac:dyDescent="0.25">
      <c r="AJ409" s="34" t="str">
        <f t="shared" si="73"/>
        <v>HVOLow</v>
      </c>
      <c r="AK409" s="34" t="s">
        <v>77</v>
      </c>
      <c r="AL409" s="34" t="s">
        <v>75</v>
      </c>
      <c r="AM409" s="34">
        <v>2048</v>
      </c>
      <c r="AN409" s="34">
        <f t="shared" si="74"/>
        <v>9.0999999999999998E-2</v>
      </c>
    </row>
    <row r="410" spans="36:40" x14ac:dyDescent="0.25">
      <c r="AJ410" s="34" t="str">
        <f t="shared" si="73"/>
        <v>HVOLow</v>
      </c>
      <c r="AK410" s="34" t="s">
        <v>77</v>
      </c>
      <c r="AL410" s="34" t="s">
        <v>75</v>
      </c>
      <c r="AM410" s="34">
        <v>2049</v>
      </c>
      <c r="AN410" s="34">
        <f t="shared" si="74"/>
        <v>9.0999999999999998E-2</v>
      </c>
    </row>
    <row r="411" spans="36:40" x14ac:dyDescent="0.25">
      <c r="AJ411" s="34" t="str">
        <f t="shared" si="73"/>
        <v>HVOLow</v>
      </c>
      <c r="AK411" s="34" t="s">
        <v>77</v>
      </c>
      <c r="AL411" s="34" t="s">
        <v>75</v>
      </c>
      <c r="AM411" s="34">
        <v>2050</v>
      </c>
      <c r="AN411" s="34">
        <f t="shared" si="74"/>
        <v>9.0999999999999998E-2</v>
      </c>
    </row>
    <row r="412" spans="36:40" x14ac:dyDescent="0.25">
      <c r="AJ412" s="34" t="str">
        <f t="shared" si="73"/>
        <v>H2High</v>
      </c>
      <c r="AK412" s="34" t="s">
        <v>97</v>
      </c>
      <c r="AL412" s="34" t="s">
        <v>74</v>
      </c>
      <c r="AM412" s="34">
        <v>2024</v>
      </c>
      <c r="AN412" s="34">
        <f>INDEX($G$28:$AG$45,MATCH(AJ412,$F$28:$F$45,0),MATCH(AM412,$G$27:$AG$27,0))</f>
        <v>0.40540540540540543</v>
      </c>
    </row>
    <row r="413" spans="36:40" x14ac:dyDescent="0.25">
      <c r="AJ413" s="34" t="str">
        <f t="shared" si="73"/>
        <v>H2High</v>
      </c>
      <c r="AK413" s="34" t="s">
        <v>97</v>
      </c>
      <c r="AL413" s="34" t="s">
        <v>74</v>
      </c>
      <c r="AM413" s="34">
        <v>2025</v>
      </c>
      <c r="AN413" s="34">
        <f t="shared" ref="AN413:AN476" si="75">INDEX($G$28:$AG$45,MATCH(AJ413,$F$28:$F$45,0),MATCH(AM413,$G$27:$AG$27,0))</f>
        <v>0.33213213213213216</v>
      </c>
    </row>
    <row r="414" spans="36:40" x14ac:dyDescent="0.25">
      <c r="AJ414" s="34" t="str">
        <f t="shared" si="73"/>
        <v>H2High</v>
      </c>
      <c r="AK414" s="34" t="s">
        <v>97</v>
      </c>
      <c r="AL414" s="34" t="s">
        <v>74</v>
      </c>
      <c r="AM414" s="34">
        <v>2026</v>
      </c>
      <c r="AN414" s="34">
        <f t="shared" si="75"/>
        <v>0.30630630630630629</v>
      </c>
    </row>
    <row r="415" spans="36:40" x14ac:dyDescent="0.25">
      <c r="AJ415" s="34" t="str">
        <f t="shared" si="73"/>
        <v>H2High</v>
      </c>
      <c r="AK415" s="34" t="s">
        <v>97</v>
      </c>
      <c r="AL415" s="34" t="s">
        <v>74</v>
      </c>
      <c r="AM415" s="34">
        <v>2027</v>
      </c>
      <c r="AN415" s="34">
        <f t="shared" si="75"/>
        <v>0.2801801801801802</v>
      </c>
    </row>
    <row r="416" spans="36:40" x14ac:dyDescent="0.25">
      <c r="AJ416" s="34" t="str">
        <f t="shared" si="73"/>
        <v>H2High</v>
      </c>
      <c r="AK416" s="34" t="s">
        <v>97</v>
      </c>
      <c r="AL416" s="34" t="s">
        <v>74</v>
      </c>
      <c r="AM416" s="34">
        <v>2028</v>
      </c>
      <c r="AN416" s="34">
        <f t="shared" si="75"/>
        <v>0.25435435435435438</v>
      </c>
    </row>
    <row r="417" spans="36:40" x14ac:dyDescent="0.25">
      <c r="AJ417" s="34" t="str">
        <f t="shared" si="73"/>
        <v>H2High</v>
      </c>
      <c r="AK417" s="34" t="s">
        <v>97</v>
      </c>
      <c r="AL417" s="34" t="s">
        <v>74</v>
      </c>
      <c r="AM417" s="34">
        <v>2029</v>
      </c>
      <c r="AN417" s="34">
        <f t="shared" si="75"/>
        <v>0.22852852852852856</v>
      </c>
    </row>
    <row r="418" spans="36:40" x14ac:dyDescent="0.25">
      <c r="AJ418" s="34" t="str">
        <f t="shared" si="73"/>
        <v>H2High</v>
      </c>
      <c r="AK418" s="34" t="s">
        <v>97</v>
      </c>
      <c r="AL418" s="34" t="s">
        <v>74</v>
      </c>
      <c r="AM418" s="34">
        <v>2030</v>
      </c>
      <c r="AN418" s="34">
        <f t="shared" si="75"/>
        <v>0.40540540540540543</v>
      </c>
    </row>
    <row r="419" spans="36:40" x14ac:dyDescent="0.25">
      <c r="AJ419" s="34" t="str">
        <f t="shared" si="73"/>
        <v>H2High</v>
      </c>
      <c r="AK419" s="34" t="s">
        <v>97</v>
      </c>
      <c r="AL419" s="34" t="s">
        <v>74</v>
      </c>
      <c r="AM419" s="34">
        <v>2031</v>
      </c>
      <c r="AN419" s="34">
        <f t="shared" si="75"/>
        <v>0.20510510510510513</v>
      </c>
    </row>
    <row r="420" spans="36:40" x14ac:dyDescent="0.25">
      <c r="AJ420" s="34" t="str">
        <f t="shared" si="73"/>
        <v>H2High</v>
      </c>
      <c r="AK420" s="34" t="s">
        <v>97</v>
      </c>
      <c r="AL420" s="34" t="s">
        <v>74</v>
      </c>
      <c r="AM420" s="34">
        <v>2032</v>
      </c>
      <c r="AN420" s="34">
        <f t="shared" si="75"/>
        <v>0.20780780780780783</v>
      </c>
    </row>
    <row r="421" spans="36:40" x14ac:dyDescent="0.25">
      <c r="AJ421" s="34" t="str">
        <f t="shared" si="73"/>
        <v>H2High</v>
      </c>
      <c r="AK421" s="34" t="s">
        <v>97</v>
      </c>
      <c r="AL421" s="34" t="s">
        <v>74</v>
      </c>
      <c r="AM421" s="34">
        <v>2033</v>
      </c>
      <c r="AN421" s="34">
        <f t="shared" si="75"/>
        <v>0.21021021021021022</v>
      </c>
    </row>
    <row r="422" spans="36:40" x14ac:dyDescent="0.25">
      <c r="AJ422" s="34" t="str">
        <f t="shared" si="73"/>
        <v>H2High</v>
      </c>
      <c r="AK422" s="34" t="s">
        <v>97</v>
      </c>
      <c r="AL422" s="34" t="s">
        <v>74</v>
      </c>
      <c r="AM422" s="34">
        <v>2034</v>
      </c>
      <c r="AN422" s="34">
        <f t="shared" si="75"/>
        <v>0.21291291291291292</v>
      </c>
    </row>
    <row r="423" spans="36:40" x14ac:dyDescent="0.25">
      <c r="AJ423" s="34" t="str">
        <f t="shared" si="73"/>
        <v>H2High</v>
      </c>
      <c r="AK423" s="34" t="s">
        <v>97</v>
      </c>
      <c r="AL423" s="34" t="s">
        <v>74</v>
      </c>
      <c r="AM423" s="34">
        <v>2035</v>
      </c>
      <c r="AN423" s="34">
        <f t="shared" si="75"/>
        <v>0.28581081081081083</v>
      </c>
    </row>
    <row r="424" spans="36:40" x14ac:dyDescent="0.25">
      <c r="AJ424" s="34" t="str">
        <f t="shared" si="73"/>
        <v>H2High</v>
      </c>
      <c r="AK424" s="34" t="s">
        <v>97</v>
      </c>
      <c r="AL424" s="34" t="s">
        <v>74</v>
      </c>
      <c r="AM424" s="34">
        <v>2036</v>
      </c>
      <c r="AN424" s="34">
        <f t="shared" si="75"/>
        <v>0.18708708708708713</v>
      </c>
    </row>
    <row r="425" spans="36:40" x14ac:dyDescent="0.25">
      <c r="AJ425" s="34" t="str">
        <f t="shared" si="73"/>
        <v>H2High</v>
      </c>
      <c r="AK425" s="34" t="s">
        <v>97</v>
      </c>
      <c r="AL425" s="34" t="s">
        <v>74</v>
      </c>
      <c r="AM425" s="34">
        <v>2037</v>
      </c>
      <c r="AN425" s="34">
        <f t="shared" si="75"/>
        <v>0.18948948948948949</v>
      </c>
    </row>
    <row r="426" spans="36:40" x14ac:dyDescent="0.25">
      <c r="AJ426" s="34" t="str">
        <f t="shared" si="73"/>
        <v>H2High</v>
      </c>
      <c r="AK426" s="34" t="s">
        <v>97</v>
      </c>
      <c r="AL426" s="34" t="s">
        <v>74</v>
      </c>
      <c r="AM426" s="34">
        <v>2038</v>
      </c>
      <c r="AN426" s="34">
        <f t="shared" si="75"/>
        <v>0.19219219219219222</v>
      </c>
    </row>
    <row r="427" spans="36:40" x14ac:dyDescent="0.25">
      <c r="AJ427" s="34" t="str">
        <f t="shared" si="73"/>
        <v>H2High</v>
      </c>
      <c r="AK427" s="34" t="s">
        <v>97</v>
      </c>
      <c r="AL427" s="34" t="s">
        <v>74</v>
      </c>
      <c r="AM427" s="34">
        <v>2039</v>
      </c>
      <c r="AN427" s="34">
        <f t="shared" si="75"/>
        <v>0.19489489489489492</v>
      </c>
    </row>
    <row r="428" spans="36:40" x14ac:dyDescent="0.25">
      <c r="AJ428" s="34" t="str">
        <f t="shared" si="73"/>
        <v>H2High</v>
      </c>
      <c r="AK428" s="34" t="s">
        <v>97</v>
      </c>
      <c r="AL428" s="34" t="s">
        <v>74</v>
      </c>
      <c r="AM428" s="34">
        <v>2040</v>
      </c>
      <c r="AN428" s="34">
        <f t="shared" si="75"/>
        <v>0.16621621621621621</v>
      </c>
    </row>
    <row r="429" spans="36:40" x14ac:dyDescent="0.25">
      <c r="AJ429" s="34" t="str">
        <f t="shared" si="73"/>
        <v>H2High</v>
      </c>
      <c r="AK429" s="34" t="s">
        <v>97</v>
      </c>
      <c r="AL429" s="34" t="s">
        <v>74</v>
      </c>
      <c r="AM429" s="34">
        <v>2041</v>
      </c>
      <c r="AN429" s="34">
        <f t="shared" si="75"/>
        <v>0.16606606606606608</v>
      </c>
    </row>
    <row r="430" spans="36:40" x14ac:dyDescent="0.25">
      <c r="AJ430" s="34" t="str">
        <f t="shared" si="73"/>
        <v>H2High</v>
      </c>
      <c r="AK430" s="34" t="s">
        <v>97</v>
      </c>
      <c r="AL430" s="34" t="s">
        <v>74</v>
      </c>
      <c r="AM430" s="34">
        <v>2042</v>
      </c>
      <c r="AN430" s="34">
        <f t="shared" si="75"/>
        <v>0.16576576576576577</v>
      </c>
    </row>
    <row r="431" spans="36:40" x14ac:dyDescent="0.25">
      <c r="AJ431" s="34" t="str">
        <f t="shared" si="73"/>
        <v>H2High</v>
      </c>
      <c r="AK431" s="34" t="s">
        <v>97</v>
      </c>
      <c r="AL431" s="34" t="s">
        <v>74</v>
      </c>
      <c r="AM431" s="34">
        <v>2043</v>
      </c>
      <c r="AN431" s="34">
        <f t="shared" si="75"/>
        <v>0.16516516516516519</v>
      </c>
    </row>
    <row r="432" spans="36:40" x14ac:dyDescent="0.25">
      <c r="AJ432" s="34" t="str">
        <f t="shared" si="73"/>
        <v>H2High</v>
      </c>
      <c r="AK432" s="34" t="s">
        <v>97</v>
      </c>
      <c r="AL432" s="34" t="s">
        <v>74</v>
      </c>
      <c r="AM432" s="34">
        <v>2044</v>
      </c>
      <c r="AN432" s="34">
        <f t="shared" si="75"/>
        <v>0.16486486486486487</v>
      </c>
    </row>
    <row r="433" spans="36:40" x14ac:dyDescent="0.25">
      <c r="AJ433" s="34" t="str">
        <f t="shared" si="73"/>
        <v>H2High</v>
      </c>
      <c r="AK433" s="34" t="s">
        <v>97</v>
      </c>
      <c r="AL433" s="34" t="s">
        <v>74</v>
      </c>
      <c r="AM433" s="34">
        <v>2045</v>
      </c>
      <c r="AN433" s="34">
        <f t="shared" si="75"/>
        <v>0.16456456456456459</v>
      </c>
    </row>
    <row r="434" spans="36:40" x14ac:dyDescent="0.25">
      <c r="AJ434" s="34" t="str">
        <f t="shared" si="73"/>
        <v>H2High</v>
      </c>
      <c r="AK434" s="34" t="s">
        <v>97</v>
      </c>
      <c r="AL434" s="34" t="s">
        <v>74</v>
      </c>
      <c r="AM434" s="34">
        <v>2046</v>
      </c>
      <c r="AN434" s="34">
        <f t="shared" si="75"/>
        <v>0.16396396396396398</v>
      </c>
    </row>
    <row r="435" spans="36:40" x14ac:dyDescent="0.25">
      <c r="AJ435" s="34" t="str">
        <f t="shared" si="73"/>
        <v>H2High</v>
      </c>
      <c r="AK435" s="34" t="s">
        <v>97</v>
      </c>
      <c r="AL435" s="34" t="s">
        <v>74</v>
      </c>
      <c r="AM435" s="34">
        <v>2047</v>
      </c>
      <c r="AN435" s="34">
        <f t="shared" si="75"/>
        <v>0.16366366366366369</v>
      </c>
    </row>
    <row r="436" spans="36:40" x14ac:dyDescent="0.25">
      <c r="AJ436" s="34" t="str">
        <f t="shared" si="73"/>
        <v>H2High</v>
      </c>
      <c r="AK436" s="34" t="s">
        <v>97</v>
      </c>
      <c r="AL436" s="34" t="s">
        <v>74</v>
      </c>
      <c r="AM436" s="34">
        <v>2048</v>
      </c>
      <c r="AN436" s="34">
        <f t="shared" si="75"/>
        <v>0.16306306306306306</v>
      </c>
    </row>
    <row r="437" spans="36:40" x14ac:dyDescent="0.25">
      <c r="AJ437" s="34" t="str">
        <f t="shared" si="73"/>
        <v>H2High</v>
      </c>
      <c r="AK437" s="34" t="s">
        <v>97</v>
      </c>
      <c r="AL437" s="34" t="s">
        <v>74</v>
      </c>
      <c r="AM437" s="34">
        <v>2049</v>
      </c>
      <c r="AN437" s="34">
        <f t="shared" si="75"/>
        <v>0.16276276276276277</v>
      </c>
    </row>
    <row r="438" spans="36:40" x14ac:dyDescent="0.25">
      <c r="AJ438" s="34" t="str">
        <f t="shared" si="73"/>
        <v>H2High</v>
      </c>
      <c r="AK438" s="34" t="s">
        <v>97</v>
      </c>
      <c r="AL438" s="34" t="s">
        <v>74</v>
      </c>
      <c r="AM438" s="34">
        <v>2050</v>
      </c>
      <c r="AN438" s="34">
        <f t="shared" si="75"/>
        <v>6.8148648648648641E-2</v>
      </c>
    </row>
    <row r="439" spans="36:40" x14ac:dyDescent="0.25">
      <c r="AJ439" s="34" t="str">
        <f t="shared" si="73"/>
        <v>H2Average</v>
      </c>
      <c r="AK439" s="34" t="s">
        <v>97</v>
      </c>
      <c r="AL439" s="34" t="s">
        <v>8</v>
      </c>
      <c r="AM439" s="34">
        <v>2024</v>
      </c>
      <c r="AN439" s="34">
        <f t="shared" si="75"/>
        <v>0.28978978978978981</v>
      </c>
    </row>
    <row r="440" spans="36:40" x14ac:dyDescent="0.25">
      <c r="AJ440" s="34" t="str">
        <f t="shared" si="73"/>
        <v>H2Average</v>
      </c>
      <c r="AK440" s="34" t="s">
        <v>97</v>
      </c>
      <c r="AL440" s="34" t="s">
        <v>8</v>
      </c>
      <c r="AM440" s="34">
        <v>2025</v>
      </c>
      <c r="AN440" s="34">
        <f t="shared" si="75"/>
        <v>0.23933933933933935</v>
      </c>
    </row>
    <row r="441" spans="36:40" x14ac:dyDescent="0.25">
      <c r="AJ441" s="34" t="str">
        <f t="shared" si="73"/>
        <v>H2Average</v>
      </c>
      <c r="AK441" s="34" t="s">
        <v>97</v>
      </c>
      <c r="AL441" s="34" t="s">
        <v>8</v>
      </c>
      <c r="AM441" s="34">
        <v>2026</v>
      </c>
      <c r="AN441" s="34">
        <f t="shared" si="75"/>
        <v>0.21771771771771772</v>
      </c>
    </row>
    <row r="442" spans="36:40" x14ac:dyDescent="0.25">
      <c r="AJ442" s="34" t="str">
        <f t="shared" si="73"/>
        <v>H2Average</v>
      </c>
      <c r="AK442" s="34" t="s">
        <v>97</v>
      </c>
      <c r="AL442" s="34" t="s">
        <v>8</v>
      </c>
      <c r="AM442" s="34">
        <v>2027</v>
      </c>
      <c r="AN442" s="34">
        <f t="shared" si="75"/>
        <v>0.19639639639639642</v>
      </c>
    </row>
    <row r="443" spans="36:40" x14ac:dyDescent="0.25">
      <c r="AJ443" s="34" t="str">
        <f t="shared" si="73"/>
        <v>H2Average</v>
      </c>
      <c r="AK443" s="34" t="s">
        <v>97</v>
      </c>
      <c r="AL443" s="34" t="s">
        <v>8</v>
      </c>
      <c r="AM443" s="34">
        <v>2028</v>
      </c>
      <c r="AN443" s="34">
        <f t="shared" si="75"/>
        <v>0.17507507507507508</v>
      </c>
    </row>
    <row r="444" spans="36:40" x14ac:dyDescent="0.25">
      <c r="AJ444" s="34" t="str">
        <f t="shared" si="73"/>
        <v>H2Average</v>
      </c>
      <c r="AK444" s="34" t="s">
        <v>97</v>
      </c>
      <c r="AL444" s="34" t="s">
        <v>8</v>
      </c>
      <c r="AM444" s="34">
        <v>2029</v>
      </c>
      <c r="AN444" s="34">
        <f t="shared" si="75"/>
        <v>0.15405405405405406</v>
      </c>
    </row>
    <row r="445" spans="36:40" x14ac:dyDescent="0.25">
      <c r="AJ445" s="34" t="str">
        <f t="shared" si="73"/>
        <v>H2Average</v>
      </c>
      <c r="AK445" s="34" t="s">
        <v>97</v>
      </c>
      <c r="AL445" s="34" t="s">
        <v>8</v>
      </c>
      <c r="AM445" s="34">
        <v>2030</v>
      </c>
      <c r="AN445" s="34">
        <f t="shared" si="75"/>
        <v>0.28978978978978981</v>
      </c>
    </row>
    <row r="446" spans="36:40" x14ac:dyDescent="0.25">
      <c r="AJ446" s="34" t="str">
        <f t="shared" si="73"/>
        <v>H2Average</v>
      </c>
      <c r="AK446" s="34" t="s">
        <v>97</v>
      </c>
      <c r="AL446" s="34" t="s">
        <v>8</v>
      </c>
      <c r="AM446" s="34">
        <v>2031</v>
      </c>
      <c r="AN446" s="34">
        <f t="shared" si="75"/>
        <v>0.13243243243243244</v>
      </c>
    </row>
    <row r="447" spans="36:40" x14ac:dyDescent="0.25">
      <c r="AJ447" s="34" t="str">
        <f t="shared" si="73"/>
        <v>H2Average</v>
      </c>
      <c r="AK447" s="34" t="s">
        <v>97</v>
      </c>
      <c r="AL447" s="34" t="s">
        <v>8</v>
      </c>
      <c r="AM447" s="34">
        <v>2032</v>
      </c>
      <c r="AN447" s="34">
        <f t="shared" si="75"/>
        <v>0.13183183183183184</v>
      </c>
    </row>
    <row r="448" spans="36:40" x14ac:dyDescent="0.25">
      <c r="AJ448" s="34" t="str">
        <f t="shared" si="73"/>
        <v>H2Average</v>
      </c>
      <c r="AK448" s="34" t="s">
        <v>97</v>
      </c>
      <c r="AL448" s="34" t="s">
        <v>8</v>
      </c>
      <c r="AM448" s="34">
        <v>2033</v>
      </c>
      <c r="AN448" s="34">
        <f t="shared" si="75"/>
        <v>0.13123123123123123</v>
      </c>
    </row>
    <row r="449" spans="36:40" x14ac:dyDescent="0.25">
      <c r="AJ449" s="34" t="str">
        <f t="shared" si="73"/>
        <v>H2Average</v>
      </c>
      <c r="AK449" s="34" t="s">
        <v>97</v>
      </c>
      <c r="AL449" s="34" t="s">
        <v>8</v>
      </c>
      <c r="AM449" s="34">
        <v>2034</v>
      </c>
      <c r="AN449" s="34">
        <f t="shared" si="75"/>
        <v>0.13063063063063063</v>
      </c>
    </row>
    <row r="450" spans="36:40" x14ac:dyDescent="0.25">
      <c r="AJ450" s="34" t="str">
        <f t="shared" si="73"/>
        <v>H2Average</v>
      </c>
      <c r="AK450" s="34" t="s">
        <v>97</v>
      </c>
      <c r="AL450" s="34" t="s">
        <v>8</v>
      </c>
      <c r="AM450" s="34">
        <v>2035</v>
      </c>
      <c r="AN450" s="34">
        <f t="shared" si="75"/>
        <v>0.20430180180180182</v>
      </c>
    </row>
    <row r="451" spans="36:40" x14ac:dyDescent="0.25">
      <c r="AJ451" s="34" t="str">
        <f t="shared" si="73"/>
        <v>H2Average</v>
      </c>
      <c r="AK451" s="34" t="s">
        <v>97</v>
      </c>
      <c r="AL451" s="34" t="s">
        <v>8</v>
      </c>
      <c r="AM451" s="34">
        <v>2036</v>
      </c>
      <c r="AN451" s="34">
        <f t="shared" si="75"/>
        <v>0.12972972972972974</v>
      </c>
    </row>
    <row r="452" spans="36:40" x14ac:dyDescent="0.25">
      <c r="AJ452" s="34" t="str">
        <f t="shared" si="73"/>
        <v>H2Average</v>
      </c>
      <c r="AK452" s="34" t="s">
        <v>97</v>
      </c>
      <c r="AL452" s="34" t="s">
        <v>8</v>
      </c>
      <c r="AM452" s="34">
        <v>2037</v>
      </c>
      <c r="AN452" s="34">
        <f t="shared" si="75"/>
        <v>0.12912912912912913</v>
      </c>
    </row>
    <row r="453" spans="36:40" x14ac:dyDescent="0.25">
      <c r="AJ453" s="34" t="str">
        <f t="shared" si="73"/>
        <v>H2Average</v>
      </c>
      <c r="AK453" s="34" t="s">
        <v>97</v>
      </c>
      <c r="AL453" s="34" t="s">
        <v>8</v>
      </c>
      <c r="AM453" s="34">
        <v>2038</v>
      </c>
      <c r="AN453" s="34">
        <f t="shared" si="75"/>
        <v>0.12882882882882885</v>
      </c>
    </row>
    <row r="454" spans="36:40" x14ac:dyDescent="0.25">
      <c r="AJ454" s="34" t="str">
        <f t="shared" si="73"/>
        <v>H2Average</v>
      </c>
      <c r="AK454" s="34" t="s">
        <v>97</v>
      </c>
      <c r="AL454" s="34" t="s">
        <v>8</v>
      </c>
      <c r="AM454" s="34">
        <v>2039</v>
      </c>
      <c r="AN454" s="34">
        <f t="shared" si="75"/>
        <v>0.12822822822822821</v>
      </c>
    </row>
    <row r="455" spans="36:40" x14ac:dyDescent="0.25">
      <c r="AJ455" s="34" t="str">
        <f t="shared" si="73"/>
        <v>H2Average</v>
      </c>
      <c r="AK455" s="34" t="s">
        <v>97</v>
      </c>
      <c r="AL455" s="34" t="s">
        <v>8</v>
      </c>
      <c r="AM455" s="34">
        <v>2040</v>
      </c>
      <c r="AN455" s="34">
        <f t="shared" si="75"/>
        <v>0.11881381381381383</v>
      </c>
    </row>
    <row r="456" spans="36:40" x14ac:dyDescent="0.25">
      <c r="AJ456" s="34" t="str">
        <f t="shared" ref="AJ456:AJ492" si="76">AK456&amp;AL456</f>
        <v>H2Average</v>
      </c>
      <c r="AK456" s="34" t="s">
        <v>97</v>
      </c>
      <c r="AL456" s="34" t="s">
        <v>8</v>
      </c>
      <c r="AM456" s="34">
        <v>2041</v>
      </c>
      <c r="AN456" s="34">
        <f t="shared" si="75"/>
        <v>0.12732732732732735</v>
      </c>
    </row>
    <row r="457" spans="36:40" x14ac:dyDescent="0.25">
      <c r="AJ457" s="34" t="str">
        <f t="shared" si="76"/>
        <v>H2Average</v>
      </c>
      <c r="AK457" s="34" t="s">
        <v>97</v>
      </c>
      <c r="AL457" s="34" t="s">
        <v>8</v>
      </c>
      <c r="AM457" s="34">
        <v>2042</v>
      </c>
      <c r="AN457" s="34">
        <f t="shared" si="75"/>
        <v>0.12702702702702706</v>
      </c>
    </row>
    <row r="458" spans="36:40" x14ac:dyDescent="0.25">
      <c r="AJ458" s="34" t="str">
        <f t="shared" si="76"/>
        <v>H2Average</v>
      </c>
      <c r="AK458" s="34" t="s">
        <v>97</v>
      </c>
      <c r="AL458" s="34" t="s">
        <v>8</v>
      </c>
      <c r="AM458" s="34">
        <v>2043</v>
      </c>
      <c r="AN458" s="34">
        <f t="shared" si="75"/>
        <v>0.12642642642642643</v>
      </c>
    </row>
    <row r="459" spans="36:40" x14ac:dyDescent="0.25">
      <c r="AJ459" s="34" t="str">
        <f t="shared" si="76"/>
        <v>H2Average</v>
      </c>
      <c r="AK459" s="34" t="s">
        <v>97</v>
      </c>
      <c r="AL459" s="34" t="s">
        <v>8</v>
      </c>
      <c r="AM459" s="34">
        <v>2044</v>
      </c>
      <c r="AN459" s="34">
        <f t="shared" si="75"/>
        <v>0.12612612612612614</v>
      </c>
    </row>
    <row r="460" spans="36:40" x14ac:dyDescent="0.25">
      <c r="AJ460" s="34" t="str">
        <f t="shared" si="76"/>
        <v>H2Average</v>
      </c>
      <c r="AK460" s="34" t="s">
        <v>97</v>
      </c>
      <c r="AL460" s="34" t="s">
        <v>8</v>
      </c>
      <c r="AM460" s="34">
        <v>2045</v>
      </c>
      <c r="AN460" s="34">
        <f t="shared" si="75"/>
        <v>0.12552552552552554</v>
      </c>
    </row>
    <row r="461" spans="36:40" x14ac:dyDescent="0.25">
      <c r="AJ461" s="34" t="str">
        <f t="shared" si="76"/>
        <v>H2Average</v>
      </c>
      <c r="AK461" s="34" t="s">
        <v>97</v>
      </c>
      <c r="AL461" s="34" t="s">
        <v>8</v>
      </c>
      <c r="AM461" s="34">
        <v>2046</v>
      </c>
      <c r="AN461" s="34">
        <f t="shared" si="75"/>
        <v>0.12522522522522522</v>
      </c>
    </row>
    <row r="462" spans="36:40" x14ac:dyDescent="0.25">
      <c r="AJ462" s="34" t="str">
        <f t="shared" si="76"/>
        <v>H2Average</v>
      </c>
      <c r="AK462" s="34" t="s">
        <v>97</v>
      </c>
      <c r="AL462" s="34" t="s">
        <v>8</v>
      </c>
      <c r="AM462" s="34">
        <v>2047</v>
      </c>
      <c r="AN462" s="34">
        <f t="shared" si="75"/>
        <v>0.12492492492492493</v>
      </c>
    </row>
    <row r="463" spans="36:40" x14ac:dyDescent="0.25">
      <c r="AJ463" s="34" t="str">
        <f t="shared" si="76"/>
        <v>H2Average</v>
      </c>
      <c r="AK463" s="34" t="s">
        <v>97</v>
      </c>
      <c r="AL463" s="34" t="s">
        <v>8</v>
      </c>
      <c r="AM463" s="34">
        <v>2048</v>
      </c>
      <c r="AN463" s="34">
        <f t="shared" si="75"/>
        <v>0.12432432432432433</v>
      </c>
    </row>
    <row r="464" spans="36:40" x14ac:dyDescent="0.25">
      <c r="AJ464" s="34" t="str">
        <f t="shared" si="76"/>
        <v>H2Average</v>
      </c>
      <c r="AK464" s="34" t="s">
        <v>97</v>
      </c>
      <c r="AL464" s="34" t="s">
        <v>8</v>
      </c>
      <c r="AM464" s="34">
        <v>2049</v>
      </c>
      <c r="AN464" s="34">
        <f t="shared" si="75"/>
        <v>0.12402402402402403</v>
      </c>
    </row>
    <row r="465" spans="36:40" x14ac:dyDescent="0.25">
      <c r="AJ465" s="34" t="str">
        <f t="shared" si="76"/>
        <v>H2Average</v>
      </c>
      <c r="AK465" s="34" t="s">
        <v>97</v>
      </c>
      <c r="AL465" s="34" t="s">
        <v>8</v>
      </c>
      <c r="AM465" s="34">
        <v>2050</v>
      </c>
      <c r="AN465" s="34">
        <f t="shared" si="75"/>
        <v>4.8713663663663663E-2</v>
      </c>
    </row>
    <row r="466" spans="36:40" x14ac:dyDescent="0.25">
      <c r="AJ466" s="34" t="str">
        <f t="shared" si="76"/>
        <v>H2Low</v>
      </c>
      <c r="AK466" s="34" t="s">
        <v>97</v>
      </c>
      <c r="AL466" s="34" t="s">
        <v>75</v>
      </c>
      <c r="AM466" s="34">
        <v>2024</v>
      </c>
      <c r="AN466" s="34">
        <f t="shared" si="75"/>
        <v>0.17417417417417419</v>
      </c>
    </row>
    <row r="467" spans="36:40" x14ac:dyDescent="0.25">
      <c r="AJ467" s="34" t="str">
        <f t="shared" si="76"/>
        <v>H2Low</v>
      </c>
      <c r="AK467" s="34" t="s">
        <v>97</v>
      </c>
      <c r="AL467" s="34" t="s">
        <v>75</v>
      </c>
      <c r="AM467" s="34">
        <v>2025</v>
      </c>
      <c r="AN467" s="34">
        <f t="shared" si="75"/>
        <v>0.21591591591591594</v>
      </c>
    </row>
    <row r="468" spans="36:40" x14ac:dyDescent="0.25">
      <c r="AJ468" s="34" t="str">
        <f t="shared" si="76"/>
        <v>H2Low</v>
      </c>
      <c r="AK468" s="34" t="s">
        <v>97</v>
      </c>
      <c r="AL468" s="34" t="s">
        <v>75</v>
      </c>
      <c r="AM468" s="34">
        <v>2026</v>
      </c>
      <c r="AN468" s="34">
        <f t="shared" si="75"/>
        <v>0.19459459459459463</v>
      </c>
    </row>
    <row r="469" spans="36:40" x14ac:dyDescent="0.25">
      <c r="AJ469" s="34" t="str">
        <f t="shared" si="76"/>
        <v>H2Low</v>
      </c>
      <c r="AK469" s="34" t="s">
        <v>97</v>
      </c>
      <c r="AL469" s="34" t="s">
        <v>75</v>
      </c>
      <c r="AM469" s="34">
        <v>2027</v>
      </c>
      <c r="AN469" s="34">
        <f t="shared" si="75"/>
        <v>0.17327327327327327</v>
      </c>
    </row>
    <row r="470" spans="36:40" x14ac:dyDescent="0.25">
      <c r="AJ470" s="34" t="str">
        <f t="shared" si="76"/>
        <v>H2Low</v>
      </c>
      <c r="AK470" s="34" t="s">
        <v>97</v>
      </c>
      <c r="AL470" s="34" t="s">
        <v>75</v>
      </c>
      <c r="AM470" s="34">
        <v>2028</v>
      </c>
      <c r="AN470" s="34">
        <f t="shared" si="75"/>
        <v>0.15195195195195196</v>
      </c>
    </row>
    <row r="471" spans="36:40" x14ac:dyDescent="0.25">
      <c r="AJ471" s="34" t="str">
        <f t="shared" si="76"/>
        <v>H2Low</v>
      </c>
      <c r="AK471" s="34" t="s">
        <v>97</v>
      </c>
      <c r="AL471" s="34" t="s">
        <v>75</v>
      </c>
      <c r="AM471" s="34">
        <v>2029</v>
      </c>
      <c r="AN471" s="34">
        <f t="shared" si="75"/>
        <v>0.13093093093093094</v>
      </c>
    </row>
    <row r="472" spans="36:40" x14ac:dyDescent="0.25">
      <c r="AJ472" s="34" t="str">
        <f t="shared" si="76"/>
        <v>H2Low</v>
      </c>
      <c r="AK472" s="34" t="s">
        <v>97</v>
      </c>
      <c r="AL472" s="34" t="s">
        <v>75</v>
      </c>
      <c r="AM472" s="34">
        <v>2030</v>
      </c>
      <c r="AN472" s="34">
        <f t="shared" si="75"/>
        <v>0.17417417417417419</v>
      </c>
    </row>
    <row r="473" spans="36:40" x14ac:dyDescent="0.25">
      <c r="AJ473" s="34" t="str">
        <f t="shared" si="76"/>
        <v>H2Low</v>
      </c>
      <c r="AK473" s="34" t="s">
        <v>97</v>
      </c>
      <c r="AL473" s="34" t="s">
        <v>75</v>
      </c>
      <c r="AM473" s="34">
        <v>2031</v>
      </c>
      <c r="AN473" s="34">
        <f t="shared" si="75"/>
        <v>0.10900900900900902</v>
      </c>
    </row>
    <row r="474" spans="36:40" x14ac:dyDescent="0.25">
      <c r="AJ474" s="34" t="str">
        <f t="shared" si="76"/>
        <v>H2Low</v>
      </c>
      <c r="AK474" s="34" t="s">
        <v>97</v>
      </c>
      <c r="AL474" s="34" t="s">
        <v>75</v>
      </c>
      <c r="AM474" s="34">
        <v>2032</v>
      </c>
      <c r="AN474" s="34">
        <f t="shared" si="75"/>
        <v>0.10840840840840842</v>
      </c>
    </row>
    <row r="475" spans="36:40" x14ac:dyDescent="0.25">
      <c r="AJ475" s="34" t="str">
        <f t="shared" si="76"/>
        <v>H2Low</v>
      </c>
      <c r="AK475" s="34" t="s">
        <v>97</v>
      </c>
      <c r="AL475" s="34" t="s">
        <v>75</v>
      </c>
      <c r="AM475" s="34">
        <v>2033</v>
      </c>
      <c r="AN475" s="34">
        <f t="shared" si="75"/>
        <v>0.10810810810810811</v>
      </c>
    </row>
    <row r="476" spans="36:40" x14ac:dyDescent="0.25">
      <c r="AJ476" s="34" t="str">
        <f t="shared" si="76"/>
        <v>H2Low</v>
      </c>
      <c r="AK476" s="34" t="s">
        <v>97</v>
      </c>
      <c r="AL476" s="34" t="s">
        <v>75</v>
      </c>
      <c r="AM476" s="34">
        <v>2034</v>
      </c>
      <c r="AN476" s="34">
        <f t="shared" si="75"/>
        <v>0.10750750750750752</v>
      </c>
    </row>
    <row r="477" spans="36:40" x14ac:dyDescent="0.25">
      <c r="AJ477" s="34" t="str">
        <f t="shared" si="76"/>
        <v>H2Low</v>
      </c>
      <c r="AK477" s="34" t="s">
        <v>97</v>
      </c>
      <c r="AL477" s="34" t="s">
        <v>75</v>
      </c>
      <c r="AM477" s="34">
        <v>2035</v>
      </c>
      <c r="AN477" s="34">
        <f t="shared" ref="AN477:AN492" si="77">INDEX($G$28:$AG$45,MATCH(AJ477,$F$28:$F$45,0),MATCH(AM477,$G$27:$AG$27,0))</f>
        <v>0.12279279279279279</v>
      </c>
    </row>
    <row r="478" spans="36:40" x14ac:dyDescent="0.25">
      <c r="AJ478" s="34" t="str">
        <f t="shared" si="76"/>
        <v>H2Low</v>
      </c>
      <c r="AK478" s="34" t="s">
        <v>97</v>
      </c>
      <c r="AL478" s="34" t="s">
        <v>75</v>
      </c>
      <c r="AM478" s="34">
        <v>2036</v>
      </c>
      <c r="AN478" s="34">
        <f t="shared" si="77"/>
        <v>0.10630630630630632</v>
      </c>
    </row>
    <row r="479" spans="36:40" x14ac:dyDescent="0.25">
      <c r="AJ479" s="34" t="str">
        <f t="shared" si="76"/>
        <v>H2Low</v>
      </c>
      <c r="AK479" s="34" t="s">
        <v>97</v>
      </c>
      <c r="AL479" s="34" t="s">
        <v>75</v>
      </c>
      <c r="AM479" s="34">
        <v>2037</v>
      </c>
      <c r="AN479" s="34">
        <f t="shared" si="77"/>
        <v>0.10600600600600601</v>
      </c>
    </row>
    <row r="480" spans="36:40" x14ac:dyDescent="0.25">
      <c r="AJ480" s="34" t="str">
        <f t="shared" si="76"/>
        <v>H2Low</v>
      </c>
      <c r="AK480" s="34" t="s">
        <v>97</v>
      </c>
      <c r="AL480" s="34" t="s">
        <v>75</v>
      </c>
      <c r="AM480" s="34">
        <v>2038</v>
      </c>
      <c r="AN480" s="34">
        <f t="shared" si="77"/>
        <v>0.10540540540540541</v>
      </c>
    </row>
    <row r="481" spans="36:40" x14ac:dyDescent="0.25">
      <c r="AJ481" s="34" t="str">
        <f t="shared" si="76"/>
        <v>H2Low</v>
      </c>
      <c r="AK481" s="34" t="s">
        <v>97</v>
      </c>
      <c r="AL481" s="34" t="s">
        <v>75</v>
      </c>
      <c r="AM481" s="34">
        <v>2039</v>
      </c>
      <c r="AN481" s="34">
        <f t="shared" si="77"/>
        <v>0.10510510510510511</v>
      </c>
    </row>
    <row r="482" spans="36:40" x14ac:dyDescent="0.25">
      <c r="AJ482" s="34" t="str">
        <f t="shared" si="76"/>
        <v>H2Low</v>
      </c>
      <c r="AK482" s="34" t="s">
        <v>97</v>
      </c>
      <c r="AL482" s="34" t="s">
        <v>75</v>
      </c>
      <c r="AM482" s="34">
        <v>2040</v>
      </c>
      <c r="AN482" s="34">
        <f t="shared" si="77"/>
        <v>7.1411411411411413E-2</v>
      </c>
    </row>
    <row r="483" spans="36:40" x14ac:dyDescent="0.25">
      <c r="AJ483" s="34" t="str">
        <f t="shared" si="76"/>
        <v>H2Low</v>
      </c>
      <c r="AK483" s="34" t="s">
        <v>97</v>
      </c>
      <c r="AL483" s="34" t="s">
        <v>75</v>
      </c>
      <c r="AM483" s="34">
        <v>2041</v>
      </c>
      <c r="AN483" s="34">
        <f t="shared" si="77"/>
        <v>0.10870870870870872</v>
      </c>
    </row>
    <row r="484" spans="36:40" x14ac:dyDescent="0.25">
      <c r="AJ484" s="34" t="str">
        <f t="shared" si="76"/>
        <v>H2Low</v>
      </c>
      <c r="AK484" s="34" t="s">
        <v>97</v>
      </c>
      <c r="AL484" s="34" t="s">
        <v>75</v>
      </c>
      <c r="AM484" s="34">
        <v>2042</v>
      </c>
      <c r="AN484" s="34">
        <f t="shared" si="77"/>
        <v>0.11291291291291292</v>
      </c>
    </row>
    <row r="485" spans="36:40" x14ac:dyDescent="0.25">
      <c r="AJ485" s="34" t="str">
        <f t="shared" si="76"/>
        <v>H2Low</v>
      </c>
      <c r="AK485" s="34" t="s">
        <v>97</v>
      </c>
      <c r="AL485" s="34" t="s">
        <v>75</v>
      </c>
      <c r="AM485" s="34">
        <v>2043</v>
      </c>
      <c r="AN485" s="34">
        <f t="shared" si="77"/>
        <v>0.11711711711711713</v>
      </c>
    </row>
    <row r="486" spans="36:40" x14ac:dyDescent="0.25">
      <c r="AJ486" s="34" t="str">
        <f t="shared" si="76"/>
        <v>H2Low</v>
      </c>
      <c r="AK486" s="34" t="s">
        <v>97</v>
      </c>
      <c r="AL486" s="34" t="s">
        <v>75</v>
      </c>
      <c r="AM486" s="34">
        <v>2044</v>
      </c>
      <c r="AN486" s="34">
        <f t="shared" si="77"/>
        <v>0.12132132132132133</v>
      </c>
    </row>
    <row r="487" spans="36:40" x14ac:dyDescent="0.25">
      <c r="AJ487" s="34" t="str">
        <f t="shared" si="76"/>
        <v>H2Low</v>
      </c>
      <c r="AK487" s="34" t="s">
        <v>97</v>
      </c>
      <c r="AL487" s="34" t="s">
        <v>75</v>
      </c>
      <c r="AM487" s="34">
        <v>2045</v>
      </c>
      <c r="AN487" s="34">
        <f t="shared" si="77"/>
        <v>0.12552552552552554</v>
      </c>
    </row>
    <row r="488" spans="36:40" x14ac:dyDescent="0.25">
      <c r="AJ488" s="34" t="str">
        <f t="shared" si="76"/>
        <v>H2Low</v>
      </c>
      <c r="AK488" s="34" t="s">
        <v>97</v>
      </c>
      <c r="AL488" s="34" t="s">
        <v>75</v>
      </c>
      <c r="AM488" s="34">
        <v>2046</v>
      </c>
      <c r="AN488" s="34">
        <f t="shared" si="77"/>
        <v>0.12522522522522522</v>
      </c>
    </row>
    <row r="489" spans="36:40" x14ac:dyDescent="0.25">
      <c r="AJ489" s="34" t="str">
        <f t="shared" si="76"/>
        <v>H2Low</v>
      </c>
      <c r="AK489" s="34" t="s">
        <v>97</v>
      </c>
      <c r="AL489" s="34" t="s">
        <v>75</v>
      </c>
      <c r="AM489" s="34">
        <v>2047</v>
      </c>
      <c r="AN489" s="34">
        <f t="shared" si="77"/>
        <v>0.12492492492492493</v>
      </c>
    </row>
    <row r="490" spans="36:40" x14ac:dyDescent="0.25">
      <c r="AJ490" s="34" t="str">
        <f t="shared" si="76"/>
        <v>H2Low</v>
      </c>
      <c r="AK490" s="34" t="s">
        <v>97</v>
      </c>
      <c r="AL490" s="34" t="s">
        <v>75</v>
      </c>
      <c r="AM490" s="34">
        <v>2048</v>
      </c>
      <c r="AN490" s="34">
        <f t="shared" si="77"/>
        <v>0.12432432432432433</v>
      </c>
    </row>
    <row r="491" spans="36:40" x14ac:dyDescent="0.25">
      <c r="AJ491" s="34" t="str">
        <f t="shared" si="76"/>
        <v>H2Low</v>
      </c>
      <c r="AK491" s="34" t="s">
        <v>97</v>
      </c>
      <c r="AL491" s="34" t="s">
        <v>75</v>
      </c>
      <c r="AM491" s="34">
        <v>2049</v>
      </c>
      <c r="AN491" s="34">
        <f t="shared" si="77"/>
        <v>0.12402402402402403</v>
      </c>
    </row>
    <row r="492" spans="36:40" x14ac:dyDescent="0.25">
      <c r="AJ492" s="34" t="str">
        <f t="shared" si="76"/>
        <v>H2Low</v>
      </c>
      <c r="AK492" s="34" t="s">
        <v>97</v>
      </c>
      <c r="AL492" s="34" t="s">
        <v>75</v>
      </c>
      <c r="AM492" s="34">
        <v>2050</v>
      </c>
      <c r="AN492" s="34">
        <f t="shared" si="77"/>
        <v>2.9278678678678678E-2</v>
      </c>
    </row>
  </sheetData>
  <mergeCells count="1">
    <mergeCell ref="G26:AG26"/>
  </mergeCells>
  <phoneticPr fontId="3" type="noConversion"/>
  <pageMargins left="0.7" right="0.7" top="0.75" bottom="0.75" header="0.3" footer="0.3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59AE3C-0D60-467D-A760-2BC8D6B5E0F2}">
  <sheetPr codeName="Hoja7"/>
  <dimension ref="A1:C82"/>
  <sheetViews>
    <sheetView workbookViewId="0">
      <selection activeCell="C7" sqref="C7"/>
    </sheetView>
  </sheetViews>
  <sheetFormatPr baseColWidth="10" defaultRowHeight="15" x14ac:dyDescent="0.25"/>
  <sheetData>
    <row r="1" spans="1:3" x14ac:dyDescent="0.25">
      <c r="A1" t="s">
        <v>2</v>
      </c>
      <c r="B1" t="s">
        <v>3</v>
      </c>
      <c r="C1" t="s">
        <v>31</v>
      </c>
    </row>
    <row r="2" spans="1:3" x14ac:dyDescent="0.25">
      <c r="A2">
        <v>2024</v>
      </c>
      <c r="B2" t="s">
        <v>75</v>
      </c>
      <c r="C2">
        <v>6.57</v>
      </c>
    </row>
    <row r="3" spans="1:3" x14ac:dyDescent="0.25">
      <c r="A3">
        <v>2025</v>
      </c>
      <c r="B3" t="s">
        <v>75</v>
      </c>
      <c r="C3">
        <v>7.19</v>
      </c>
    </row>
    <row r="4" spans="1:3" x14ac:dyDescent="0.25">
      <c r="A4">
        <v>2026</v>
      </c>
      <c r="B4" t="s">
        <v>75</v>
      </c>
      <c r="C4">
        <v>6.48</v>
      </c>
    </row>
    <row r="5" spans="1:3" x14ac:dyDescent="0.25">
      <c r="A5">
        <v>2027</v>
      </c>
      <c r="B5" t="s">
        <v>75</v>
      </c>
      <c r="C5">
        <v>5.77</v>
      </c>
    </row>
    <row r="6" spans="1:3" x14ac:dyDescent="0.25">
      <c r="A6">
        <v>2028</v>
      </c>
      <c r="B6" t="s">
        <v>75</v>
      </c>
      <c r="C6">
        <v>5.0599999999999996</v>
      </c>
    </row>
    <row r="7" spans="1:3" x14ac:dyDescent="0.25">
      <c r="A7">
        <v>2029</v>
      </c>
      <c r="B7" t="s">
        <v>75</v>
      </c>
      <c r="C7">
        <v>4.3600000000000003</v>
      </c>
    </row>
    <row r="8" spans="1:3" x14ac:dyDescent="0.25">
      <c r="A8">
        <v>2030</v>
      </c>
      <c r="B8" t="s">
        <v>75</v>
      </c>
      <c r="C8">
        <v>3.65</v>
      </c>
    </row>
    <row r="9" spans="1:3" x14ac:dyDescent="0.25">
      <c r="A9">
        <v>2031</v>
      </c>
      <c r="B9" t="s">
        <v>75</v>
      </c>
      <c r="C9">
        <v>3.63</v>
      </c>
    </row>
    <row r="10" spans="1:3" x14ac:dyDescent="0.25">
      <c r="A10">
        <v>2032</v>
      </c>
      <c r="B10" t="s">
        <v>75</v>
      </c>
      <c r="C10">
        <v>3.61</v>
      </c>
    </row>
    <row r="11" spans="1:3" x14ac:dyDescent="0.25">
      <c r="A11">
        <v>2033</v>
      </c>
      <c r="B11" t="s">
        <v>75</v>
      </c>
      <c r="C11">
        <v>3.6</v>
      </c>
    </row>
    <row r="12" spans="1:3" x14ac:dyDescent="0.25">
      <c r="A12">
        <v>2034</v>
      </c>
      <c r="B12" t="s">
        <v>75</v>
      </c>
      <c r="C12">
        <v>3.58</v>
      </c>
    </row>
    <row r="13" spans="1:3" x14ac:dyDescent="0.25">
      <c r="A13">
        <v>2035</v>
      </c>
      <c r="B13" t="s">
        <v>75</v>
      </c>
      <c r="C13">
        <v>3.56</v>
      </c>
    </row>
    <row r="14" spans="1:3" x14ac:dyDescent="0.25">
      <c r="A14">
        <v>2036</v>
      </c>
      <c r="B14" t="s">
        <v>75</v>
      </c>
      <c r="C14">
        <v>3.54</v>
      </c>
    </row>
    <row r="15" spans="1:3" x14ac:dyDescent="0.25">
      <c r="A15">
        <v>2037</v>
      </c>
      <c r="B15" t="s">
        <v>75</v>
      </c>
      <c r="C15">
        <v>3.53</v>
      </c>
    </row>
    <row r="16" spans="1:3" x14ac:dyDescent="0.25">
      <c r="A16">
        <v>2038</v>
      </c>
      <c r="B16" t="s">
        <v>75</v>
      </c>
      <c r="C16">
        <v>3.51</v>
      </c>
    </row>
    <row r="17" spans="1:3" x14ac:dyDescent="0.25">
      <c r="A17">
        <v>2039</v>
      </c>
      <c r="B17" t="s">
        <v>75</v>
      </c>
      <c r="C17">
        <v>3.5</v>
      </c>
    </row>
    <row r="18" spans="1:3" x14ac:dyDescent="0.25">
      <c r="A18">
        <v>2040</v>
      </c>
      <c r="B18" t="s">
        <v>75</v>
      </c>
      <c r="C18">
        <v>3.48</v>
      </c>
    </row>
    <row r="19" spans="1:3" x14ac:dyDescent="0.25">
      <c r="A19">
        <v>2041</v>
      </c>
      <c r="B19" t="s">
        <v>75</v>
      </c>
      <c r="C19">
        <v>3.62</v>
      </c>
    </row>
    <row r="20" spans="1:3" x14ac:dyDescent="0.25">
      <c r="A20">
        <v>2042</v>
      </c>
      <c r="B20" t="s">
        <v>75</v>
      </c>
      <c r="C20">
        <v>3.76</v>
      </c>
    </row>
    <row r="21" spans="1:3" x14ac:dyDescent="0.25">
      <c r="A21">
        <v>2043</v>
      </c>
      <c r="B21" t="s">
        <v>75</v>
      </c>
      <c r="C21">
        <v>3.9</v>
      </c>
    </row>
    <row r="22" spans="1:3" x14ac:dyDescent="0.25">
      <c r="A22">
        <v>2044</v>
      </c>
      <c r="B22" t="s">
        <v>75</v>
      </c>
      <c r="C22">
        <v>4.04</v>
      </c>
    </row>
    <row r="23" spans="1:3" x14ac:dyDescent="0.25">
      <c r="A23">
        <v>2045</v>
      </c>
      <c r="B23" t="s">
        <v>75</v>
      </c>
      <c r="C23">
        <v>4.18</v>
      </c>
    </row>
    <row r="24" spans="1:3" x14ac:dyDescent="0.25">
      <c r="A24">
        <v>2046</v>
      </c>
      <c r="B24" t="s">
        <v>75</v>
      </c>
      <c r="C24">
        <v>4.17</v>
      </c>
    </row>
    <row r="25" spans="1:3" x14ac:dyDescent="0.25">
      <c r="A25">
        <v>2047</v>
      </c>
      <c r="B25" t="s">
        <v>75</v>
      </c>
      <c r="C25">
        <v>4.16</v>
      </c>
    </row>
    <row r="26" spans="1:3" x14ac:dyDescent="0.25">
      <c r="A26">
        <v>2048</v>
      </c>
      <c r="B26" t="s">
        <v>75</v>
      </c>
      <c r="C26">
        <v>4.1399999999999997</v>
      </c>
    </row>
    <row r="27" spans="1:3" x14ac:dyDescent="0.25">
      <c r="A27">
        <v>2049</v>
      </c>
      <c r="B27" t="s">
        <v>75</v>
      </c>
      <c r="C27">
        <v>4.13</v>
      </c>
    </row>
    <row r="28" spans="1:3" x14ac:dyDescent="0.25">
      <c r="A28">
        <v>2050</v>
      </c>
      <c r="B28" t="s">
        <v>75</v>
      </c>
      <c r="C28">
        <v>4.12</v>
      </c>
    </row>
    <row r="29" spans="1:3" x14ac:dyDescent="0.25">
      <c r="A29">
        <v>2024</v>
      </c>
      <c r="B29" t="s">
        <v>8</v>
      </c>
      <c r="C29">
        <v>7.34</v>
      </c>
    </row>
    <row r="30" spans="1:3" x14ac:dyDescent="0.25">
      <c r="A30">
        <v>2025</v>
      </c>
      <c r="B30" t="s">
        <v>8</v>
      </c>
      <c r="C30">
        <v>7.97</v>
      </c>
    </row>
    <row r="31" spans="1:3" x14ac:dyDescent="0.25">
      <c r="A31">
        <v>2026</v>
      </c>
      <c r="B31" t="s">
        <v>8</v>
      </c>
      <c r="C31">
        <v>7.25</v>
      </c>
    </row>
    <row r="32" spans="1:3" x14ac:dyDescent="0.25">
      <c r="A32">
        <v>2027</v>
      </c>
      <c r="B32" t="s">
        <v>8</v>
      </c>
      <c r="C32">
        <v>6.54</v>
      </c>
    </row>
    <row r="33" spans="1:3" x14ac:dyDescent="0.25">
      <c r="A33">
        <v>2028</v>
      </c>
      <c r="B33" t="s">
        <v>8</v>
      </c>
      <c r="C33">
        <v>5.83</v>
      </c>
    </row>
    <row r="34" spans="1:3" x14ac:dyDescent="0.25">
      <c r="A34">
        <v>2029</v>
      </c>
      <c r="B34" t="s">
        <v>8</v>
      </c>
      <c r="C34">
        <v>5.13</v>
      </c>
    </row>
    <row r="35" spans="1:3" x14ac:dyDescent="0.25">
      <c r="A35">
        <v>2030</v>
      </c>
      <c r="B35" t="s">
        <v>8</v>
      </c>
      <c r="C35">
        <v>4.43</v>
      </c>
    </row>
    <row r="36" spans="1:3" x14ac:dyDescent="0.25">
      <c r="A36">
        <v>2031</v>
      </c>
      <c r="B36" t="s">
        <v>8</v>
      </c>
      <c r="C36">
        <v>4.41</v>
      </c>
    </row>
    <row r="37" spans="1:3" x14ac:dyDescent="0.25">
      <c r="A37">
        <v>2032</v>
      </c>
      <c r="B37" t="s">
        <v>8</v>
      </c>
      <c r="C37">
        <v>4.3899999999999997</v>
      </c>
    </row>
    <row r="38" spans="1:3" x14ac:dyDescent="0.25">
      <c r="A38">
        <v>2033</v>
      </c>
      <c r="B38" t="s">
        <v>8</v>
      </c>
      <c r="C38">
        <v>4.37</v>
      </c>
    </row>
    <row r="39" spans="1:3" x14ac:dyDescent="0.25">
      <c r="A39">
        <v>2034</v>
      </c>
      <c r="B39" t="s">
        <v>8</v>
      </c>
      <c r="C39">
        <v>4.3499999999999996</v>
      </c>
    </row>
    <row r="40" spans="1:3" x14ac:dyDescent="0.25">
      <c r="A40">
        <v>2035</v>
      </c>
      <c r="B40" t="s">
        <v>8</v>
      </c>
      <c r="C40">
        <v>4.33</v>
      </c>
    </row>
    <row r="41" spans="1:3" x14ac:dyDescent="0.25">
      <c r="A41">
        <v>2036</v>
      </c>
      <c r="B41" t="s">
        <v>8</v>
      </c>
      <c r="C41">
        <v>4.32</v>
      </c>
    </row>
    <row r="42" spans="1:3" x14ac:dyDescent="0.25">
      <c r="A42">
        <v>2037</v>
      </c>
      <c r="B42" t="s">
        <v>8</v>
      </c>
      <c r="C42">
        <v>4.3</v>
      </c>
    </row>
    <row r="43" spans="1:3" x14ac:dyDescent="0.25">
      <c r="A43">
        <v>2038</v>
      </c>
      <c r="B43" t="s">
        <v>8</v>
      </c>
      <c r="C43">
        <v>4.29</v>
      </c>
    </row>
    <row r="44" spans="1:3" x14ac:dyDescent="0.25">
      <c r="A44">
        <v>2039</v>
      </c>
      <c r="B44" t="s">
        <v>8</v>
      </c>
      <c r="C44">
        <v>4.2699999999999996</v>
      </c>
    </row>
    <row r="45" spans="1:3" x14ac:dyDescent="0.25">
      <c r="A45">
        <v>2040</v>
      </c>
      <c r="B45" t="s">
        <v>8</v>
      </c>
      <c r="C45">
        <v>4.26</v>
      </c>
    </row>
    <row r="46" spans="1:3" x14ac:dyDescent="0.25">
      <c r="A46">
        <v>2041</v>
      </c>
      <c r="B46" t="s">
        <v>8</v>
      </c>
      <c r="C46">
        <v>4.24</v>
      </c>
    </row>
    <row r="47" spans="1:3" x14ac:dyDescent="0.25">
      <c r="A47">
        <v>2042</v>
      </c>
      <c r="B47" t="s">
        <v>8</v>
      </c>
      <c r="C47">
        <v>4.2300000000000004</v>
      </c>
    </row>
    <row r="48" spans="1:3" x14ac:dyDescent="0.25">
      <c r="A48">
        <v>2043</v>
      </c>
      <c r="B48" t="s">
        <v>8</v>
      </c>
      <c r="C48">
        <v>4.21</v>
      </c>
    </row>
    <row r="49" spans="1:3" x14ac:dyDescent="0.25">
      <c r="A49">
        <v>2044</v>
      </c>
      <c r="B49" t="s">
        <v>8</v>
      </c>
      <c r="C49">
        <v>4.2</v>
      </c>
    </row>
    <row r="50" spans="1:3" x14ac:dyDescent="0.25">
      <c r="A50">
        <v>2045</v>
      </c>
      <c r="B50" t="s">
        <v>8</v>
      </c>
      <c r="C50">
        <v>4.18</v>
      </c>
    </row>
    <row r="51" spans="1:3" x14ac:dyDescent="0.25">
      <c r="A51">
        <v>2046</v>
      </c>
      <c r="B51" t="s">
        <v>8</v>
      </c>
      <c r="C51">
        <v>4.17</v>
      </c>
    </row>
    <row r="52" spans="1:3" x14ac:dyDescent="0.25">
      <c r="A52">
        <v>2047</v>
      </c>
      <c r="B52" t="s">
        <v>8</v>
      </c>
      <c r="C52">
        <v>4.16</v>
      </c>
    </row>
    <row r="53" spans="1:3" x14ac:dyDescent="0.25">
      <c r="A53">
        <v>2048</v>
      </c>
      <c r="B53" t="s">
        <v>8</v>
      </c>
      <c r="C53">
        <v>4.1399999999999997</v>
      </c>
    </row>
    <row r="54" spans="1:3" x14ac:dyDescent="0.25">
      <c r="A54">
        <v>2049</v>
      </c>
      <c r="B54" t="s">
        <v>8</v>
      </c>
      <c r="C54">
        <v>4.13</v>
      </c>
    </row>
    <row r="55" spans="1:3" x14ac:dyDescent="0.25">
      <c r="A55">
        <v>2050</v>
      </c>
      <c r="B55" t="s">
        <v>8</v>
      </c>
      <c r="C55">
        <v>4.12</v>
      </c>
    </row>
    <row r="56" spans="1:3" x14ac:dyDescent="0.25">
      <c r="A56">
        <v>2024</v>
      </c>
      <c r="B56" t="s">
        <v>74</v>
      </c>
      <c r="C56">
        <v>10.29</v>
      </c>
    </row>
    <row r="57" spans="1:3" x14ac:dyDescent="0.25">
      <c r="A57">
        <v>2025</v>
      </c>
      <c r="B57" t="s">
        <v>74</v>
      </c>
      <c r="C57">
        <v>11.06</v>
      </c>
    </row>
    <row r="58" spans="1:3" x14ac:dyDescent="0.25">
      <c r="A58">
        <v>2026</v>
      </c>
      <c r="B58" t="s">
        <v>74</v>
      </c>
      <c r="C58">
        <v>10.199999999999999</v>
      </c>
    </row>
    <row r="59" spans="1:3" x14ac:dyDescent="0.25">
      <c r="A59">
        <v>2027</v>
      </c>
      <c r="B59" t="s">
        <v>74</v>
      </c>
      <c r="C59">
        <v>9.33</v>
      </c>
    </row>
    <row r="60" spans="1:3" x14ac:dyDescent="0.25">
      <c r="A60">
        <v>2028</v>
      </c>
      <c r="B60" t="s">
        <v>74</v>
      </c>
      <c r="C60">
        <v>8.4700000000000006</v>
      </c>
    </row>
    <row r="61" spans="1:3" x14ac:dyDescent="0.25">
      <c r="A61">
        <v>2029</v>
      </c>
      <c r="B61" t="s">
        <v>74</v>
      </c>
      <c r="C61">
        <v>7.61</v>
      </c>
    </row>
    <row r="62" spans="1:3" x14ac:dyDescent="0.25">
      <c r="A62">
        <v>2030</v>
      </c>
      <c r="B62" t="s">
        <v>74</v>
      </c>
      <c r="C62">
        <v>6.75</v>
      </c>
    </row>
    <row r="63" spans="1:3" x14ac:dyDescent="0.25">
      <c r="A63">
        <v>2031</v>
      </c>
      <c r="B63" t="s">
        <v>74</v>
      </c>
      <c r="C63">
        <v>6.83</v>
      </c>
    </row>
    <row r="64" spans="1:3" x14ac:dyDescent="0.25">
      <c r="A64">
        <v>2032</v>
      </c>
      <c r="B64" t="s">
        <v>74</v>
      </c>
      <c r="C64">
        <v>6.92</v>
      </c>
    </row>
    <row r="65" spans="1:3" x14ac:dyDescent="0.25">
      <c r="A65">
        <v>2033</v>
      </c>
      <c r="B65" t="s">
        <v>74</v>
      </c>
      <c r="C65">
        <v>7</v>
      </c>
    </row>
    <row r="66" spans="1:3" x14ac:dyDescent="0.25">
      <c r="A66">
        <v>2034</v>
      </c>
      <c r="B66" t="s">
        <v>74</v>
      </c>
      <c r="C66">
        <v>7.09</v>
      </c>
    </row>
    <row r="67" spans="1:3" x14ac:dyDescent="0.25">
      <c r="A67">
        <v>2035</v>
      </c>
      <c r="B67" t="s">
        <v>74</v>
      </c>
      <c r="C67">
        <v>6.14</v>
      </c>
    </row>
    <row r="68" spans="1:3" x14ac:dyDescent="0.25">
      <c r="A68">
        <v>2036</v>
      </c>
      <c r="B68" t="s">
        <v>74</v>
      </c>
      <c r="C68">
        <v>6.23</v>
      </c>
    </row>
    <row r="69" spans="1:3" x14ac:dyDescent="0.25">
      <c r="A69">
        <v>2037</v>
      </c>
      <c r="B69" t="s">
        <v>74</v>
      </c>
      <c r="C69">
        <v>6.31</v>
      </c>
    </row>
    <row r="70" spans="1:3" x14ac:dyDescent="0.25">
      <c r="A70">
        <v>2038</v>
      </c>
      <c r="B70" t="s">
        <v>74</v>
      </c>
      <c r="C70">
        <v>6.4</v>
      </c>
    </row>
    <row r="71" spans="1:3" x14ac:dyDescent="0.25">
      <c r="A71">
        <v>2039</v>
      </c>
      <c r="B71" t="s">
        <v>74</v>
      </c>
      <c r="C71">
        <v>6.49</v>
      </c>
    </row>
    <row r="72" spans="1:3" x14ac:dyDescent="0.25">
      <c r="A72">
        <v>2040</v>
      </c>
      <c r="B72" t="s">
        <v>74</v>
      </c>
      <c r="C72">
        <v>5.55</v>
      </c>
    </row>
    <row r="73" spans="1:3" x14ac:dyDescent="0.25">
      <c r="A73">
        <v>2041</v>
      </c>
      <c r="B73" t="s">
        <v>74</v>
      </c>
      <c r="C73">
        <v>5.53</v>
      </c>
    </row>
    <row r="74" spans="1:3" x14ac:dyDescent="0.25">
      <c r="A74">
        <v>2042</v>
      </c>
      <c r="B74" t="s">
        <v>74</v>
      </c>
      <c r="C74">
        <v>5.52</v>
      </c>
    </row>
    <row r="75" spans="1:3" x14ac:dyDescent="0.25">
      <c r="A75">
        <v>2043</v>
      </c>
      <c r="B75" t="s">
        <v>74</v>
      </c>
      <c r="C75">
        <v>5.5</v>
      </c>
    </row>
    <row r="76" spans="1:3" x14ac:dyDescent="0.25">
      <c r="A76">
        <v>2044</v>
      </c>
      <c r="B76" t="s">
        <v>74</v>
      </c>
      <c r="C76">
        <v>5.49</v>
      </c>
    </row>
    <row r="77" spans="1:3" x14ac:dyDescent="0.25">
      <c r="A77">
        <v>2045</v>
      </c>
      <c r="B77" t="s">
        <v>74</v>
      </c>
      <c r="C77">
        <v>5.48</v>
      </c>
    </row>
    <row r="78" spans="1:3" x14ac:dyDescent="0.25">
      <c r="A78">
        <v>2046</v>
      </c>
      <c r="B78" t="s">
        <v>74</v>
      </c>
      <c r="C78">
        <v>5.46</v>
      </c>
    </row>
    <row r="79" spans="1:3" x14ac:dyDescent="0.25">
      <c r="A79">
        <v>2047</v>
      </c>
      <c r="B79" t="s">
        <v>74</v>
      </c>
      <c r="C79">
        <v>5.45</v>
      </c>
    </row>
    <row r="80" spans="1:3" x14ac:dyDescent="0.25">
      <c r="A80">
        <v>2048</v>
      </c>
      <c r="B80" t="s">
        <v>74</v>
      </c>
      <c r="C80">
        <v>5.43</v>
      </c>
    </row>
    <row r="81" spans="1:3" x14ac:dyDescent="0.25">
      <c r="A81">
        <v>2049</v>
      </c>
      <c r="B81" t="s">
        <v>74</v>
      </c>
      <c r="C81">
        <v>5.42</v>
      </c>
    </row>
    <row r="82" spans="1:3" x14ac:dyDescent="0.25">
      <c r="A82">
        <v>2050</v>
      </c>
      <c r="B82" t="s">
        <v>74</v>
      </c>
      <c r="C82">
        <v>5.41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E83355-D6B6-46F0-A1E8-4AD654B7D9F9}">
  <sheetPr codeName="Hoja10"/>
  <dimension ref="A1:I721"/>
  <sheetViews>
    <sheetView workbookViewId="0">
      <selection activeCell="A264" sqref="A264:XFD264"/>
    </sheetView>
  </sheetViews>
  <sheetFormatPr baseColWidth="10" defaultRowHeight="15" x14ac:dyDescent="0.25"/>
  <cols>
    <col min="5" max="5" width="13.5703125" customWidth="1"/>
    <col min="8" max="8" width="11.28515625" bestFit="1" customWidth="1"/>
  </cols>
  <sheetData>
    <row r="1" spans="1:8" x14ac:dyDescent="0.25">
      <c r="A1" s="25" t="s">
        <v>82</v>
      </c>
      <c r="B1" s="25" t="s">
        <v>3</v>
      </c>
      <c r="C1" s="25" t="s">
        <v>2</v>
      </c>
      <c r="D1" s="25" t="s">
        <v>85</v>
      </c>
      <c r="E1" s="25" t="s">
        <v>86</v>
      </c>
      <c r="F1" s="25" t="s">
        <v>87</v>
      </c>
      <c r="G1" s="25" t="s">
        <v>93</v>
      </c>
      <c r="H1" s="25"/>
    </row>
    <row r="2" spans="1:8" x14ac:dyDescent="0.25">
      <c r="A2" t="str">
        <f>IF(FuelPrices_!AK4="","",FuelPrices_!AK4)</f>
        <v>Oil</v>
      </c>
      <c r="B2" t="str">
        <f>IF(FuelPrices_!AL4="","",FuelPrices_!AL4)</f>
        <v>High</v>
      </c>
      <c r="C2">
        <f>IF(FuelPrices_!AM4="","",FuelPrices_!AM4)</f>
        <v>2024</v>
      </c>
      <c r="D2">
        <f>IF(FuelPrices_!AN4="","",FuelPrices_!AN4)</f>
        <v>5.0362363346026284E-2</v>
      </c>
      <c r="E2">
        <f>IFERROR(VLOOKUP(A2,FuelPrices_!$B$49:$G$53,6,FALSE),"")</f>
        <v>3.8700000000000005E-2</v>
      </c>
      <c r="F2">
        <f>IFERROR(VLOOKUP(A2,FuelPrices_!$B$61:$G$65,6,FALSE),"")</f>
        <v>1.4999999999999999E-2</v>
      </c>
      <c r="G2">
        <f>IFERROR(D2+E2+F2,"")</f>
        <v>0.1040623633460263</v>
      </c>
    </row>
    <row r="3" spans="1:8" x14ac:dyDescent="0.25">
      <c r="A3" t="str">
        <f>IF(FuelPrices_!AK5="","",FuelPrices_!AK5)</f>
        <v>Oil</v>
      </c>
      <c r="B3" t="str">
        <f>IF(FuelPrices_!AL5="","",FuelPrices_!AL5)</f>
        <v>High</v>
      </c>
      <c r="C3">
        <f>IF(FuelPrices_!AM5="","",FuelPrices_!AM5)</f>
        <v>2025</v>
      </c>
      <c r="D3">
        <f>IF(FuelPrices_!AN5="","",FuelPrices_!AN5)</f>
        <v>5.0055275764648077E-2</v>
      </c>
      <c r="E3">
        <f>IFERROR(VLOOKUP(A3,FuelPrices_!$B$49:$G$53,6,FALSE),"")</f>
        <v>3.8700000000000005E-2</v>
      </c>
      <c r="F3">
        <f>IFERROR(VLOOKUP(A3,FuelPrices_!$B$61:$G$65,6,FALSE),"")</f>
        <v>1.4999999999999999E-2</v>
      </c>
      <c r="G3">
        <f t="shared" ref="G3:G66" si="0">IFERROR(D3+E3+F3,"")</f>
        <v>0.10375527576464809</v>
      </c>
    </row>
    <row r="4" spans="1:8" x14ac:dyDescent="0.25">
      <c r="A4" t="str">
        <f>IF(FuelPrices_!AK6="","",FuelPrices_!AK6)</f>
        <v>Oil</v>
      </c>
      <c r="B4" t="str">
        <f>IF(FuelPrices_!AL6="","",FuelPrices_!AL6)</f>
        <v>High</v>
      </c>
      <c r="C4">
        <f>IF(FuelPrices_!AM6="","",FuelPrices_!AM6)</f>
        <v>2026</v>
      </c>
      <c r="D4">
        <f>IF(FuelPrices_!AN6="","",FuelPrices_!AN6)</f>
        <v>4.974818818326987E-2</v>
      </c>
      <c r="E4">
        <f>IFERROR(VLOOKUP(A4,FuelPrices_!$B$49:$G$53,6,FALSE),"")</f>
        <v>3.8700000000000005E-2</v>
      </c>
      <c r="F4">
        <f>IFERROR(VLOOKUP(A4,FuelPrices_!$B$61:$G$65,6,FALSE),"")</f>
        <v>1.4999999999999999E-2</v>
      </c>
      <c r="G4">
        <f t="shared" si="0"/>
        <v>0.10344818818326988</v>
      </c>
    </row>
    <row r="5" spans="1:8" x14ac:dyDescent="0.25">
      <c r="A5" t="str">
        <f>IF(FuelPrices_!AK7="","",FuelPrices_!AK7)</f>
        <v>Oil</v>
      </c>
      <c r="B5" t="str">
        <f>IF(FuelPrices_!AL7="","",FuelPrices_!AL7)</f>
        <v>High</v>
      </c>
      <c r="C5">
        <f>IF(FuelPrices_!AM7="","",FuelPrices_!AM7)</f>
        <v>2027</v>
      </c>
      <c r="D5">
        <f>IF(FuelPrices_!AN7="","",FuelPrices_!AN7)</f>
        <v>4.9441100601891656E-2</v>
      </c>
      <c r="E5">
        <f>IFERROR(VLOOKUP(A5,FuelPrices_!$B$49:$G$53,6,FALSE),"")</f>
        <v>3.8700000000000005E-2</v>
      </c>
      <c r="F5">
        <f>IFERROR(VLOOKUP(A5,FuelPrices_!$B$61:$G$65,6,FALSE),"")</f>
        <v>1.4999999999999999E-2</v>
      </c>
      <c r="G5">
        <f t="shared" si="0"/>
        <v>0.10314110060189166</v>
      </c>
    </row>
    <row r="6" spans="1:8" x14ac:dyDescent="0.25">
      <c r="A6" t="str">
        <f>IF(FuelPrices_!AK8="","",FuelPrices_!AK8)</f>
        <v>Oil</v>
      </c>
      <c r="B6" t="str">
        <f>IF(FuelPrices_!AL8="","",FuelPrices_!AL8)</f>
        <v>High</v>
      </c>
      <c r="C6">
        <f>IF(FuelPrices_!AM8="","",FuelPrices_!AM8)</f>
        <v>2028</v>
      </c>
      <c r="D6">
        <f>IF(FuelPrices_!AN8="","",FuelPrices_!AN8)</f>
        <v>4.9134013020513449E-2</v>
      </c>
      <c r="E6">
        <f>IFERROR(VLOOKUP(A6,FuelPrices_!$B$49:$G$53,6,FALSE),"")</f>
        <v>3.8700000000000005E-2</v>
      </c>
      <c r="F6">
        <f>IFERROR(VLOOKUP(A6,FuelPrices_!$B$61:$G$65,6,FALSE),"")</f>
        <v>1.4999999999999999E-2</v>
      </c>
      <c r="G6">
        <f t="shared" si="0"/>
        <v>0.10283401302051345</v>
      </c>
    </row>
    <row r="7" spans="1:8" x14ac:dyDescent="0.25">
      <c r="A7" t="str">
        <f>IF(FuelPrices_!AK9="","",FuelPrices_!AK9)</f>
        <v>Oil</v>
      </c>
      <c r="B7" t="str">
        <f>IF(FuelPrices_!AL9="","",FuelPrices_!AL9)</f>
        <v>High</v>
      </c>
      <c r="C7">
        <f>IF(FuelPrices_!AM9="","",FuelPrices_!AM9)</f>
        <v>2029</v>
      </c>
      <c r="D7">
        <f>IF(FuelPrices_!AN9="","",FuelPrices_!AN9)</f>
        <v>4.8826925439135242E-2</v>
      </c>
      <c r="E7">
        <f>IFERROR(VLOOKUP(A7,FuelPrices_!$B$49:$G$53,6,FALSE),"")</f>
        <v>3.8700000000000005E-2</v>
      </c>
      <c r="F7">
        <f>IFERROR(VLOOKUP(A7,FuelPrices_!$B$61:$G$65,6,FALSE),"")</f>
        <v>1.4999999999999999E-2</v>
      </c>
      <c r="G7">
        <f t="shared" si="0"/>
        <v>0.10252692543913525</v>
      </c>
    </row>
    <row r="8" spans="1:8" x14ac:dyDescent="0.25">
      <c r="A8" t="str">
        <f>IF(FuelPrices_!AK10="","",FuelPrices_!AK10)</f>
        <v>Oil</v>
      </c>
      <c r="B8" t="str">
        <f>IF(FuelPrices_!AL10="","",FuelPrices_!AL10)</f>
        <v>High</v>
      </c>
      <c r="C8">
        <f>IF(FuelPrices_!AM10="","",FuelPrices_!AM10)</f>
        <v>2030</v>
      </c>
      <c r="D8">
        <f>IF(FuelPrices_!AN10="","",FuelPrices_!AN10)</f>
        <v>4.8519837857757028E-2</v>
      </c>
      <c r="E8">
        <f>IFERROR(VLOOKUP(A8,FuelPrices_!$B$49:$G$53,6,FALSE),"")</f>
        <v>3.8700000000000005E-2</v>
      </c>
      <c r="F8">
        <f>IFERROR(VLOOKUP(A8,FuelPrices_!$B$61:$G$65,6,FALSE),"")</f>
        <v>1.4999999999999999E-2</v>
      </c>
      <c r="G8">
        <f t="shared" si="0"/>
        <v>0.10221983785775703</v>
      </c>
    </row>
    <row r="9" spans="1:8" x14ac:dyDescent="0.25">
      <c r="A9" t="str">
        <f>IF(FuelPrices_!AK11="","",FuelPrices_!AK11)</f>
        <v>Oil</v>
      </c>
      <c r="B9" t="str">
        <f>IF(FuelPrices_!AL11="","",FuelPrices_!AL11)</f>
        <v>High</v>
      </c>
      <c r="C9">
        <f>IF(FuelPrices_!AM11="","",FuelPrices_!AM11)</f>
        <v>2031</v>
      </c>
      <c r="D9">
        <f>IF(FuelPrices_!AN11="","",FuelPrices_!AN11)</f>
        <v>4.8519837857757028E-2</v>
      </c>
      <c r="E9">
        <f>IFERROR(VLOOKUP(A9,FuelPrices_!$B$49:$G$53,6,FALSE),"")</f>
        <v>3.8700000000000005E-2</v>
      </c>
      <c r="F9">
        <f>IFERROR(VLOOKUP(A9,FuelPrices_!$B$61:$G$65,6,FALSE),"")</f>
        <v>1.4999999999999999E-2</v>
      </c>
      <c r="G9">
        <f t="shared" si="0"/>
        <v>0.10221983785775703</v>
      </c>
    </row>
    <row r="10" spans="1:8" x14ac:dyDescent="0.25">
      <c r="A10" t="str">
        <f>IF(FuelPrices_!AK12="","",FuelPrices_!AK12)</f>
        <v>Oil</v>
      </c>
      <c r="B10" t="str">
        <f>IF(FuelPrices_!AL12="","",FuelPrices_!AL12)</f>
        <v>High</v>
      </c>
      <c r="C10">
        <f>IF(FuelPrices_!AM12="","",FuelPrices_!AM12)</f>
        <v>2032</v>
      </c>
      <c r="D10">
        <f>IF(FuelPrices_!AN12="","",FuelPrices_!AN12)</f>
        <v>4.8397002825205745E-2</v>
      </c>
      <c r="E10">
        <f>IFERROR(VLOOKUP(A10,FuelPrices_!$B$49:$G$53,6,FALSE),"")</f>
        <v>3.8700000000000005E-2</v>
      </c>
      <c r="F10">
        <f>IFERROR(VLOOKUP(A10,FuelPrices_!$B$61:$G$65,6,FALSE),"")</f>
        <v>1.4999999999999999E-2</v>
      </c>
      <c r="G10">
        <f t="shared" si="0"/>
        <v>0.10209700282520574</v>
      </c>
    </row>
    <row r="11" spans="1:8" x14ac:dyDescent="0.25">
      <c r="A11" t="str">
        <f>IF(FuelPrices_!AK13="","",FuelPrices_!AK13)</f>
        <v>Oil</v>
      </c>
      <c r="B11" t="str">
        <f>IF(FuelPrices_!AL13="","",FuelPrices_!AL13)</f>
        <v>High</v>
      </c>
      <c r="C11">
        <f>IF(FuelPrices_!AM13="","",FuelPrices_!AM13)</f>
        <v>2033</v>
      </c>
      <c r="D11">
        <f>IF(FuelPrices_!AN13="","",FuelPrices_!AN13)</f>
        <v>4.8274167792654463E-2</v>
      </c>
      <c r="E11">
        <f>IFERROR(VLOOKUP(A11,FuelPrices_!$B$49:$G$53,6,FALSE),"")</f>
        <v>3.8700000000000005E-2</v>
      </c>
      <c r="F11">
        <f>IFERROR(VLOOKUP(A11,FuelPrices_!$B$61:$G$65,6,FALSE),"")</f>
        <v>1.4999999999999999E-2</v>
      </c>
      <c r="G11">
        <f t="shared" si="0"/>
        <v>0.10197416779265446</v>
      </c>
    </row>
    <row r="12" spans="1:8" x14ac:dyDescent="0.25">
      <c r="A12" t="str">
        <f>IF(FuelPrices_!AK14="","",FuelPrices_!AK14)</f>
        <v>Oil</v>
      </c>
      <c r="B12" t="str">
        <f>IF(FuelPrices_!AL14="","",FuelPrices_!AL14)</f>
        <v>High</v>
      </c>
      <c r="C12">
        <f>IF(FuelPrices_!AM14="","",FuelPrices_!AM14)</f>
        <v>2034</v>
      </c>
      <c r="D12">
        <f>IF(FuelPrices_!AN14="","",FuelPrices_!AN14)</f>
        <v>4.8151332760103187E-2</v>
      </c>
      <c r="E12">
        <f>IFERROR(VLOOKUP(A12,FuelPrices_!$B$49:$G$53,6,FALSE),"")</f>
        <v>3.8700000000000005E-2</v>
      </c>
      <c r="F12">
        <f>IFERROR(VLOOKUP(A12,FuelPrices_!$B$61:$G$65,6,FALSE),"")</f>
        <v>1.4999999999999999E-2</v>
      </c>
      <c r="G12">
        <f t="shared" si="0"/>
        <v>0.10185133276010319</v>
      </c>
    </row>
    <row r="13" spans="1:8" x14ac:dyDescent="0.25">
      <c r="A13" t="str">
        <f>IF(FuelPrices_!AK15="","",FuelPrices_!AK15)</f>
        <v>Oil</v>
      </c>
      <c r="B13" t="str">
        <f>IF(FuelPrices_!AL15="","",FuelPrices_!AL15)</f>
        <v>High</v>
      </c>
      <c r="C13">
        <f>IF(FuelPrices_!AM15="","",FuelPrices_!AM15)</f>
        <v>2035</v>
      </c>
      <c r="D13">
        <f>IF(FuelPrices_!AN15="","",FuelPrices_!AN15)</f>
        <v>4.8028497727551897E-2</v>
      </c>
      <c r="E13">
        <f>IFERROR(VLOOKUP(A13,FuelPrices_!$B$49:$G$53,6,FALSE),"")</f>
        <v>3.8700000000000005E-2</v>
      </c>
      <c r="F13">
        <f>IFERROR(VLOOKUP(A13,FuelPrices_!$B$61:$G$65,6,FALSE),"")</f>
        <v>1.4999999999999999E-2</v>
      </c>
      <c r="G13">
        <f t="shared" si="0"/>
        <v>0.10172849772755189</v>
      </c>
    </row>
    <row r="14" spans="1:8" x14ac:dyDescent="0.25">
      <c r="A14" t="str">
        <f>IF(FuelPrices_!AK16="","",FuelPrices_!AK16)</f>
        <v>Oil</v>
      </c>
      <c r="B14" t="str">
        <f>IF(FuelPrices_!AL16="","",FuelPrices_!AL16)</f>
        <v>High</v>
      </c>
      <c r="C14">
        <f>IF(FuelPrices_!AM16="","",FuelPrices_!AM16)</f>
        <v>2036</v>
      </c>
      <c r="D14">
        <f>IF(FuelPrices_!AN16="","",FuelPrices_!AN16)</f>
        <v>4.7905662695000614E-2</v>
      </c>
      <c r="E14">
        <f>IFERROR(VLOOKUP(A14,FuelPrices_!$B$49:$G$53,6,FALSE),"")</f>
        <v>3.8700000000000005E-2</v>
      </c>
      <c r="F14">
        <f>IFERROR(VLOOKUP(A14,FuelPrices_!$B$61:$G$65,6,FALSE),"")</f>
        <v>1.4999999999999999E-2</v>
      </c>
      <c r="G14">
        <f t="shared" si="0"/>
        <v>0.10160566269500061</v>
      </c>
    </row>
    <row r="15" spans="1:8" x14ac:dyDescent="0.25">
      <c r="A15" t="str">
        <f>IF(FuelPrices_!AK17="","",FuelPrices_!AK17)</f>
        <v>Oil</v>
      </c>
      <c r="B15" t="str">
        <f>IF(FuelPrices_!AL17="","",FuelPrices_!AL17)</f>
        <v>High</v>
      </c>
      <c r="C15">
        <f>IF(FuelPrices_!AM17="","",FuelPrices_!AM17)</f>
        <v>2037</v>
      </c>
      <c r="D15">
        <f>IF(FuelPrices_!AN17="","",FuelPrices_!AN17)</f>
        <v>4.7782827662449325E-2</v>
      </c>
      <c r="E15">
        <f>IFERROR(VLOOKUP(A15,FuelPrices_!$B$49:$G$53,6,FALSE),"")</f>
        <v>3.8700000000000005E-2</v>
      </c>
      <c r="F15">
        <f>IFERROR(VLOOKUP(A15,FuelPrices_!$B$61:$G$65,6,FALSE),"")</f>
        <v>1.4999999999999999E-2</v>
      </c>
      <c r="G15">
        <f t="shared" si="0"/>
        <v>0.10148282766244933</v>
      </c>
    </row>
    <row r="16" spans="1:8" x14ac:dyDescent="0.25">
      <c r="A16" t="str">
        <f>IF(FuelPrices_!AK18="","",FuelPrices_!AK18)</f>
        <v>Oil</v>
      </c>
      <c r="B16" t="str">
        <f>IF(FuelPrices_!AL18="","",FuelPrices_!AL18)</f>
        <v>High</v>
      </c>
      <c r="C16">
        <f>IF(FuelPrices_!AM18="","",FuelPrices_!AM18)</f>
        <v>2038</v>
      </c>
      <c r="D16">
        <f>IF(FuelPrices_!AN18="","",FuelPrices_!AN18)</f>
        <v>4.7659992629898042E-2</v>
      </c>
      <c r="E16">
        <f>IFERROR(VLOOKUP(A16,FuelPrices_!$B$49:$G$53,6,FALSE),"")</f>
        <v>3.8700000000000005E-2</v>
      </c>
      <c r="F16">
        <f>IFERROR(VLOOKUP(A16,FuelPrices_!$B$61:$G$65,6,FALSE),"")</f>
        <v>1.4999999999999999E-2</v>
      </c>
      <c r="G16">
        <f t="shared" si="0"/>
        <v>0.10135999262989805</v>
      </c>
    </row>
    <row r="17" spans="1:7" x14ac:dyDescent="0.25">
      <c r="A17" t="str">
        <f>IF(FuelPrices_!AK19="","",FuelPrices_!AK19)</f>
        <v>Oil</v>
      </c>
      <c r="B17" t="str">
        <f>IF(FuelPrices_!AL19="","",FuelPrices_!AL19)</f>
        <v>High</v>
      </c>
      <c r="C17">
        <f>IF(FuelPrices_!AM19="","",FuelPrices_!AM19)</f>
        <v>2039</v>
      </c>
      <c r="D17">
        <f>IF(FuelPrices_!AN19="","",FuelPrices_!AN19)</f>
        <v>4.7537157597346766E-2</v>
      </c>
      <c r="E17">
        <f>IFERROR(VLOOKUP(A17,FuelPrices_!$B$49:$G$53,6,FALSE),"")</f>
        <v>3.8700000000000005E-2</v>
      </c>
      <c r="F17">
        <f>IFERROR(VLOOKUP(A17,FuelPrices_!$B$61:$G$65,6,FALSE),"")</f>
        <v>1.4999999999999999E-2</v>
      </c>
      <c r="G17">
        <f t="shared" si="0"/>
        <v>0.10123715759734676</v>
      </c>
    </row>
    <row r="18" spans="1:7" x14ac:dyDescent="0.25">
      <c r="A18" t="str">
        <f>IF(FuelPrices_!AK20="","",FuelPrices_!AK20)</f>
        <v>Oil</v>
      </c>
      <c r="B18" t="str">
        <f>IF(FuelPrices_!AL20="","",FuelPrices_!AL20)</f>
        <v>High</v>
      </c>
      <c r="C18">
        <f>IF(FuelPrices_!AM20="","",FuelPrices_!AM20)</f>
        <v>2040</v>
      </c>
      <c r="D18">
        <f>IF(FuelPrices_!AN20="","",FuelPrices_!AN20)</f>
        <v>4.7291487532244193E-2</v>
      </c>
      <c r="E18">
        <f>IFERROR(VLOOKUP(A18,FuelPrices_!$B$49:$G$53,6,FALSE),"")</f>
        <v>3.8700000000000005E-2</v>
      </c>
      <c r="F18">
        <f>IFERROR(VLOOKUP(A18,FuelPrices_!$B$61:$G$65,6,FALSE),"")</f>
        <v>1.4999999999999999E-2</v>
      </c>
      <c r="G18">
        <f t="shared" si="0"/>
        <v>0.1009914875322442</v>
      </c>
    </row>
    <row r="19" spans="1:7" x14ac:dyDescent="0.25">
      <c r="A19" t="str">
        <f>IF(FuelPrices_!AK21="","",FuelPrices_!AK21)</f>
        <v>Oil</v>
      </c>
      <c r="B19" t="str">
        <f>IF(FuelPrices_!AL21="","",FuelPrices_!AL21)</f>
        <v>High</v>
      </c>
      <c r="C19">
        <f>IF(FuelPrices_!AM21="","",FuelPrices_!AM21)</f>
        <v>2041</v>
      </c>
      <c r="D19">
        <f>IF(FuelPrices_!AN21="","",FuelPrices_!AN21)</f>
        <v>4.7291487532244193E-2</v>
      </c>
      <c r="E19">
        <f>IFERROR(VLOOKUP(A19,FuelPrices_!$B$49:$G$53,6,FALSE),"")</f>
        <v>3.8700000000000005E-2</v>
      </c>
      <c r="F19">
        <f>IFERROR(VLOOKUP(A19,FuelPrices_!$B$61:$G$65,6,FALSE),"")</f>
        <v>1.4999999999999999E-2</v>
      </c>
      <c r="G19">
        <f t="shared" si="0"/>
        <v>0.1009914875322442</v>
      </c>
    </row>
    <row r="20" spans="1:7" x14ac:dyDescent="0.25">
      <c r="A20" t="str">
        <f>IF(FuelPrices_!AK25="","",FuelPrices_!AK25)</f>
        <v>Oil</v>
      </c>
      <c r="B20" t="str">
        <f>IF(FuelPrices_!AL25="","",FuelPrices_!AL25)</f>
        <v>High</v>
      </c>
      <c r="C20">
        <f>IF(FuelPrices_!AM25="","",FuelPrices_!AM25)</f>
        <v>2042</v>
      </c>
      <c r="D20">
        <f>IF(FuelPrices_!AN25="","",FuelPrices_!AN25)</f>
        <v>4.716865249969291E-2</v>
      </c>
      <c r="E20">
        <f>IFERROR(VLOOKUP(A20,FuelPrices_!$B$49:$G$53,6,FALSE),"")</f>
        <v>3.8700000000000005E-2</v>
      </c>
      <c r="F20">
        <f>IFERROR(VLOOKUP(A20,FuelPrices_!$B$61:$G$65,6,FALSE),"")</f>
        <v>1.4999999999999999E-2</v>
      </c>
      <c r="G20">
        <f t="shared" si="0"/>
        <v>0.10086865249969292</v>
      </c>
    </row>
    <row r="21" spans="1:7" x14ac:dyDescent="0.25">
      <c r="A21" t="str">
        <f>IF(FuelPrices_!AK26="","",FuelPrices_!AK26)</f>
        <v>Oil</v>
      </c>
      <c r="B21" t="str">
        <f>IF(FuelPrices_!AL26="","",FuelPrices_!AL26)</f>
        <v>High</v>
      </c>
      <c r="C21">
        <f>IF(FuelPrices_!AM26="","",FuelPrices_!AM26)</f>
        <v>2043</v>
      </c>
      <c r="D21">
        <f>IF(FuelPrices_!AN26="","",FuelPrices_!AN26)</f>
        <v>4.7045817467141621E-2</v>
      </c>
      <c r="E21">
        <f>IFERROR(VLOOKUP(A21,FuelPrices_!$B$49:$G$53,6,FALSE),"")</f>
        <v>3.8700000000000005E-2</v>
      </c>
      <c r="F21">
        <f>IFERROR(VLOOKUP(A21,FuelPrices_!$B$61:$G$65,6,FALSE),"")</f>
        <v>1.4999999999999999E-2</v>
      </c>
      <c r="G21">
        <f t="shared" si="0"/>
        <v>0.10074581746714163</v>
      </c>
    </row>
    <row r="22" spans="1:7" x14ac:dyDescent="0.25">
      <c r="A22" t="str">
        <f>IF(FuelPrices_!AK27="","",FuelPrices_!AK27)</f>
        <v>Oil</v>
      </c>
      <c r="B22" t="str">
        <f>IF(FuelPrices_!AL27="","",FuelPrices_!AL27)</f>
        <v>High</v>
      </c>
      <c r="C22">
        <f>IF(FuelPrices_!AM27="","",FuelPrices_!AM27)</f>
        <v>2044</v>
      </c>
      <c r="D22">
        <f>IF(FuelPrices_!AN27="","",FuelPrices_!AN27)</f>
        <v>4.6922982434590345E-2</v>
      </c>
      <c r="E22">
        <f>IFERROR(VLOOKUP(A22,FuelPrices_!$B$49:$G$53,6,FALSE),"")</f>
        <v>3.8700000000000005E-2</v>
      </c>
      <c r="F22">
        <f>IFERROR(VLOOKUP(A22,FuelPrices_!$B$61:$G$65,6,FALSE),"")</f>
        <v>1.4999999999999999E-2</v>
      </c>
      <c r="G22">
        <f t="shared" si="0"/>
        <v>0.10062298243459035</v>
      </c>
    </row>
    <row r="23" spans="1:7" x14ac:dyDescent="0.25">
      <c r="A23" t="str">
        <f>IF(FuelPrices_!AK28="","",FuelPrices_!AK28)</f>
        <v>Oil</v>
      </c>
      <c r="B23" t="str">
        <f>IF(FuelPrices_!AL28="","",FuelPrices_!AL28)</f>
        <v>High</v>
      </c>
      <c r="C23">
        <f>IF(FuelPrices_!AM28="","",FuelPrices_!AM28)</f>
        <v>2045</v>
      </c>
      <c r="D23">
        <f>IF(FuelPrices_!AN28="","",FuelPrices_!AN28)</f>
        <v>4.6800147402039062E-2</v>
      </c>
      <c r="E23">
        <f>IFERROR(VLOOKUP(A23,FuelPrices_!$B$49:$G$53,6,FALSE),"")</f>
        <v>3.8700000000000005E-2</v>
      </c>
      <c r="F23">
        <f>IFERROR(VLOOKUP(A23,FuelPrices_!$B$61:$G$65,6,FALSE),"")</f>
        <v>1.4999999999999999E-2</v>
      </c>
      <c r="G23">
        <f t="shared" si="0"/>
        <v>0.10050014740203907</v>
      </c>
    </row>
    <row r="24" spans="1:7" x14ac:dyDescent="0.25">
      <c r="A24" t="str">
        <f>IF(FuelPrices_!AK29="","",FuelPrices_!AK29)</f>
        <v>Oil</v>
      </c>
      <c r="B24" t="str">
        <f>IF(FuelPrices_!AL29="","",FuelPrices_!AL29)</f>
        <v>High</v>
      </c>
      <c r="C24">
        <f>IF(FuelPrices_!AM29="","",FuelPrices_!AM29)</f>
        <v>2046</v>
      </c>
      <c r="D24">
        <f>IF(FuelPrices_!AN29="","",FuelPrices_!AN29)</f>
        <v>4.6677312369487779E-2</v>
      </c>
      <c r="E24">
        <f>IFERROR(VLOOKUP(A24,FuelPrices_!$B$49:$G$53,6,FALSE),"")</f>
        <v>3.8700000000000005E-2</v>
      </c>
      <c r="F24">
        <f>IFERROR(VLOOKUP(A24,FuelPrices_!$B$61:$G$65,6,FALSE),"")</f>
        <v>1.4999999999999999E-2</v>
      </c>
      <c r="G24">
        <f t="shared" si="0"/>
        <v>0.10037731236948778</v>
      </c>
    </row>
    <row r="25" spans="1:7" x14ac:dyDescent="0.25">
      <c r="A25" t="str">
        <f>IF(FuelPrices_!AK30="","",FuelPrices_!AK30)</f>
        <v>Oil</v>
      </c>
      <c r="B25" t="str">
        <f>IF(FuelPrices_!AL30="","",FuelPrices_!AL30)</f>
        <v>High</v>
      </c>
      <c r="C25">
        <f>IF(FuelPrices_!AM30="","",FuelPrices_!AM30)</f>
        <v>2047</v>
      </c>
      <c r="D25">
        <f>IF(FuelPrices_!AN30="","",FuelPrices_!AN30)</f>
        <v>4.6554477336936489E-2</v>
      </c>
      <c r="E25">
        <f>IFERROR(VLOOKUP(A25,FuelPrices_!$B$49:$G$53,6,FALSE),"")</f>
        <v>3.8700000000000005E-2</v>
      </c>
      <c r="F25">
        <f>IFERROR(VLOOKUP(A25,FuelPrices_!$B$61:$G$65,6,FALSE),"")</f>
        <v>1.4999999999999999E-2</v>
      </c>
      <c r="G25">
        <f t="shared" si="0"/>
        <v>0.1002544773369365</v>
      </c>
    </row>
    <row r="26" spans="1:7" x14ac:dyDescent="0.25">
      <c r="A26" t="str">
        <f>IF(FuelPrices_!AK31="","",FuelPrices_!AK31)</f>
        <v>Oil</v>
      </c>
      <c r="B26" t="str">
        <f>IF(FuelPrices_!AL31="","",FuelPrices_!AL31)</f>
        <v>High</v>
      </c>
      <c r="C26">
        <f>IF(FuelPrices_!AM31="","",FuelPrices_!AM31)</f>
        <v>2048</v>
      </c>
      <c r="D26">
        <f>IF(FuelPrices_!AN31="","",FuelPrices_!AN31)</f>
        <v>4.6431642304385207E-2</v>
      </c>
      <c r="E26">
        <f>IFERROR(VLOOKUP(A26,FuelPrices_!$B$49:$G$53,6,FALSE),"")</f>
        <v>3.8700000000000005E-2</v>
      </c>
      <c r="F26">
        <f>IFERROR(VLOOKUP(A26,FuelPrices_!$B$61:$G$65,6,FALSE),"")</f>
        <v>1.4999999999999999E-2</v>
      </c>
      <c r="G26">
        <f t="shared" si="0"/>
        <v>0.10013164230438522</v>
      </c>
    </row>
    <row r="27" spans="1:7" x14ac:dyDescent="0.25">
      <c r="A27" t="str">
        <f>IF(FuelPrices_!AK32="","",FuelPrices_!AK32)</f>
        <v>Oil</v>
      </c>
      <c r="B27" t="str">
        <f>IF(FuelPrices_!AL32="","",FuelPrices_!AL32)</f>
        <v>High</v>
      </c>
      <c r="C27">
        <f>IF(FuelPrices_!AM32="","",FuelPrices_!AM32)</f>
        <v>2049</v>
      </c>
      <c r="D27">
        <f>IF(FuelPrices_!AN32="","",FuelPrices_!AN32)</f>
        <v>4.6308807271833931E-2</v>
      </c>
      <c r="E27">
        <f>IFERROR(VLOOKUP(A27,FuelPrices_!$B$49:$G$53,6,FALSE),"")</f>
        <v>3.8700000000000005E-2</v>
      </c>
      <c r="F27">
        <f>IFERROR(VLOOKUP(A27,FuelPrices_!$B$61:$G$65,6,FALSE),"")</f>
        <v>1.4999999999999999E-2</v>
      </c>
      <c r="G27">
        <f t="shared" si="0"/>
        <v>0.10000880727183394</v>
      </c>
    </row>
    <row r="28" spans="1:7" x14ac:dyDescent="0.25">
      <c r="A28" t="str">
        <f>IF(FuelPrices_!AK33="","",FuelPrices_!AK33)</f>
        <v>Oil</v>
      </c>
      <c r="B28" t="str">
        <f>IF(FuelPrices_!AL33="","",FuelPrices_!AL33)</f>
        <v>High</v>
      </c>
      <c r="C28">
        <f>IF(FuelPrices_!AM33="","",FuelPrices_!AM33)</f>
        <v>2050</v>
      </c>
      <c r="D28">
        <f>IF(FuelPrices_!AN33="","",FuelPrices_!AN33)</f>
        <v>4.6063137206731358E-2</v>
      </c>
      <c r="E28">
        <f>IFERROR(VLOOKUP(A28,FuelPrices_!$B$49:$G$53,6,FALSE),"")</f>
        <v>3.8700000000000005E-2</v>
      </c>
      <c r="F28">
        <f>IFERROR(VLOOKUP(A28,FuelPrices_!$B$61:$G$65,6,FALSE),"")</f>
        <v>1.4999999999999999E-2</v>
      </c>
      <c r="G28">
        <f t="shared" si="0"/>
        <v>9.976313720673137E-2</v>
      </c>
    </row>
    <row r="29" spans="1:7" x14ac:dyDescent="0.25">
      <c r="A29" t="str">
        <f>IF(FuelPrices_!AK34="","",FuelPrices_!AK34)</f>
        <v>Oil</v>
      </c>
      <c r="B29" t="str">
        <f>IF(FuelPrices_!AL34="","",FuelPrices_!AL34)</f>
        <v>Average</v>
      </c>
      <c r="C29">
        <f>IF(FuelPrices_!AM34="","",FuelPrices_!AM34)</f>
        <v>2024</v>
      </c>
      <c r="D29">
        <f>IF(FuelPrices_!AN34="","",FuelPrices_!AN34)</f>
        <v>5.0362363346026284E-2</v>
      </c>
      <c r="E29">
        <f>IFERROR(VLOOKUP(A29,FuelPrices_!$B$49:$G$53,6,FALSE),"")</f>
        <v>3.8700000000000005E-2</v>
      </c>
      <c r="F29">
        <f>IFERROR(VLOOKUP(A29,FuelPrices_!$B$61:$G$65,6,FALSE),"")</f>
        <v>1.4999999999999999E-2</v>
      </c>
      <c r="G29">
        <f t="shared" si="0"/>
        <v>0.1040623633460263</v>
      </c>
    </row>
    <row r="30" spans="1:7" x14ac:dyDescent="0.25">
      <c r="A30" t="str">
        <f>IF(FuelPrices_!AK35="","",FuelPrices_!AK35)</f>
        <v>Oil</v>
      </c>
      <c r="B30" t="str">
        <f>IF(FuelPrices_!AL35="","",FuelPrices_!AL35)</f>
        <v>Average</v>
      </c>
      <c r="C30">
        <f>IF(FuelPrices_!AM35="","",FuelPrices_!AM35)</f>
        <v>2025</v>
      </c>
      <c r="D30">
        <f>IF(FuelPrices_!AN35="","",FuelPrices_!AN35)</f>
        <v>4.9338738074765583E-2</v>
      </c>
      <c r="E30">
        <f>IFERROR(VLOOKUP(A30,FuelPrices_!$B$49:$G$53,6,FALSE),"")</f>
        <v>3.8700000000000005E-2</v>
      </c>
      <c r="F30">
        <f>IFERROR(VLOOKUP(A30,FuelPrices_!$B$61:$G$65,6,FALSE),"")</f>
        <v>1.4999999999999999E-2</v>
      </c>
      <c r="G30">
        <f t="shared" si="0"/>
        <v>0.10303873807476559</v>
      </c>
    </row>
    <row r="31" spans="1:7" x14ac:dyDescent="0.25">
      <c r="A31" t="str">
        <f>IF(FuelPrices_!AK36="","",FuelPrices_!AK36)</f>
        <v>Oil</v>
      </c>
      <c r="B31" t="str">
        <f>IF(FuelPrices_!AL36="","",FuelPrices_!AL36)</f>
        <v>Average</v>
      </c>
      <c r="C31">
        <f>IF(FuelPrices_!AM36="","",FuelPrices_!AM36)</f>
        <v>2026</v>
      </c>
      <c r="D31">
        <f>IF(FuelPrices_!AN36="","",FuelPrices_!AN36)</f>
        <v>4.8315112803504895E-2</v>
      </c>
      <c r="E31">
        <f>IFERROR(VLOOKUP(A31,FuelPrices_!$B$49:$G$53,6,FALSE),"")</f>
        <v>3.8700000000000005E-2</v>
      </c>
      <c r="F31">
        <f>IFERROR(VLOOKUP(A31,FuelPrices_!$B$61:$G$65,6,FALSE),"")</f>
        <v>1.4999999999999999E-2</v>
      </c>
      <c r="G31">
        <f t="shared" si="0"/>
        <v>0.10201511280350491</v>
      </c>
    </row>
    <row r="32" spans="1:7" x14ac:dyDescent="0.25">
      <c r="A32" t="str">
        <f>IF(FuelPrices_!AK37="","",FuelPrices_!AK37)</f>
        <v>Oil</v>
      </c>
      <c r="B32" t="str">
        <f>IF(FuelPrices_!AL37="","",FuelPrices_!AL37)</f>
        <v>Average</v>
      </c>
      <c r="C32">
        <f>IF(FuelPrices_!AM37="","",FuelPrices_!AM37)</f>
        <v>2027</v>
      </c>
      <c r="D32">
        <f>IF(FuelPrices_!AN37="","",FuelPrices_!AN37)</f>
        <v>4.7291487532244193E-2</v>
      </c>
      <c r="E32">
        <f>IFERROR(VLOOKUP(A32,FuelPrices_!$B$49:$G$53,6,FALSE),"")</f>
        <v>3.8700000000000005E-2</v>
      </c>
      <c r="F32">
        <f>IFERROR(VLOOKUP(A32,FuelPrices_!$B$61:$G$65,6,FALSE),"")</f>
        <v>1.4999999999999999E-2</v>
      </c>
      <c r="G32">
        <f t="shared" si="0"/>
        <v>0.1009914875322442</v>
      </c>
    </row>
    <row r="33" spans="1:7" x14ac:dyDescent="0.25">
      <c r="A33" t="str">
        <f>IF(FuelPrices_!AK38="","",FuelPrices_!AK38)</f>
        <v>Oil</v>
      </c>
      <c r="B33" t="str">
        <f>IF(FuelPrices_!AL38="","",FuelPrices_!AL38)</f>
        <v>Average</v>
      </c>
      <c r="C33">
        <f>IF(FuelPrices_!AM38="","",FuelPrices_!AM38)</f>
        <v>2028</v>
      </c>
      <c r="D33">
        <f>IF(FuelPrices_!AN38="","",FuelPrices_!AN38)</f>
        <v>4.6267862260983492E-2</v>
      </c>
      <c r="E33">
        <f>IFERROR(VLOOKUP(A33,FuelPrices_!$B$49:$G$53,6,FALSE),"")</f>
        <v>3.8700000000000005E-2</v>
      </c>
      <c r="F33">
        <f>IFERROR(VLOOKUP(A33,FuelPrices_!$B$61:$G$65,6,FALSE),"")</f>
        <v>1.4999999999999999E-2</v>
      </c>
      <c r="G33">
        <f t="shared" si="0"/>
        <v>9.9967862260983489E-2</v>
      </c>
    </row>
    <row r="34" spans="1:7" x14ac:dyDescent="0.25">
      <c r="A34" t="str">
        <f>IF(FuelPrices_!AK39="","",FuelPrices_!AK39)</f>
        <v>Oil</v>
      </c>
      <c r="B34" t="str">
        <f>IF(FuelPrices_!AL39="","",FuelPrices_!AL39)</f>
        <v>Average</v>
      </c>
      <c r="C34">
        <f>IF(FuelPrices_!AM39="","",FuelPrices_!AM39)</f>
        <v>2029</v>
      </c>
      <c r="D34">
        <f>IF(FuelPrices_!AN39="","",FuelPrices_!AN39)</f>
        <v>4.5244236989722804E-2</v>
      </c>
      <c r="E34">
        <f>IFERROR(VLOOKUP(A34,FuelPrices_!$B$49:$G$53,6,FALSE),"")</f>
        <v>3.8700000000000005E-2</v>
      </c>
      <c r="F34">
        <f>IFERROR(VLOOKUP(A34,FuelPrices_!$B$61:$G$65,6,FALSE),"")</f>
        <v>1.4999999999999999E-2</v>
      </c>
      <c r="G34">
        <f t="shared" si="0"/>
        <v>9.8944236989722809E-2</v>
      </c>
    </row>
    <row r="35" spans="1:7" x14ac:dyDescent="0.25">
      <c r="A35" t="str">
        <f>IF(FuelPrices_!AK40="","",FuelPrices_!AK40)</f>
        <v>Oil</v>
      </c>
      <c r="B35" t="str">
        <f>IF(FuelPrices_!AL40="","",FuelPrices_!AL40)</f>
        <v>Average</v>
      </c>
      <c r="C35">
        <f>IF(FuelPrices_!AM40="","",FuelPrices_!AM40)</f>
        <v>2030</v>
      </c>
      <c r="D35">
        <f>IF(FuelPrices_!AN40="","",FuelPrices_!AN40)</f>
        <v>4.4220611718462102E-2</v>
      </c>
      <c r="E35">
        <f>IFERROR(VLOOKUP(A35,FuelPrices_!$B$49:$G$53,6,FALSE),"")</f>
        <v>3.8700000000000005E-2</v>
      </c>
      <c r="F35">
        <f>IFERROR(VLOOKUP(A35,FuelPrices_!$B$61:$G$65,6,FALSE),"")</f>
        <v>1.4999999999999999E-2</v>
      </c>
      <c r="G35">
        <f t="shared" si="0"/>
        <v>9.79206117184621E-2</v>
      </c>
    </row>
    <row r="36" spans="1:7" x14ac:dyDescent="0.25">
      <c r="A36" t="str">
        <f>IF(FuelPrices_!AK41="","",FuelPrices_!AK41)</f>
        <v>Oil</v>
      </c>
      <c r="B36" t="str">
        <f>IF(FuelPrices_!AL41="","",FuelPrices_!AL41)</f>
        <v>Average</v>
      </c>
      <c r="C36">
        <f>IF(FuelPrices_!AM41="","",FuelPrices_!AM41)</f>
        <v>2031</v>
      </c>
      <c r="D36">
        <f>IF(FuelPrices_!AN41="","",FuelPrices_!AN41)</f>
        <v>4.4220611718462102E-2</v>
      </c>
      <c r="E36">
        <f>IFERROR(VLOOKUP(A36,FuelPrices_!$B$49:$G$53,6,FALSE),"")</f>
        <v>3.8700000000000005E-2</v>
      </c>
      <c r="F36">
        <f>IFERROR(VLOOKUP(A36,FuelPrices_!$B$61:$G$65,6,FALSE),"")</f>
        <v>1.4999999999999999E-2</v>
      </c>
      <c r="G36">
        <f t="shared" si="0"/>
        <v>9.79206117184621E-2</v>
      </c>
    </row>
    <row r="37" spans="1:7" x14ac:dyDescent="0.25">
      <c r="A37" t="str">
        <f>IF(FuelPrices_!AK42="","",FuelPrices_!AK42)</f>
        <v>Oil</v>
      </c>
      <c r="B37" t="str">
        <f>IF(FuelPrices_!AL42="","",FuelPrices_!AL42)</f>
        <v>Average</v>
      </c>
      <c r="C37">
        <f>IF(FuelPrices_!AM42="","",FuelPrices_!AM42)</f>
        <v>2032</v>
      </c>
      <c r="D37">
        <f>IF(FuelPrices_!AN42="","",FuelPrices_!AN42)</f>
        <v>4.3667854071981323E-2</v>
      </c>
      <c r="E37">
        <f>IFERROR(VLOOKUP(A37,FuelPrices_!$B$49:$G$53,6,FALSE),"")</f>
        <v>3.8700000000000005E-2</v>
      </c>
      <c r="F37">
        <f>IFERROR(VLOOKUP(A37,FuelPrices_!$B$61:$G$65,6,FALSE),"")</f>
        <v>1.4999999999999999E-2</v>
      </c>
      <c r="G37">
        <f t="shared" si="0"/>
        <v>9.7367854071981327E-2</v>
      </c>
    </row>
    <row r="38" spans="1:7" x14ac:dyDescent="0.25">
      <c r="A38" t="str">
        <f>IF(FuelPrices_!AK43="","",FuelPrices_!AK43)</f>
        <v>Oil</v>
      </c>
      <c r="B38" t="str">
        <f>IF(FuelPrices_!AL43="","",FuelPrices_!AL43)</f>
        <v>Average</v>
      </c>
      <c r="C38">
        <f>IF(FuelPrices_!AM43="","",FuelPrices_!AM43)</f>
        <v>2033</v>
      </c>
      <c r="D38">
        <f>IF(FuelPrices_!AN43="","",FuelPrices_!AN43)</f>
        <v>4.311509642550055E-2</v>
      </c>
      <c r="E38">
        <f>IFERROR(VLOOKUP(A38,FuelPrices_!$B$49:$G$53,6,FALSE),"")</f>
        <v>3.8700000000000005E-2</v>
      </c>
      <c r="F38">
        <f>IFERROR(VLOOKUP(A38,FuelPrices_!$B$61:$G$65,6,FALSE),"")</f>
        <v>1.4999999999999999E-2</v>
      </c>
      <c r="G38">
        <f t="shared" si="0"/>
        <v>9.6815096425500555E-2</v>
      </c>
    </row>
    <row r="39" spans="1:7" x14ac:dyDescent="0.25">
      <c r="A39" t="str">
        <f>IF(FuelPrices_!AK44="","",FuelPrices_!AK44)</f>
        <v>Oil</v>
      </c>
      <c r="B39" t="str">
        <f>IF(FuelPrices_!AL44="","",FuelPrices_!AL44)</f>
        <v>Average</v>
      </c>
      <c r="C39">
        <f>IF(FuelPrices_!AM44="","",FuelPrices_!AM44)</f>
        <v>2034</v>
      </c>
      <c r="D39">
        <f>IF(FuelPrices_!AN44="","",FuelPrices_!AN44)</f>
        <v>4.256233877901977E-2</v>
      </c>
      <c r="E39">
        <f>IFERROR(VLOOKUP(A39,FuelPrices_!$B$49:$G$53,6,FALSE),"")</f>
        <v>3.8700000000000005E-2</v>
      </c>
      <c r="F39">
        <f>IFERROR(VLOOKUP(A39,FuelPrices_!$B$61:$G$65,6,FALSE),"")</f>
        <v>1.4999999999999999E-2</v>
      </c>
      <c r="G39">
        <f t="shared" si="0"/>
        <v>9.6262338779019782E-2</v>
      </c>
    </row>
    <row r="40" spans="1:7" x14ac:dyDescent="0.25">
      <c r="A40" t="str">
        <f>IF(FuelPrices_!AK45="","",FuelPrices_!AK45)</f>
        <v>Oil</v>
      </c>
      <c r="B40" t="str">
        <f>IF(FuelPrices_!AL45="","",FuelPrices_!AL45)</f>
        <v>Average</v>
      </c>
      <c r="C40">
        <f>IF(FuelPrices_!AM45="","",FuelPrices_!AM45)</f>
        <v>2035</v>
      </c>
      <c r="D40">
        <f>IF(FuelPrices_!AN45="","",FuelPrices_!AN45)</f>
        <v>4.2009581132539005E-2</v>
      </c>
      <c r="E40">
        <f>IFERROR(VLOOKUP(A40,FuelPrices_!$B$49:$G$53,6,FALSE),"")</f>
        <v>3.8700000000000005E-2</v>
      </c>
      <c r="F40">
        <f>IFERROR(VLOOKUP(A40,FuelPrices_!$B$61:$G$65,6,FALSE),"")</f>
        <v>1.4999999999999999E-2</v>
      </c>
      <c r="G40">
        <f t="shared" si="0"/>
        <v>9.5709581132539009E-2</v>
      </c>
    </row>
    <row r="41" spans="1:7" x14ac:dyDescent="0.25">
      <c r="A41" t="str">
        <f>IF(FuelPrices_!AK46="","",FuelPrices_!AK46)</f>
        <v>Oil</v>
      </c>
      <c r="B41" t="str">
        <f>IF(FuelPrices_!AL46="","",FuelPrices_!AL46)</f>
        <v>Average</v>
      </c>
      <c r="C41">
        <f>IF(FuelPrices_!AM46="","",FuelPrices_!AM46)</f>
        <v>2036</v>
      </c>
      <c r="D41">
        <f>IF(FuelPrices_!AN46="","",FuelPrices_!AN46)</f>
        <v>4.1456823486058225E-2</v>
      </c>
      <c r="E41">
        <f>IFERROR(VLOOKUP(A41,FuelPrices_!$B$49:$G$53,6,FALSE),"")</f>
        <v>3.8700000000000005E-2</v>
      </c>
      <c r="F41">
        <f>IFERROR(VLOOKUP(A41,FuelPrices_!$B$61:$G$65,6,FALSE),"")</f>
        <v>1.4999999999999999E-2</v>
      </c>
      <c r="G41">
        <f t="shared" si="0"/>
        <v>9.5156823486058237E-2</v>
      </c>
    </row>
    <row r="42" spans="1:7" x14ac:dyDescent="0.25">
      <c r="A42" t="str">
        <f>IF(FuelPrices_!AK47="","",FuelPrices_!AK47)</f>
        <v>Oil</v>
      </c>
      <c r="B42" t="str">
        <f>IF(FuelPrices_!AL47="","",FuelPrices_!AL47)</f>
        <v>Average</v>
      </c>
      <c r="C42">
        <f>IF(FuelPrices_!AM47="","",FuelPrices_!AM47)</f>
        <v>2037</v>
      </c>
      <c r="D42">
        <f>IF(FuelPrices_!AN47="","",FuelPrices_!AN47)</f>
        <v>4.0904065839577446E-2</v>
      </c>
      <c r="E42">
        <f>IFERROR(VLOOKUP(A42,FuelPrices_!$B$49:$G$53,6,FALSE),"")</f>
        <v>3.8700000000000005E-2</v>
      </c>
      <c r="F42">
        <f>IFERROR(VLOOKUP(A42,FuelPrices_!$B$61:$G$65,6,FALSE),"")</f>
        <v>1.4999999999999999E-2</v>
      </c>
      <c r="G42">
        <f t="shared" si="0"/>
        <v>9.460406583957745E-2</v>
      </c>
    </row>
    <row r="43" spans="1:7" x14ac:dyDescent="0.25">
      <c r="A43" t="str">
        <f>IF(FuelPrices_!AK48="","",FuelPrices_!AK48)</f>
        <v>Oil</v>
      </c>
      <c r="B43" t="str">
        <f>IF(FuelPrices_!AL48="","",FuelPrices_!AL48)</f>
        <v>Average</v>
      </c>
      <c r="C43">
        <f>IF(FuelPrices_!AM48="","",FuelPrices_!AM48)</f>
        <v>2038</v>
      </c>
      <c r="D43">
        <f>IF(FuelPrices_!AN48="","",FuelPrices_!AN48)</f>
        <v>4.0351308193096673E-2</v>
      </c>
      <c r="E43">
        <f>IFERROR(VLOOKUP(A43,FuelPrices_!$B$49:$G$53,6,FALSE),"")</f>
        <v>3.8700000000000005E-2</v>
      </c>
      <c r="F43">
        <f>IFERROR(VLOOKUP(A43,FuelPrices_!$B$61:$G$65,6,FALSE),"")</f>
        <v>1.4999999999999999E-2</v>
      </c>
      <c r="G43">
        <f t="shared" si="0"/>
        <v>9.4051308193096678E-2</v>
      </c>
    </row>
    <row r="44" spans="1:7" x14ac:dyDescent="0.25">
      <c r="A44" t="str">
        <f>IF(FuelPrices_!AK49="","",FuelPrices_!AK49)</f>
        <v>Oil</v>
      </c>
      <c r="B44" t="str">
        <f>IF(FuelPrices_!AL49="","",FuelPrices_!AL49)</f>
        <v>Average</v>
      </c>
      <c r="C44">
        <f>IF(FuelPrices_!AM49="","",FuelPrices_!AM49)</f>
        <v>2039</v>
      </c>
      <c r="D44">
        <f>IF(FuelPrices_!AN49="","",FuelPrices_!AN49)</f>
        <v>3.9798550546615893E-2</v>
      </c>
      <c r="E44">
        <f>IFERROR(VLOOKUP(A44,FuelPrices_!$B$49:$G$53,6,FALSE),"")</f>
        <v>3.8700000000000005E-2</v>
      </c>
      <c r="F44">
        <f>IFERROR(VLOOKUP(A44,FuelPrices_!$B$61:$G$65,6,FALSE),"")</f>
        <v>1.4999999999999999E-2</v>
      </c>
      <c r="G44">
        <f t="shared" si="0"/>
        <v>9.3498550546615891E-2</v>
      </c>
    </row>
    <row r="45" spans="1:7" x14ac:dyDescent="0.25">
      <c r="A45" t="str">
        <f>IF(FuelPrices_!AK50="","",FuelPrices_!AK50)</f>
        <v>Oil</v>
      </c>
      <c r="B45" t="str">
        <f>IF(FuelPrices_!AL50="","",FuelPrices_!AL50)</f>
        <v>Average</v>
      </c>
      <c r="C45">
        <f>IF(FuelPrices_!AM50="","",FuelPrices_!AM50)</f>
        <v>2040</v>
      </c>
      <c r="D45">
        <f>IF(FuelPrices_!AN50="","",FuelPrices_!AN50)</f>
        <v>3.8693035253654341E-2</v>
      </c>
      <c r="E45">
        <f>IFERROR(VLOOKUP(A45,FuelPrices_!$B$49:$G$53,6,FALSE),"")</f>
        <v>3.8700000000000005E-2</v>
      </c>
      <c r="F45">
        <f>IFERROR(VLOOKUP(A45,FuelPrices_!$B$61:$G$65,6,FALSE),"")</f>
        <v>1.4999999999999999E-2</v>
      </c>
      <c r="G45">
        <f t="shared" si="0"/>
        <v>9.2393035253654346E-2</v>
      </c>
    </row>
    <row r="46" spans="1:7" x14ac:dyDescent="0.25">
      <c r="A46" t="str">
        <f>IF(FuelPrices_!AK51="","",FuelPrices_!AK51)</f>
        <v>Oil</v>
      </c>
      <c r="B46" t="str">
        <f>IF(FuelPrices_!AL51="","",FuelPrices_!AL51)</f>
        <v>Average</v>
      </c>
      <c r="C46">
        <f>IF(FuelPrices_!AM51="","",FuelPrices_!AM51)</f>
        <v>2041</v>
      </c>
      <c r="D46">
        <f>IF(FuelPrices_!AN51="","",FuelPrices_!AN51)</f>
        <v>3.8693035253654341E-2</v>
      </c>
      <c r="E46">
        <f>IFERROR(VLOOKUP(A46,FuelPrices_!$B$49:$G$53,6,FALSE),"")</f>
        <v>3.8700000000000005E-2</v>
      </c>
      <c r="F46">
        <f>IFERROR(VLOOKUP(A46,FuelPrices_!$B$61:$G$65,6,FALSE),"")</f>
        <v>1.4999999999999999E-2</v>
      </c>
      <c r="G46">
        <f t="shared" si="0"/>
        <v>9.2393035253654346E-2</v>
      </c>
    </row>
    <row r="47" spans="1:7" x14ac:dyDescent="0.25">
      <c r="A47" t="str">
        <f>IF(FuelPrices_!AK52="","",FuelPrices_!AK52)</f>
        <v>Oil</v>
      </c>
      <c r="B47" t="str">
        <f>IF(FuelPrices_!AL52="","",FuelPrices_!AL52)</f>
        <v>Average</v>
      </c>
      <c r="C47">
        <f>IF(FuelPrices_!AM52="","",FuelPrices_!AM52)</f>
        <v>2042</v>
      </c>
      <c r="D47">
        <f>IF(FuelPrices_!AN52="","",FuelPrices_!AN52)</f>
        <v>3.8385947672276134E-2</v>
      </c>
      <c r="E47">
        <f>IFERROR(VLOOKUP(A47,FuelPrices_!$B$49:$G$53,6,FALSE),"")</f>
        <v>3.8700000000000005E-2</v>
      </c>
      <c r="F47">
        <f>IFERROR(VLOOKUP(A47,FuelPrices_!$B$61:$G$65,6,FALSE),"")</f>
        <v>1.4999999999999999E-2</v>
      </c>
      <c r="G47">
        <f t="shared" si="0"/>
        <v>9.2085947672276139E-2</v>
      </c>
    </row>
    <row r="48" spans="1:7" x14ac:dyDescent="0.25">
      <c r="A48" t="str">
        <f>IF(FuelPrices_!AK53="","",FuelPrices_!AK53)</f>
        <v>Oil</v>
      </c>
      <c r="B48" t="str">
        <f>IF(FuelPrices_!AL53="","",FuelPrices_!AL53)</f>
        <v>Average</v>
      </c>
      <c r="C48">
        <f>IF(FuelPrices_!AM53="","",FuelPrices_!AM53)</f>
        <v>2043</v>
      </c>
      <c r="D48">
        <f>IF(FuelPrices_!AN53="","",FuelPrices_!AN53)</f>
        <v>3.807886009089792E-2</v>
      </c>
      <c r="E48">
        <f>IFERROR(VLOOKUP(A48,FuelPrices_!$B$49:$G$53,6,FALSE),"")</f>
        <v>3.8700000000000005E-2</v>
      </c>
      <c r="F48">
        <f>IFERROR(VLOOKUP(A48,FuelPrices_!$B$61:$G$65,6,FALSE),"")</f>
        <v>1.4999999999999999E-2</v>
      </c>
      <c r="G48">
        <f t="shared" si="0"/>
        <v>9.1778860090897932E-2</v>
      </c>
    </row>
    <row r="49" spans="1:7" x14ac:dyDescent="0.25">
      <c r="A49" t="str">
        <f>IF(FuelPrices_!AK54="","",FuelPrices_!AK54)</f>
        <v>Oil</v>
      </c>
      <c r="B49" t="str">
        <f>IF(FuelPrices_!AL54="","",FuelPrices_!AL54)</f>
        <v>Average</v>
      </c>
      <c r="C49">
        <f>IF(FuelPrices_!AM54="","",FuelPrices_!AM54)</f>
        <v>2044</v>
      </c>
      <c r="D49">
        <f>IF(FuelPrices_!AN54="","",FuelPrices_!AN54)</f>
        <v>3.7771772509519713E-2</v>
      </c>
      <c r="E49">
        <f>IFERROR(VLOOKUP(A49,FuelPrices_!$B$49:$G$53,6,FALSE),"")</f>
        <v>3.8700000000000005E-2</v>
      </c>
      <c r="F49">
        <f>IFERROR(VLOOKUP(A49,FuelPrices_!$B$61:$G$65,6,FALSE),"")</f>
        <v>1.4999999999999999E-2</v>
      </c>
      <c r="G49">
        <f t="shared" si="0"/>
        <v>9.1471772509519725E-2</v>
      </c>
    </row>
    <row r="50" spans="1:7" x14ac:dyDescent="0.25">
      <c r="A50" t="str">
        <f>IF(FuelPrices_!AK55="","",FuelPrices_!AK55)</f>
        <v>Oil</v>
      </c>
      <c r="B50" t="str">
        <f>IF(FuelPrices_!AL55="","",FuelPrices_!AL55)</f>
        <v>Average</v>
      </c>
      <c r="C50">
        <f>IF(FuelPrices_!AM55="","",FuelPrices_!AM55)</f>
        <v>2045</v>
      </c>
      <c r="D50">
        <f>IF(FuelPrices_!AN55="","",FuelPrices_!AN55)</f>
        <v>3.7464684928141506E-2</v>
      </c>
      <c r="E50">
        <f>IFERROR(VLOOKUP(A50,FuelPrices_!$B$49:$G$53,6,FALSE),"")</f>
        <v>3.8700000000000005E-2</v>
      </c>
      <c r="F50">
        <f>IFERROR(VLOOKUP(A50,FuelPrices_!$B$61:$G$65,6,FALSE),"")</f>
        <v>1.4999999999999999E-2</v>
      </c>
      <c r="G50">
        <f t="shared" si="0"/>
        <v>9.1164684928141518E-2</v>
      </c>
    </row>
    <row r="51" spans="1:7" x14ac:dyDescent="0.25">
      <c r="A51" t="str">
        <f>IF(FuelPrices_!AK56="","",FuelPrices_!AK56)</f>
        <v>Oil</v>
      </c>
      <c r="B51" t="str">
        <f>IF(FuelPrices_!AL56="","",FuelPrices_!AL56)</f>
        <v>Average</v>
      </c>
      <c r="C51">
        <f>IF(FuelPrices_!AM56="","",FuelPrices_!AM56)</f>
        <v>2046</v>
      </c>
      <c r="D51">
        <f>IF(FuelPrices_!AN56="","",FuelPrices_!AN56)</f>
        <v>3.7157597346763299E-2</v>
      </c>
      <c r="E51">
        <f>IFERROR(VLOOKUP(A51,FuelPrices_!$B$49:$G$53,6,FALSE),"")</f>
        <v>3.8700000000000005E-2</v>
      </c>
      <c r="F51">
        <f>IFERROR(VLOOKUP(A51,FuelPrices_!$B$61:$G$65,6,FALSE),"")</f>
        <v>1.4999999999999999E-2</v>
      </c>
      <c r="G51">
        <f t="shared" si="0"/>
        <v>9.0857597346763311E-2</v>
      </c>
    </row>
    <row r="52" spans="1:7" x14ac:dyDescent="0.25">
      <c r="A52" t="str">
        <f>IF(FuelPrices_!AK57="","",FuelPrices_!AK57)</f>
        <v>Oil</v>
      </c>
      <c r="B52" t="str">
        <f>IF(FuelPrices_!AL57="","",FuelPrices_!AL57)</f>
        <v>Average</v>
      </c>
      <c r="C52">
        <f>IF(FuelPrices_!AM57="","",FuelPrices_!AM57)</f>
        <v>2047</v>
      </c>
      <c r="D52">
        <f>IF(FuelPrices_!AN57="","",FuelPrices_!AN57)</f>
        <v>3.6850509765385085E-2</v>
      </c>
      <c r="E52">
        <f>IFERROR(VLOOKUP(A52,FuelPrices_!$B$49:$G$53,6,FALSE),"")</f>
        <v>3.8700000000000005E-2</v>
      </c>
      <c r="F52">
        <f>IFERROR(VLOOKUP(A52,FuelPrices_!$B$61:$G$65,6,FALSE),"")</f>
        <v>1.4999999999999999E-2</v>
      </c>
      <c r="G52">
        <f t="shared" si="0"/>
        <v>9.055050976538509E-2</v>
      </c>
    </row>
    <row r="53" spans="1:7" x14ac:dyDescent="0.25">
      <c r="A53" t="str">
        <f>IF(FuelPrices_!AK58="","",FuelPrices_!AK58)</f>
        <v>Oil</v>
      </c>
      <c r="B53" t="str">
        <f>IF(FuelPrices_!AL58="","",FuelPrices_!AL58)</f>
        <v>Average</v>
      </c>
      <c r="C53">
        <f>IF(FuelPrices_!AM58="","",FuelPrices_!AM58)</f>
        <v>2048</v>
      </c>
      <c r="D53">
        <f>IF(FuelPrices_!AN58="","",FuelPrices_!AN58)</f>
        <v>3.6543422184006878E-2</v>
      </c>
      <c r="E53">
        <f>IFERROR(VLOOKUP(A53,FuelPrices_!$B$49:$G$53,6,FALSE),"")</f>
        <v>3.8700000000000005E-2</v>
      </c>
      <c r="F53">
        <f>IFERROR(VLOOKUP(A53,FuelPrices_!$B$61:$G$65,6,FALSE),"")</f>
        <v>1.4999999999999999E-2</v>
      </c>
      <c r="G53">
        <f t="shared" si="0"/>
        <v>9.0243422184006883E-2</v>
      </c>
    </row>
    <row r="54" spans="1:7" x14ac:dyDescent="0.25">
      <c r="A54" t="str">
        <f>IF(FuelPrices_!AK59="","",FuelPrices_!AK59)</f>
        <v>Oil</v>
      </c>
      <c r="B54" t="str">
        <f>IF(FuelPrices_!AL59="","",FuelPrices_!AL59)</f>
        <v>Average</v>
      </c>
      <c r="C54">
        <f>IF(FuelPrices_!AM59="","",FuelPrices_!AM59)</f>
        <v>2049</v>
      </c>
      <c r="D54">
        <f>IF(FuelPrices_!AN59="","",FuelPrices_!AN59)</f>
        <v>3.6236334602628671E-2</v>
      </c>
      <c r="E54">
        <f>IFERROR(VLOOKUP(A54,FuelPrices_!$B$49:$G$53,6,FALSE),"")</f>
        <v>3.8700000000000005E-2</v>
      </c>
      <c r="F54">
        <f>IFERROR(VLOOKUP(A54,FuelPrices_!$B$61:$G$65,6,FALSE),"")</f>
        <v>1.4999999999999999E-2</v>
      </c>
      <c r="G54">
        <f t="shared" si="0"/>
        <v>8.9936334602628676E-2</v>
      </c>
    </row>
    <row r="55" spans="1:7" x14ac:dyDescent="0.25">
      <c r="A55" t="str">
        <f>IF(FuelPrices_!AK60="","",FuelPrices_!AK60)</f>
        <v>Oil</v>
      </c>
      <c r="B55" t="str">
        <f>IF(FuelPrices_!AL60="","",FuelPrices_!AL60)</f>
        <v>Average</v>
      </c>
      <c r="C55">
        <f>IF(FuelPrices_!AM60="","",FuelPrices_!AM60)</f>
        <v>2050</v>
      </c>
      <c r="D55">
        <f>IF(FuelPrices_!AN60="","",FuelPrices_!AN60)</f>
        <v>3.562215943987225E-2</v>
      </c>
      <c r="E55">
        <f>IFERROR(VLOOKUP(A55,FuelPrices_!$B$49:$G$53,6,FALSE),"")</f>
        <v>3.8700000000000005E-2</v>
      </c>
      <c r="F55">
        <f>IFERROR(VLOOKUP(A55,FuelPrices_!$B$61:$G$65,6,FALSE),"")</f>
        <v>1.4999999999999999E-2</v>
      </c>
      <c r="G55">
        <f t="shared" si="0"/>
        <v>8.9322159439872248E-2</v>
      </c>
    </row>
    <row r="56" spans="1:7" x14ac:dyDescent="0.25">
      <c r="A56" t="str">
        <f>IF(FuelPrices_!AK61="","",FuelPrices_!AK61)</f>
        <v>Oil</v>
      </c>
      <c r="B56" t="str">
        <f>IF(FuelPrices_!AL61="","",FuelPrices_!AL61)</f>
        <v>Low</v>
      </c>
      <c r="C56">
        <f>IF(FuelPrices_!AM61="","",FuelPrices_!AM61)</f>
        <v>2024</v>
      </c>
      <c r="D56">
        <f>IF(FuelPrices_!AN61="","",FuelPrices_!AN61)</f>
        <v>5.0362363346026284E-2</v>
      </c>
      <c r="E56">
        <f>IFERROR(VLOOKUP(A56,FuelPrices_!$B$49:$G$53,6,FALSE),"")</f>
        <v>3.8700000000000005E-2</v>
      </c>
      <c r="F56">
        <f>IFERROR(VLOOKUP(A56,FuelPrices_!$B$61:$G$65,6,FALSE),"")</f>
        <v>1.4999999999999999E-2</v>
      </c>
      <c r="G56">
        <f t="shared" si="0"/>
        <v>0.1040623633460263</v>
      </c>
    </row>
    <row r="57" spans="1:7" x14ac:dyDescent="0.25">
      <c r="A57" t="str">
        <f>IF(FuelPrices_!AK62="","",FuelPrices_!AK62)</f>
        <v>Oil</v>
      </c>
      <c r="B57" t="str">
        <f>IF(FuelPrices_!AL62="","",FuelPrices_!AL62)</f>
        <v>Low</v>
      </c>
      <c r="C57">
        <f>IF(FuelPrices_!AM62="","",FuelPrices_!AM62)</f>
        <v>2025</v>
      </c>
      <c r="D57">
        <f>IF(FuelPrices_!AN62="","",FuelPrices_!AN62)</f>
        <v>4.6267862260983506E-2</v>
      </c>
      <c r="E57">
        <f>IFERROR(VLOOKUP(A57,FuelPrices_!$B$49:$G$53,6,FALSE),"")</f>
        <v>3.8700000000000005E-2</v>
      </c>
      <c r="F57">
        <f>IFERROR(VLOOKUP(A57,FuelPrices_!$B$61:$G$65,6,FALSE),"")</f>
        <v>1.4999999999999999E-2</v>
      </c>
      <c r="G57">
        <f t="shared" si="0"/>
        <v>9.9967862260983517E-2</v>
      </c>
    </row>
    <row r="58" spans="1:7" x14ac:dyDescent="0.25">
      <c r="A58" t="str">
        <f>IF(FuelPrices_!AK63="","",FuelPrices_!AK63)</f>
        <v>Oil</v>
      </c>
      <c r="B58" t="str">
        <f>IF(FuelPrices_!AL63="","",FuelPrices_!AL63)</f>
        <v>Low</v>
      </c>
      <c r="C58">
        <f>IF(FuelPrices_!AM63="","",FuelPrices_!AM63)</f>
        <v>2026</v>
      </c>
      <c r="D58">
        <f>IF(FuelPrices_!AN63="","",FuelPrices_!AN63)</f>
        <v>4.2173361175940713E-2</v>
      </c>
      <c r="E58">
        <f>IFERROR(VLOOKUP(A58,FuelPrices_!$B$49:$G$53,6,FALSE),"")</f>
        <v>3.8700000000000005E-2</v>
      </c>
      <c r="F58">
        <f>IFERROR(VLOOKUP(A58,FuelPrices_!$B$61:$G$65,6,FALSE),"")</f>
        <v>1.4999999999999999E-2</v>
      </c>
      <c r="G58">
        <f t="shared" si="0"/>
        <v>9.5873361175940711E-2</v>
      </c>
    </row>
    <row r="59" spans="1:7" x14ac:dyDescent="0.25">
      <c r="A59" t="str">
        <f>IF(FuelPrices_!AK64="","",FuelPrices_!AK64)</f>
        <v>Oil</v>
      </c>
      <c r="B59" t="str">
        <f>IF(FuelPrices_!AL64="","",FuelPrices_!AL64)</f>
        <v>Low</v>
      </c>
      <c r="C59">
        <f>IF(FuelPrices_!AM64="","",FuelPrices_!AM64)</f>
        <v>2027</v>
      </c>
      <c r="D59">
        <f>IF(FuelPrices_!AN64="","",FuelPrices_!AN64)</f>
        <v>3.807886009089792E-2</v>
      </c>
      <c r="E59">
        <f>IFERROR(VLOOKUP(A59,FuelPrices_!$B$49:$G$53,6,FALSE),"")</f>
        <v>3.8700000000000005E-2</v>
      </c>
      <c r="F59">
        <f>IFERROR(VLOOKUP(A59,FuelPrices_!$B$61:$G$65,6,FALSE),"")</f>
        <v>1.4999999999999999E-2</v>
      </c>
      <c r="G59">
        <f t="shared" si="0"/>
        <v>9.1778860090897932E-2</v>
      </c>
    </row>
    <row r="60" spans="1:7" x14ac:dyDescent="0.25">
      <c r="A60" t="str">
        <f>IF(FuelPrices_!AK65="","",FuelPrices_!AK65)</f>
        <v>Oil</v>
      </c>
      <c r="B60" t="str">
        <f>IF(FuelPrices_!AL65="","",FuelPrices_!AL65)</f>
        <v>Low</v>
      </c>
      <c r="C60">
        <f>IF(FuelPrices_!AM65="","",FuelPrices_!AM65)</f>
        <v>2028</v>
      </c>
      <c r="D60">
        <f>IF(FuelPrices_!AN65="","",FuelPrices_!AN65)</f>
        <v>3.3984359005855135E-2</v>
      </c>
      <c r="E60">
        <f>IFERROR(VLOOKUP(A60,FuelPrices_!$B$49:$G$53,6,FALSE),"")</f>
        <v>3.8700000000000005E-2</v>
      </c>
      <c r="F60">
        <f>IFERROR(VLOOKUP(A60,FuelPrices_!$B$61:$G$65,6,FALSE),"")</f>
        <v>1.4999999999999999E-2</v>
      </c>
      <c r="G60">
        <f t="shared" si="0"/>
        <v>8.7684359005855139E-2</v>
      </c>
    </row>
    <row r="61" spans="1:7" x14ac:dyDescent="0.25">
      <c r="A61" t="str">
        <f>IF(FuelPrices_!AK66="","",FuelPrices_!AK66)</f>
        <v>Oil</v>
      </c>
      <c r="B61" t="str">
        <f>IF(FuelPrices_!AL66="","",FuelPrices_!AL66)</f>
        <v>Low</v>
      </c>
      <c r="C61">
        <f>IF(FuelPrices_!AM66="","",FuelPrices_!AM66)</f>
        <v>2029</v>
      </c>
      <c r="D61">
        <f>IF(FuelPrices_!AN66="","",FuelPrices_!AN66)</f>
        <v>2.9889857920812345E-2</v>
      </c>
      <c r="E61">
        <f>IFERROR(VLOOKUP(A61,FuelPrices_!$B$49:$G$53,6,FALSE),"")</f>
        <v>3.8700000000000005E-2</v>
      </c>
      <c r="F61">
        <f>IFERROR(VLOOKUP(A61,FuelPrices_!$B$61:$G$65,6,FALSE),"")</f>
        <v>1.4999999999999999E-2</v>
      </c>
      <c r="G61">
        <f t="shared" si="0"/>
        <v>8.3589857920812347E-2</v>
      </c>
    </row>
    <row r="62" spans="1:7" x14ac:dyDescent="0.25">
      <c r="A62" t="str">
        <f>IF(FuelPrices_!AK67="","",FuelPrices_!AK67)</f>
        <v>Oil</v>
      </c>
      <c r="B62" t="str">
        <f>IF(FuelPrices_!AL67="","",FuelPrices_!AL67)</f>
        <v>Low</v>
      </c>
      <c r="C62">
        <f>IF(FuelPrices_!AM67="","",FuelPrices_!AM67)</f>
        <v>2030</v>
      </c>
      <c r="D62">
        <f>IF(FuelPrices_!AN67="","",FuelPrices_!AN67)</f>
        <v>2.579535683576956E-2</v>
      </c>
      <c r="E62">
        <f>IFERROR(VLOOKUP(A62,FuelPrices_!$B$49:$G$53,6,FALSE),"")</f>
        <v>3.8700000000000005E-2</v>
      </c>
      <c r="F62">
        <f>IFERROR(VLOOKUP(A62,FuelPrices_!$B$61:$G$65,6,FALSE),"")</f>
        <v>1.4999999999999999E-2</v>
      </c>
      <c r="G62">
        <f t="shared" si="0"/>
        <v>7.9495356835769568E-2</v>
      </c>
    </row>
    <row r="63" spans="1:7" x14ac:dyDescent="0.25">
      <c r="A63" t="str">
        <f>IF(FuelPrices_!AK68="","",FuelPrices_!AK68)</f>
        <v>Oil</v>
      </c>
      <c r="B63" t="str">
        <f>IF(FuelPrices_!AL68="","",FuelPrices_!AL68)</f>
        <v>Low</v>
      </c>
      <c r="C63">
        <f>IF(FuelPrices_!AM68="","",FuelPrices_!AM68)</f>
        <v>2031</v>
      </c>
      <c r="D63">
        <f>IF(FuelPrices_!AN68="","",FuelPrices_!AN68)</f>
        <v>2.579535683576956E-2</v>
      </c>
      <c r="E63">
        <f>IFERROR(VLOOKUP(A63,FuelPrices_!$B$49:$G$53,6,FALSE),"")</f>
        <v>3.8700000000000005E-2</v>
      </c>
      <c r="F63">
        <f>IFERROR(VLOOKUP(A63,FuelPrices_!$B$61:$G$65,6,FALSE),"")</f>
        <v>1.4999999999999999E-2</v>
      </c>
      <c r="G63">
        <f t="shared" si="0"/>
        <v>7.9495356835769568E-2</v>
      </c>
    </row>
    <row r="64" spans="1:7" x14ac:dyDescent="0.25">
      <c r="A64" t="str">
        <f>IF(FuelPrices_!AK69="","",FuelPrices_!AK69)</f>
        <v>Oil</v>
      </c>
      <c r="B64" t="str">
        <f>IF(FuelPrices_!AL69="","",FuelPrices_!AL69)</f>
        <v>Low</v>
      </c>
      <c r="C64">
        <f>IF(FuelPrices_!AM69="","",FuelPrices_!AM69)</f>
        <v>2032</v>
      </c>
      <c r="D64">
        <f>IF(FuelPrices_!AN69="","",FuelPrices_!AN69)</f>
        <v>2.5058346640461856E-2</v>
      </c>
      <c r="E64">
        <f>IFERROR(VLOOKUP(A64,FuelPrices_!$B$49:$G$53,6,FALSE),"")</f>
        <v>3.8700000000000005E-2</v>
      </c>
      <c r="F64">
        <f>IFERROR(VLOOKUP(A64,FuelPrices_!$B$61:$G$65,6,FALSE),"")</f>
        <v>1.4999999999999999E-2</v>
      </c>
      <c r="G64">
        <f t="shared" si="0"/>
        <v>7.8758346640461857E-2</v>
      </c>
    </row>
    <row r="65" spans="1:7" x14ac:dyDescent="0.25">
      <c r="A65" t="str">
        <f>IF(FuelPrices_!AK70="","",FuelPrices_!AK70)</f>
        <v>Oil</v>
      </c>
      <c r="B65" t="str">
        <f>IF(FuelPrices_!AL70="","",FuelPrices_!AL70)</f>
        <v>Low</v>
      </c>
      <c r="C65">
        <f>IF(FuelPrices_!AM70="","",FuelPrices_!AM70)</f>
        <v>2033</v>
      </c>
      <c r="D65">
        <f>IF(FuelPrices_!AN70="","",FuelPrices_!AN70)</f>
        <v>2.4321336445154159E-2</v>
      </c>
      <c r="E65">
        <f>IFERROR(VLOOKUP(A65,FuelPrices_!$B$49:$G$53,6,FALSE),"")</f>
        <v>3.8700000000000005E-2</v>
      </c>
      <c r="F65">
        <f>IFERROR(VLOOKUP(A65,FuelPrices_!$B$61:$G$65,6,FALSE),"")</f>
        <v>1.4999999999999999E-2</v>
      </c>
      <c r="G65">
        <f t="shared" si="0"/>
        <v>7.802133644515416E-2</v>
      </c>
    </row>
    <row r="66" spans="1:7" x14ac:dyDescent="0.25">
      <c r="A66" t="str">
        <f>IF(FuelPrices_!AK71="","",FuelPrices_!AK71)</f>
        <v>Oil</v>
      </c>
      <c r="B66" t="str">
        <f>IF(FuelPrices_!AL71="","",FuelPrices_!AL71)</f>
        <v>Low</v>
      </c>
      <c r="C66">
        <f>IF(FuelPrices_!AM71="","",FuelPrices_!AM71)</f>
        <v>2034</v>
      </c>
      <c r="D66">
        <f>IF(FuelPrices_!AN71="","",FuelPrices_!AN71)</f>
        <v>2.3584326249846455E-2</v>
      </c>
      <c r="E66">
        <f>IFERROR(VLOOKUP(A66,FuelPrices_!$B$49:$G$53,6,FALSE),"")</f>
        <v>3.8700000000000005E-2</v>
      </c>
      <c r="F66">
        <f>IFERROR(VLOOKUP(A66,FuelPrices_!$B$61:$G$65,6,FALSE),"")</f>
        <v>1.4999999999999999E-2</v>
      </c>
      <c r="G66">
        <f t="shared" si="0"/>
        <v>7.7284326249846463E-2</v>
      </c>
    </row>
    <row r="67" spans="1:7" x14ac:dyDescent="0.25">
      <c r="A67" t="str">
        <f>IF(FuelPrices_!AK72="","",FuelPrices_!AK72)</f>
        <v>Oil</v>
      </c>
      <c r="B67" t="str">
        <f>IF(FuelPrices_!AL72="","",FuelPrices_!AL72)</f>
        <v>Low</v>
      </c>
      <c r="C67">
        <f>IF(FuelPrices_!AM72="","",FuelPrices_!AM72)</f>
        <v>2035</v>
      </c>
      <c r="D67">
        <f>IF(FuelPrices_!AN72="","",FuelPrices_!AN72)</f>
        <v>2.2847316054538755E-2</v>
      </c>
      <c r="E67">
        <f>IFERROR(VLOOKUP(A67,FuelPrices_!$B$49:$G$53,6,FALSE),"")</f>
        <v>3.8700000000000005E-2</v>
      </c>
      <c r="F67">
        <f>IFERROR(VLOOKUP(A67,FuelPrices_!$B$61:$G$65,6,FALSE),"")</f>
        <v>1.4999999999999999E-2</v>
      </c>
      <c r="G67">
        <f t="shared" ref="G67:G130" si="1">IFERROR(D67+E67+F67,"")</f>
        <v>7.6547316054538767E-2</v>
      </c>
    </row>
    <row r="68" spans="1:7" x14ac:dyDescent="0.25">
      <c r="A68" t="str">
        <f>IF(FuelPrices_!AK73="","",FuelPrices_!AK73)</f>
        <v>Oil</v>
      </c>
      <c r="B68" t="str">
        <f>IF(FuelPrices_!AL73="","",FuelPrices_!AL73)</f>
        <v>Low</v>
      </c>
      <c r="C68">
        <f>IF(FuelPrices_!AM73="","",FuelPrices_!AM73)</f>
        <v>2036</v>
      </c>
      <c r="D68">
        <f>IF(FuelPrices_!AN73="","",FuelPrices_!AN73)</f>
        <v>2.2110305859231051E-2</v>
      </c>
      <c r="E68">
        <f>IFERROR(VLOOKUP(A68,FuelPrices_!$B$49:$G$53,6,FALSE),"")</f>
        <v>3.8700000000000005E-2</v>
      </c>
      <c r="F68">
        <f>IFERROR(VLOOKUP(A68,FuelPrices_!$B$61:$G$65,6,FALSE),"")</f>
        <v>1.4999999999999999E-2</v>
      </c>
      <c r="G68">
        <f t="shared" si="1"/>
        <v>7.5810305859231056E-2</v>
      </c>
    </row>
    <row r="69" spans="1:7" x14ac:dyDescent="0.25">
      <c r="A69" t="str">
        <f>IF(FuelPrices_!AK74="","",FuelPrices_!AK74)</f>
        <v>Oil</v>
      </c>
      <c r="B69" t="str">
        <f>IF(FuelPrices_!AL74="","",FuelPrices_!AL74)</f>
        <v>Low</v>
      </c>
      <c r="C69">
        <f>IF(FuelPrices_!AM74="","",FuelPrices_!AM74)</f>
        <v>2037</v>
      </c>
      <c r="D69">
        <f>IF(FuelPrices_!AN74="","",FuelPrices_!AN74)</f>
        <v>2.1373295663923347E-2</v>
      </c>
      <c r="E69">
        <f>IFERROR(VLOOKUP(A69,FuelPrices_!$B$49:$G$53,6,FALSE),"")</f>
        <v>3.8700000000000005E-2</v>
      </c>
      <c r="F69">
        <f>IFERROR(VLOOKUP(A69,FuelPrices_!$B$61:$G$65,6,FALSE),"")</f>
        <v>1.4999999999999999E-2</v>
      </c>
      <c r="G69">
        <f t="shared" si="1"/>
        <v>7.5073295663923345E-2</v>
      </c>
    </row>
    <row r="70" spans="1:7" x14ac:dyDescent="0.25">
      <c r="A70" t="str">
        <f>IF(FuelPrices_!AK75="","",FuelPrices_!AK75)</f>
        <v>Oil</v>
      </c>
      <c r="B70" t="str">
        <f>IF(FuelPrices_!AL75="","",FuelPrices_!AL75)</f>
        <v>Low</v>
      </c>
      <c r="C70">
        <f>IF(FuelPrices_!AM75="","",FuelPrices_!AM75)</f>
        <v>2038</v>
      </c>
      <c r="D70">
        <f>IF(FuelPrices_!AN75="","",FuelPrices_!AN75)</f>
        <v>2.063628546861565E-2</v>
      </c>
      <c r="E70">
        <f>IFERROR(VLOOKUP(A70,FuelPrices_!$B$49:$G$53,6,FALSE),"")</f>
        <v>3.8700000000000005E-2</v>
      </c>
      <c r="F70">
        <f>IFERROR(VLOOKUP(A70,FuelPrices_!$B$61:$G$65,6,FALSE),"")</f>
        <v>1.4999999999999999E-2</v>
      </c>
      <c r="G70">
        <f t="shared" si="1"/>
        <v>7.4336285468615648E-2</v>
      </c>
    </row>
    <row r="71" spans="1:7" x14ac:dyDescent="0.25">
      <c r="A71" t="str">
        <f>IF(FuelPrices_!AK76="","",FuelPrices_!AK76)</f>
        <v>Oil</v>
      </c>
      <c r="B71" t="str">
        <f>IF(FuelPrices_!AL76="","",FuelPrices_!AL76)</f>
        <v>Low</v>
      </c>
      <c r="C71">
        <f>IF(FuelPrices_!AM76="","",FuelPrices_!AM76)</f>
        <v>2039</v>
      </c>
      <c r="D71">
        <f>IF(FuelPrices_!AN76="","",FuelPrices_!AN76)</f>
        <v>1.9899275273307947E-2</v>
      </c>
      <c r="E71">
        <f>IFERROR(VLOOKUP(A71,FuelPrices_!$B$49:$G$53,6,FALSE),"")</f>
        <v>3.8700000000000005E-2</v>
      </c>
      <c r="F71">
        <f>IFERROR(VLOOKUP(A71,FuelPrices_!$B$61:$G$65,6,FALSE),"")</f>
        <v>1.4999999999999999E-2</v>
      </c>
      <c r="G71">
        <f t="shared" si="1"/>
        <v>7.3599275273307951E-2</v>
      </c>
    </row>
    <row r="72" spans="1:7" x14ac:dyDescent="0.25">
      <c r="A72" t="str">
        <f>IF(FuelPrices_!AK77="","",FuelPrices_!AK77)</f>
        <v>Oil</v>
      </c>
      <c r="B72" t="str">
        <f>IF(FuelPrices_!AL77="","",FuelPrices_!AL77)</f>
        <v>Low</v>
      </c>
      <c r="C72">
        <f>IF(FuelPrices_!AM77="","",FuelPrices_!AM77)</f>
        <v>2040</v>
      </c>
      <c r="D72">
        <f>IF(FuelPrices_!AN77="","",FuelPrices_!AN77)</f>
        <v>1.8425254882692543E-2</v>
      </c>
      <c r="E72">
        <f>IFERROR(VLOOKUP(A72,FuelPrices_!$B$49:$G$53,6,FALSE),"")</f>
        <v>3.8700000000000005E-2</v>
      </c>
      <c r="F72">
        <f>IFERROR(VLOOKUP(A72,FuelPrices_!$B$61:$G$65,6,FALSE),"")</f>
        <v>1.4999999999999999E-2</v>
      </c>
      <c r="G72">
        <f t="shared" si="1"/>
        <v>7.2125254882692544E-2</v>
      </c>
    </row>
    <row r="73" spans="1:7" x14ac:dyDescent="0.25">
      <c r="A73" t="str">
        <f>IF(FuelPrices_!AK78="","",FuelPrices_!AK78)</f>
        <v>Oil</v>
      </c>
      <c r="B73" t="str">
        <f>IF(FuelPrices_!AL78="","",FuelPrices_!AL78)</f>
        <v>Low</v>
      </c>
      <c r="C73">
        <f>IF(FuelPrices_!AM78="","",FuelPrices_!AM78)</f>
        <v>2041</v>
      </c>
      <c r="D73">
        <f>IF(FuelPrices_!AN78="","",FuelPrices_!AN78)</f>
        <v>1.8425254882692543E-2</v>
      </c>
      <c r="E73">
        <f>IFERROR(VLOOKUP(A73,FuelPrices_!$B$49:$G$53,6,FALSE),"")</f>
        <v>3.8700000000000005E-2</v>
      </c>
      <c r="F73">
        <f>IFERROR(VLOOKUP(A73,FuelPrices_!$B$61:$G$65,6,FALSE),"")</f>
        <v>1.4999999999999999E-2</v>
      </c>
      <c r="G73">
        <f t="shared" si="1"/>
        <v>7.2125254882692544E-2</v>
      </c>
    </row>
    <row r="74" spans="1:7" x14ac:dyDescent="0.25">
      <c r="A74" t="str">
        <f>IF(FuelPrices_!AK79="","",FuelPrices_!AK79)</f>
        <v>Oil</v>
      </c>
      <c r="B74" t="str">
        <f>IF(FuelPrices_!AL79="","",FuelPrices_!AL79)</f>
        <v>Low</v>
      </c>
      <c r="C74">
        <f>IF(FuelPrices_!AM79="","",FuelPrices_!AM79)</f>
        <v>2042</v>
      </c>
      <c r="D74">
        <f>IF(FuelPrices_!AN79="","",FuelPrices_!AN79)</f>
        <v>1.8118167301314336E-2</v>
      </c>
      <c r="E74">
        <f>IFERROR(VLOOKUP(A74,FuelPrices_!$B$49:$G$53,6,FALSE),"")</f>
        <v>3.8700000000000005E-2</v>
      </c>
      <c r="F74">
        <f>IFERROR(VLOOKUP(A74,FuelPrices_!$B$61:$G$65,6,FALSE),"")</f>
        <v>1.4999999999999999E-2</v>
      </c>
      <c r="G74">
        <f t="shared" si="1"/>
        <v>7.1818167301314337E-2</v>
      </c>
    </row>
    <row r="75" spans="1:7" x14ac:dyDescent="0.25">
      <c r="A75" t="str">
        <f>IF(FuelPrices_!AK80="","",FuelPrices_!AK80)</f>
        <v>Oil</v>
      </c>
      <c r="B75" t="str">
        <f>IF(FuelPrices_!AL80="","",FuelPrices_!AL80)</f>
        <v>Low</v>
      </c>
      <c r="C75">
        <f>IF(FuelPrices_!AM80="","",FuelPrices_!AM80)</f>
        <v>2043</v>
      </c>
      <c r="D75">
        <f>IF(FuelPrices_!AN80="","",FuelPrices_!AN80)</f>
        <v>1.7811079719936125E-2</v>
      </c>
      <c r="E75">
        <f>IFERROR(VLOOKUP(A75,FuelPrices_!$B$49:$G$53,6,FALSE),"")</f>
        <v>3.8700000000000005E-2</v>
      </c>
      <c r="F75">
        <f>IFERROR(VLOOKUP(A75,FuelPrices_!$B$61:$G$65,6,FALSE),"")</f>
        <v>1.4999999999999999E-2</v>
      </c>
      <c r="G75">
        <f t="shared" si="1"/>
        <v>7.151107971993613E-2</v>
      </c>
    </row>
    <row r="76" spans="1:7" x14ac:dyDescent="0.25">
      <c r="A76" t="str">
        <f>IF(FuelPrices_!AK81="","",FuelPrices_!AK81)</f>
        <v>Oil</v>
      </c>
      <c r="B76" t="str">
        <f>IF(FuelPrices_!AL81="","",FuelPrices_!AL81)</f>
        <v>Low</v>
      </c>
      <c r="C76">
        <f>IF(FuelPrices_!AM81="","",FuelPrices_!AM81)</f>
        <v>2044</v>
      </c>
      <c r="D76">
        <f>IF(FuelPrices_!AN81="","",FuelPrices_!AN81)</f>
        <v>1.7503992138557915E-2</v>
      </c>
      <c r="E76">
        <f>IFERROR(VLOOKUP(A76,FuelPrices_!$B$49:$G$53,6,FALSE),"")</f>
        <v>3.8700000000000005E-2</v>
      </c>
      <c r="F76">
        <f>IFERROR(VLOOKUP(A76,FuelPrices_!$B$61:$G$65,6,FALSE),"")</f>
        <v>1.4999999999999999E-2</v>
      </c>
      <c r="G76">
        <f t="shared" si="1"/>
        <v>7.1203992138557923E-2</v>
      </c>
    </row>
    <row r="77" spans="1:7" x14ac:dyDescent="0.25">
      <c r="A77" t="str">
        <f>IF(FuelPrices_!AK82="","",FuelPrices_!AK82)</f>
        <v>Oil</v>
      </c>
      <c r="B77" t="str">
        <f>IF(FuelPrices_!AL82="","",FuelPrices_!AL82)</f>
        <v>Low</v>
      </c>
      <c r="C77">
        <f>IF(FuelPrices_!AM82="","",FuelPrices_!AM82)</f>
        <v>2045</v>
      </c>
      <c r="D77">
        <f>IF(FuelPrices_!AN82="","",FuelPrices_!AN82)</f>
        <v>1.7196904557179708E-2</v>
      </c>
      <c r="E77">
        <f>IFERROR(VLOOKUP(A77,FuelPrices_!$B$49:$G$53,6,FALSE),"")</f>
        <v>3.8700000000000005E-2</v>
      </c>
      <c r="F77">
        <f>IFERROR(VLOOKUP(A77,FuelPrices_!$B$61:$G$65,6,FALSE),"")</f>
        <v>1.4999999999999999E-2</v>
      </c>
      <c r="G77">
        <f t="shared" si="1"/>
        <v>7.0896904557179716E-2</v>
      </c>
    </row>
    <row r="78" spans="1:7" x14ac:dyDescent="0.25">
      <c r="A78" t="str">
        <f>IF(FuelPrices_!AK83="","",FuelPrices_!AK83)</f>
        <v>Oil</v>
      </c>
      <c r="B78" t="str">
        <f>IF(FuelPrices_!AL83="","",FuelPrices_!AL83)</f>
        <v>Low</v>
      </c>
      <c r="C78">
        <f>IF(FuelPrices_!AM83="","",FuelPrices_!AM83)</f>
        <v>2046</v>
      </c>
      <c r="D78">
        <f>IF(FuelPrices_!AN83="","",FuelPrices_!AN83)</f>
        <v>1.6889816975801497E-2</v>
      </c>
      <c r="E78">
        <f>IFERROR(VLOOKUP(A78,FuelPrices_!$B$49:$G$53,6,FALSE),"")</f>
        <v>3.8700000000000005E-2</v>
      </c>
      <c r="F78">
        <f>IFERROR(VLOOKUP(A78,FuelPrices_!$B$61:$G$65,6,FALSE),"")</f>
        <v>1.4999999999999999E-2</v>
      </c>
      <c r="G78">
        <f t="shared" si="1"/>
        <v>7.0589816975801495E-2</v>
      </c>
    </row>
    <row r="79" spans="1:7" x14ac:dyDescent="0.25">
      <c r="A79" t="str">
        <f>IF(FuelPrices_!AK84="","",FuelPrices_!AK84)</f>
        <v>Oil</v>
      </c>
      <c r="B79" t="str">
        <f>IF(FuelPrices_!AL84="","",FuelPrices_!AL84)</f>
        <v>Low</v>
      </c>
      <c r="C79">
        <f>IF(FuelPrices_!AM84="","",FuelPrices_!AM84)</f>
        <v>2047</v>
      </c>
      <c r="D79">
        <f>IF(FuelPrices_!AN84="","",FuelPrices_!AN84)</f>
        <v>1.658272939442329E-2</v>
      </c>
      <c r="E79">
        <f>IFERROR(VLOOKUP(A79,FuelPrices_!$B$49:$G$53,6,FALSE),"")</f>
        <v>3.8700000000000005E-2</v>
      </c>
      <c r="F79">
        <f>IFERROR(VLOOKUP(A79,FuelPrices_!$B$61:$G$65,6,FALSE),"")</f>
        <v>1.4999999999999999E-2</v>
      </c>
      <c r="G79">
        <f t="shared" si="1"/>
        <v>7.0282729394423288E-2</v>
      </c>
    </row>
    <row r="80" spans="1:7" x14ac:dyDescent="0.25">
      <c r="A80" t="str">
        <f>IF(FuelPrices_!AK85="","",FuelPrices_!AK85)</f>
        <v>Oil</v>
      </c>
      <c r="B80" t="str">
        <f>IF(FuelPrices_!AL85="","",FuelPrices_!AL85)</f>
        <v>Low</v>
      </c>
      <c r="C80">
        <f>IF(FuelPrices_!AM85="","",FuelPrices_!AM85)</f>
        <v>2048</v>
      </c>
      <c r="D80">
        <f>IF(FuelPrices_!AN85="","",FuelPrices_!AN85)</f>
        <v>1.627564181304508E-2</v>
      </c>
      <c r="E80">
        <f>IFERROR(VLOOKUP(A80,FuelPrices_!$B$49:$G$53,6,FALSE),"")</f>
        <v>3.8700000000000005E-2</v>
      </c>
      <c r="F80">
        <f>IFERROR(VLOOKUP(A80,FuelPrices_!$B$61:$G$65,6,FALSE),"")</f>
        <v>1.4999999999999999E-2</v>
      </c>
      <c r="G80">
        <f t="shared" si="1"/>
        <v>6.9975641813045081E-2</v>
      </c>
    </row>
    <row r="81" spans="1:9" x14ac:dyDescent="0.25">
      <c r="A81" t="str">
        <f>IF(FuelPrices_!AK86="","",FuelPrices_!AK86)</f>
        <v>Oil</v>
      </c>
      <c r="B81" t="str">
        <f>IF(FuelPrices_!AL86="","",FuelPrices_!AL86)</f>
        <v>Low</v>
      </c>
      <c r="C81">
        <f>IF(FuelPrices_!AM86="","",FuelPrices_!AM86)</f>
        <v>2049</v>
      </c>
      <c r="D81">
        <f>IF(FuelPrices_!AN86="","",FuelPrices_!AN86)</f>
        <v>1.5968554231666873E-2</v>
      </c>
      <c r="E81">
        <f>IFERROR(VLOOKUP(A81,FuelPrices_!$B$49:$G$53,6,FALSE),"")</f>
        <v>3.8700000000000005E-2</v>
      </c>
      <c r="F81">
        <f>IFERROR(VLOOKUP(A81,FuelPrices_!$B$61:$G$65,6,FALSE),"")</f>
        <v>1.4999999999999999E-2</v>
      </c>
      <c r="G81">
        <f t="shared" si="1"/>
        <v>6.9668554231666874E-2</v>
      </c>
    </row>
    <row r="82" spans="1:9" x14ac:dyDescent="0.25">
      <c r="A82" t="str">
        <f>IF(FuelPrices_!AK87="","",FuelPrices_!AK87)</f>
        <v>Oil</v>
      </c>
      <c r="B82" t="str">
        <f>IF(FuelPrices_!AL87="","",FuelPrices_!AL87)</f>
        <v>Low</v>
      </c>
      <c r="C82">
        <f>IF(FuelPrices_!AM87="","",FuelPrices_!AM87)</f>
        <v>2050</v>
      </c>
      <c r="D82">
        <f>IF(FuelPrices_!AN87="","",FuelPrices_!AN87)</f>
        <v>1.5354379068910453E-2</v>
      </c>
      <c r="E82">
        <f>IFERROR(VLOOKUP(A82,FuelPrices_!$B$49:$G$53,6,FALSE),"")</f>
        <v>3.8700000000000005E-2</v>
      </c>
      <c r="F82">
        <f>IFERROR(VLOOKUP(A82,FuelPrices_!$B$61:$G$65,6,FALSE),"")</f>
        <v>1.4999999999999999E-2</v>
      </c>
      <c r="G82">
        <f t="shared" si="1"/>
        <v>6.905437906891046E-2</v>
      </c>
    </row>
    <row r="83" spans="1:9" x14ac:dyDescent="0.25">
      <c r="A83" t="str">
        <f>IF(FuelPrices_!AK88="","",FuelPrices_!AK88)</f>
        <v>NG</v>
      </c>
      <c r="B83" t="str">
        <f>IF(FuelPrices_!AL88="","",FuelPrices_!AL88)</f>
        <v>High</v>
      </c>
      <c r="C83">
        <f>IF(FuelPrices_!AM88="","",FuelPrices_!AM88)</f>
        <v>2024</v>
      </c>
      <c r="D83">
        <f>IF(FuelPrices_!AN88="","",FuelPrices_!AN88)</f>
        <v>4.1296928327645047E-2</v>
      </c>
      <c r="E83">
        <f>IFERROR(VLOOKUP(A83,FuelPrices_!$B$49:$G$53,6,FALSE),"")</f>
        <v>3.8700000000000005E-2</v>
      </c>
      <c r="F83">
        <f>IFERROR(VLOOKUP(A83,FuelPrices_!$B$61:$G$65,6,FALSE),"")</f>
        <v>4.1269841269841276E-2</v>
      </c>
      <c r="G83">
        <f t="shared" si="1"/>
        <v>0.12126676959748632</v>
      </c>
    </row>
    <row r="84" spans="1:9" x14ac:dyDescent="0.25">
      <c r="A84" t="str">
        <f>IF(FuelPrices_!AK89="","",FuelPrices_!AK89)</f>
        <v>NG</v>
      </c>
      <c r="B84" t="str">
        <f>IF(FuelPrices_!AL89="","",FuelPrices_!AL89)</f>
        <v>High</v>
      </c>
      <c r="C84">
        <f>IF(FuelPrices_!AM89="","",FuelPrices_!AM89)</f>
        <v>2025</v>
      </c>
      <c r="D84">
        <f>IF(FuelPrices_!AN89="","",FuelPrices_!AN89)</f>
        <v>3.811149032992036E-2</v>
      </c>
      <c r="E84">
        <f>IFERROR(VLOOKUP(A84,FuelPrices_!$B$49:$G$53,6,FALSE),"")</f>
        <v>3.8700000000000005E-2</v>
      </c>
      <c r="F84">
        <f>IFERROR(VLOOKUP(A84,FuelPrices_!$B$61:$G$65,6,FALSE),"")</f>
        <v>4.1269841269841276E-2</v>
      </c>
      <c r="G84">
        <f t="shared" si="1"/>
        <v>0.11808133159976164</v>
      </c>
      <c r="I84">
        <f>G84*15.75</f>
        <v>1.8597809726962458</v>
      </c>
    </row>
    <row r="85" spans="1:9" x14ac:dyDescent="0.25">
      <c r="A85" t="str">
        <f>IF(FuelPrices_!AK90="","",FuelPrices_!AK90)</f>
        <v>NG</v>
      </c>
      <c r="B85" t="str">
        <f>IF(FuelPrices_!AL90="","",FuelPrices_!AL90)</f>
        <v>High</v>
      </c>
      <c r="C85">
        <f>IF(FuelPrices_!AM90="","",FuelPrices_!AM90)</f>
        <v>2026</v>
      </c>
      <c r="D85">
        <f>IF(FuelPrices_!AN90="","",FuelPrices_!AN90)</f>
        <v>3.4926052332195673E-2</v>
      </c>
      <c r="E85">
        <f>IFERROR(VLOOKUP(A85,FuelPrices_!$B$49:$G$53,6,FALSE),"")</f>
        <v>3.8700000000000005E-2</v>
      </c>
      <c r="F85">
        <f>IFERROR(VLOOKUP(A85,FuelPrices_!$B$61:$G$65,6,FALSE),"")</f>
        <v>4.1269841269841276E-2</v>
      </c>
      <c r="G85">
        <f t="shared" si="1"/>
        <v>0.11489589360203696</v>
      </c>
      <c r="I85">
        <f t="shared" ref="I85:I148" si="2">G85*15.75</f>
        <v>1.8096103242320822</v>
      </c>
    </row>
    <row r="86" spans="1:9" x14ac:dyDescent="0.25">
      <c r="A86" t="str">
        <f>IF(FuelPrices_!AK91="","",FuelPrices_!AK91)</f>
        <v>NG</v>
      </c>
      <c r="B86" t="str">
        <f>IF(FuelPrices_!AL91="","",FuelPrices_!AL91)</f>
        <v>High</v>
      </c>
      <c r="C86">
        <f>IF(FuelPrices_!AM91="","",FuelPrices_!AM91)</f>
        <v>2027</v>
      </c>
      <c r="D86">
        <f>IF(FuelPrices_!AN91="","",FuelPrices_!AN91)</f>
        <v>3.1740614334470993E-2</v>
      </c>
      <c r="E86">
        <f>IFERROR(VLOOKUP(A86,FuelPrices_!$B$49:$G$53,6,FALSE),"")</f>
        <v>3.8700000000000005E-2</v>
      </c>
      <c r="F86">
        <f>IFERROR(VLOOKUP(A86,FuelPrices_!$B$61:$G$65,6,FALSE),"")</f>
        <v>4.1269841269841276E-2</v>
      </c>
      <c r="G86">
        <f t="shared" si="1"/>
        <v>0.11171045560431227</v>
      </c>
      <c r="I86">
        <f t="shared" si="2"/>
        <v>1.7594396757679183</v>
      </c>
    </row>
    <row r="87" spans="1:9" x14ac:dyDescent="0.25">
      <c r="A87" t="str">
        <f>IF(FuelPrices_!AK92="","",FuelPrices_!AK92)</f>
        <v>NG</v>
      </c>
      <c r="B87" t="str">
        <f>IF(FuelPrices_!AL92="","",FuelPrices_!AL92)</f>
        <v>High</v>
      </c>
      <c r="C87">
        <f>IF(FuelPrices_!AM92="","",FuelPrices_!AM92)</f>
        <v>2028</v>
      </c>
      <c r="D87">
        <f>IF(FuelPrices_!AN92="","",FuelPrices_!AN92)</f>
        <v>2.8555176336746303E-2</v>
      </c>
      <c r="E87">
        <f>IFERROR(VLOOKUP(A87,FuelPrices_!$B$49:$G$53,6,FALSE),"")</f>
        <v>3.8700000000000005E-2</v>
      </c>
      <c r="F87">
        <f>IFERROR(VLOOKUP(A87,FuelPrices_!$B$61:$G$65,6,FALSE),"")</f>
        <v>4.1269841269841276E-2</v>
      </c>
      <c r="G87">
        <f t="shared" si="1"/>
        <v>0.10852501760658759</v>
      </c>
      <c r="I87">
        <f t="shared" si="2"/>
        <v>1.7092690273037545</v>
      </c>
    </row>
    <row r="88" spans="1:9" x14ac:dyDescent="0.25">
      <c r="A88" t="str">
        <f>IF(FuelPrices_!AK93="","",FuelPrices_!AK93)</f>
        <v>NG</v>
      </c>
      <c r="B88" t="str">
        <f>IF(FuelPrices_!AL93="","",FuelPrices_!AL93)</f>
        <v>High</v>
      </c>
      <c r="C88">
        <f>IF(FuelPrices_!AM93="","",FuelPrices_!AM93)</f>
        <v>2029</v>
      </c>
      <c r="D88">
        <f>IF(FuelPrices_!AN93="","",FuelPrices_!AN93)</f>
        <v>2.5369738339021616E-2</v>
      </c>
      <c r="E88">
        <f>IFERROR(VLOOKUP(A88,FuelPrices_!$B$49:$G$53,6,FALSE),"")</f>
        <v>3.8700000000000005E-2</v>
      </c>
      <c r="F88">
        <f>IFERROR(VLOOKUP(A88,FuelPrices_!$B$61:$G$65,6,FALSE),"")</f>
        <v>4.1269841269841276E-2</v>
      </c>
      <c r="G88">
        <f t="shared" si="1"/>
        <v>0.10533957960886289</v>
      </c>
      <c r="I88">
        <f t="shared" si="2"/>
        <v>1.6590983788395905</v>
      </c>
    </row>
    <row r="89" spans="1:9" x14ac:dyDescent="0.25">
      <c r="A89" t="str">
        <f>IF(FuelPrices_!AK94="","",FuelPrices_!AK94)</f>
        <v>NG</v>
      </c>
      <c r="B89" t="str">
        <f>IF(FuelPrices_!AL94="","",FuelPrices_!AL94)</f>
        <v>High</v>
      </c>
      <c r="C89">
        <f>IF(FuelPrices_!AM94="","",FuelPrices_!AM94)</f>
        <v>2030</v>
      </c>
      <c r="D89">
        <f>IF(FuelPrices_!AN94="","",FuelPrices_!AN94)</f>
        <v>2.2184300341296929E-2</v>
      </c>
      <c r="E89">
        <f>IFERROR(VLOOKUP(A89,FuelPrices_!$B$49:$G$53,6,FALSE),"")</f>
        <v>3.8700000000000005E-2</v>
      </c>
      <c r="F89">
        <f>IFERROR(VLOOKUP(A89,FuelPrices_!$B$61:$G$65,6,FALSE),"")</f>
        <v>4.1269841269841276E-2</v>
      </c>
      <c r="G89">
        <f t="shared" si="1"/>
        <v>0.10215414161113821</v>
      </c>
      <c r="I89">
        <f t="shared" si="2"/>
        <v>1.6089277303754268</v>
      </c>
    </row>
    <row r="90" spans="1:9" x14ac:dyDescent="0.25">
      <c r="A90" t="str">
        <f>IF(FuelPrices_!AK95="","",FuelPrices_!AK95)</f>
        <v>NG</v>
      </c>
      <c r="B90" t="str">
        <f>IF(FuelPrices_!AL95="","",FuelPrices_!AL95)</f>
        <v>High</v>
      </c>
      <c r="C90">
        <f>IF(FuelPrices_!AM95="","",FuelPrices_!AM95)</f>
        <v>2031</v>
      </c>
      <c r="D90">
        <f>IF(FuelPrices_!AN95="","",FuelPrices_!AN95)</f>
        <v>2.2184300341296929E-2</v>
      </c>
      <c r="E90">
        <f>IFERROR(VLOOKUP(A90,FuelPrices_!$B$49:$G$53,6,FALSE),"")</f>
        <v>3.8700000000000005E-2</v>
      </c>
      <c r="F90">
        <f>IFERROR(VLOOKUP(A90,FuelPrices_!$B$61:$G$65,6,FALSE),"")</f>
        <v>4.1269841269841276E-2</v>
      </c>
      <c r="G90">
        <f t="shared" si="1"/>
        <v>0.10215414161113821</v>
      </c>
      <c r="I90">
        <f t="shared" si="2"/>
        <v>1.6089277303754268</v>
      </c>
    </row>
    <row r="91" spans="1:9" x14ac:dyDescent="0.25">
      <c r="A91" t="str">
        <f>IF(FuelPrices_!AK96="","",FuelPrices_!AK96)</f>
        <v>NG</v>
      </c>
      <c r="B91" t="str">
        <f>IF(FuelPrices_!AL96="","",FuelPrices_!AL96)</f>
        <v>High</v>
      </c>
      <c r="C91">
        <f>IF(FuelPrices_!AM96="","",FuelPrices_!AM96)</f>
        <v>2032</v>
      </c>
      <c r="D91">
        <f>IF(FuelPrices_!AN96="","",FuelPrices_!AN96)</f>
        <v>2.2559726962457338E-2</v>
      </c>
      <c r="E91">
        <f>IFERROR(VLOOKUP(A91,FuelPrices_!$B$49:$G$53,6,FALSE),"")</f>
        <v>3.8700000000000005E-2</v>
      </c>
      <c r="F91">
        <f>IFERROR(VLOOKUP(A91,FuelPrices_!$B$61:$G$65,6,FALSE),"")</f>
        <v>4.1269841269841276E-2</v>
      </c>
      <c r="G91">
        <f t="shared" si="1"/>
        <v>0.10252956823229861</v>
      </c>
      <c r="I91">
        <f t="shared" si="2"/>
        <v>1.6148406996587032</v>
      </c>
    </row>
    <row r="92" spans="1:9" x14ac:dyDescent="0.25">
      <c r="A92" t="str">
        <f>IF(FuelPrices_!AK97="","",FuelPrices_!AK97)</f>
        <v>NG</v>
      </c>
      <c r="B92" t="str">
        <f>IF(FuelPrices_!AL97="","",FuelPrices_!AL97)</f>
        <v>High</v>
      </c>
      <c r="C92">
        <f>IF(FuelPrices_!AM97="","",FuelPrices_!AM97)</f>
        <v>2033</v>
      </c>
      <c r="D92">
        <f>IF(FuelPrices_!AN97="","",FuelPrices_!AN97)</f>
        <v>2.2935153583617748E-2</v>
      </c>
      <c r="E92">
        <f>IFERROR(VLOOKUP(A92,FuelPrices_!$B$49:$G$53,6,FALSE),"")</f>
        <v>3.8700000000000005E-2</v>
      </c>
      <c r="F92">
        <f>IFERROR(VLOOKUP(A92,FuelPrices_!$B$61:$G$65,6,FALSE),"")</f>
        <v>4.1269841269841276E-2</v>
      </c>
      <c r="G92">
        <f t="shared" si="1"/>
        <v>0.10290499485345903</v>
      </c>
      <c r="I92">
        <f t="shared" si="2"/>
        <v>1.6207536689419797</v>
      </c>
    </row>
    <row r="93" spans="1:9" x14ac:dyDescent="0.25">
      <c r="A93" t="str">
        <f>IF(FuelPrices_!AK98="","",FuelPrices_!AK98)</f>
        <v>NG</v>
      </c>
      <c r="B93" t="str">
        <f>IF(FuelPrices_!AL98="","",FuelPrices_!AL98)</f>
        <v>High</v>
      </c>
      <c r="C93">
        <f>IF(FuelPrices_!AM98="","",FuelPrices_!AM98)</f>
        <v>2034</v>
      </c>
      <c r="D93">
        <f>IF(FuelPrices_!AN98="","",FuelPrices_!AN98)</f>
        <v>2.3310580204778157E-2</v>
      </c>
      <c r="E93">
        <f>IFERROR(VLOOKUP(A93,FuelPrices_!$B$49:$G$53,6,FALSE),"")</f>
        <v>3.8700000000000005E-2</v>
      </c>
      <c r="F93">
        <f>IFERROR(VLOOKUP(A93,FuelPrices_!$B$61:$G$65,6,FALSE),"")</f>
        <v>4.1269841269841276E-2</v>
      </c>
      <c r="G93">
        <f t="shared" si="1"/>
        <v>0.10328042147461944</v>
      </c>
      <c r="I93">
        <f t="shared" si="2"/>
        <v>1.6266666382252561</v>
      </c>
    </row>
    <row r="94" spans="1:9" x14ac:dyDescent="0.25">
      <c r="A94" t="str">
        <f>IF(FuelPrices_!AK99="","",FuelPrices_!AK99)</f>
        <v>NG</v>
      </c>
      <c r="B94" t="str">
        <f>IF(FuelPrices_!AL99="","",FuelPrices_!AL99)</f>
        <v>High</v>
      </c>
      <c r="C94">
        <f>IF(FuelPrices_!AM99="","",FuelPrices_!AM99)</f>
        <v>2035</v>
      </c>
      <c r="D94">
        <f>IF(FuelPrices_!AN99="","",FuelPrices_!AN99)</f>
        <v>2.3686006825938567E-2</v>
      </c>
      <c r="E94">
        <f>IFERROR(VLOOKUP(A94,FuelPrices_!$B$49:$G$53,6,FALSE),"")</f>
        <v>3.8700000000000005E-2</v>
      </c>
      <c r="F94">
        <f>IFERROR(VLOOKUP(A94,FuelPrices_!$B$61:$G$65,6,FALSE),"")</f>
        <v>4.1269841269841276E-2</v>
      </c>
      <c r="G94">
        <f t="shared" si="1"/>
        <v>0.10365584809577985</v>
      </c>
      <c r="I94">
        <f t="shared" si="2"/>
        <v>1.6325796075085326</v>
      </c>
    </row>
    <row r="95" spans="1:9" x14ac:dyDescent="0.25">
      <c r="A95" t="str">
        <f>IF(FuelPrices_!AK100="","",FuelPrices_!AK100)</f>
        <v>NG</v>
      </c>
      <c r="B95" t="str">
        <f>IF(FuelPrices_!AL100="","",FuelPrices_!AL100)</f>
        <v>High</v>
      </c>
      <c r="C95">
        <f>IF(FuelPrices_!AM100="","",FuelPrices_!AM100)</f>
        <v>2036</v>
      </c>
      <c r="D95">
        <f>IF(FuelPrices_!AN100="","",FuelPrices_!AN100)</f>
        <v>2.4061433447098976E-2</v>
      </c>
      <c r="E95">
        <f>IFERROR(VLOOKUP(A95,FuelPrices_!$B$49:$G$53,6,FALSE),"")</f>
        <v>3.8700000000000005E-2</v>
      </c>
      <c r="F95">
        <f>IFERROR(VLOOKUP(A95,FuelPrices_!$B$61:$G$65,6,FALSE),"")</f>
        <v>4.1269841269841276E-2</v>
      </c>
      <c r="G95">
        <f t="shared" si="1"/>
        <v>0.10403127471694025</v>
      </c>
      <c r="I95">
        <f t="shared" si="2"/>
        <v>1.638492576791809</v>
      </c>
    </row>
    <row r="96" spans="1:9" x14ac:dyDescent="0.25">
      <c r="A96" t="str">
        <f>IF(FuelPrices_!AK101="","",FuelPrices_!AK101)</f>
        <v>NG</v>
      </c>
      <c r="B96" t="str">
        <f>IF(FuelPrices_!AL101="","",FuelPrices_!AL101)</f>
        <v>High</v>
      </c>
      <c r="C96">
        <f>IF(FuelPrices_!AM101="","",FuelPrices_!AM101)</f>
        <v>2037</v>
      </c>
      <c r="D96">
        <f>IF(FuelPrices_!AN101="","",FuelPrices_!AN101)</f>
        <v>2.4436860068259385E-2</v>
      </c>
      <c r="E96">
        <f>IFERROR(VLOOKUP(A96,FuelPrices_!$B$49:$G$53,6,FALSE),"")</f>
        <v>3.8700000000000005E-2</v>
      </c>
      <c r="F96">
        <f>IFERROR(VLOOKUP(A96,FuelPrices_!$B$61:$G$65,6,FALSE),"")</f>
        <v>4.1269841269841276E-2</v>
      </c>
      <c r="G96">
        <f t="shared" si="1"/>
        <v>0.10440670133810066</v>
      </c>
      <c r="I96">
        <f t="shared" si="2"/>
        <v>1.6444055460750855</v>
      </c>
    </row>
    <row r="97" spans="1:9" x14ac:dyDescent="0.25">
      <c r="A97" t="str">
        <f>IF(FuelPrices_!AK102="","",FuelPrices_!AK102)</f>
        <v>NG</v>
      </c>
      <c r="B97" t="str">
        <f>IF(FuelPrices_!AL102="","",FuelPrices_!AL102)</f>
        <v>High</v>
      </c>
      <c r="C97">
        <f>IF(FuelPrices_!AM102="","",FuelPrices_!AM102)</f>
        <v>2038</v>
      </c>
      <c r="D97">
        <f>IF(FuelPrices_!AN102="","",FuelPrices_!AN102)</f>
        <v>2.4812286689419795E-2</v>
      </c>
      <c r="E97">
        <f>IFERROR(VLOOKUP(A97,FuelPrices_!$B$49:$G$53,6,FALSE),"")</f>
        <v>3.8700000000000005E-2</v>
      </c>
      <c r="F97">
        <f>IFERROR(VLOOKUP(A97,FuelPrices_!$B$61:$G$65,6,FALSE),"")</f>
        <v>4.1269841269841276E-2</v>
      </c>
      <c r="G97">
        <f t="shared" si="1"/>
        <v>0.10478212795926108</v>
      </c>
      <c r="I97">
        <f t="shared" si="2"/>
        <v>1.6503185153583619</v>
      </c>
    </row>
    <row r="98" spans="1:9" x14ac:dyDescent="0.25">
      <c r="A98" t="str">
        <f>IF(FuelPrices_!AK103="","",FuelPrices_!AK103)</f>
        <v>NG</v>
      </c>
      <c r="B98" t="str">
        <f>IF(FuelPrices_!AL103="","",FuelPrices_!AL103)</f>
        <v>High</v>
      </c>
      <c r="C98">
        <f>IF(FuelPrices_!AM103="","",FuelPrices_!AM103)</f>
        <v>2039</v>
      </c>
      <c r="D98">
        <f>IF(FuelPrices_!AN103="","",FuelPrices_!AN103)</f>
        <v>2.5187713310580204E-2</v>
      </c>
      <c r="E98">
        <f>IFERROR(VLOOKUP(A98,FuelPrices_!$B$49:$G$53,6,FALSE),"")</f>
        <v>3.8700000000000005E-2</v>
      </c>
      <c r="F98">
        <f>IFERROR(VLOOKUP(A98,FuelPrices_!$B$61:$G$65,6,FALSE),"")</f>
        <v>4.1269841269841276E-2</v>
      </c>
      <c r="G98">
        <f t="shared" si="1"/>
        <v>0.10515755458042149</v>
      </c>
      <c r="I98">
        <f t="shared" si="2"/>
        <v>1.6562314846416384</v>
      </c>
    </row>
    <row r="99" spans="1:9" x14ac:dyDescent="0.25">
      <c r="A99" t="str">
        <f>IF(FuelPrices_!AK104="","",FuelPrices_!AK104)</f>
        <v>NG</v>
      </c>
      <c r="B99" t="str">
        <f>IF(FuelPrices_!AL104="","",FuelPrices_!AL104)</f>
        <v>High</v>
      </c>
      <c r="C99">
        <f>IF(FuelPrices_!AM104="","",FuelPrices_!AM104)</f>
        <v>2040</v>
      </c>
      <c r="D99">
        <f>IF(FuelPrices_!AN104="","",FuelPrices_!AN104)</f>
        <v>2.5938566552901023E-2</v>
      </c>
      <c r="E99">
        <f>IFERROR(VLOOKUP(A99,FuelPrices_!$B$49:$G$53,6,FALSE),"")</f>
        <v>3.8700000000000005E-2</v>
      </c>
      <c r="F99">
        <f>IFERROR(VLOOKUP(A99,FuelPrices_!$B$61:$G$65,6,FALSE),"")</f>
        <v>4.1269841269841276E-2</v>
      </c>
      <c r="G99">
        <f t="shared" si="1"/>
        <v>0.1059084078227423</v>
      </c>
      <c r="I99">
        <f t="shared" si="2"/>
        <v>1.6680574232081913</v>
      </c>
    </row>
    <row r="100" spans="1:9" x14ac:dyDescent="0.25">
      <c r="A100" t="str">
        <f>IF(FuelPrices_!AK105="","",FuelPrices_!AK105)</f>
        <v>NG</v>
      </c>
      <c r="B100" t="str">
        <f>IF(FuelPrices_!AL105="","",FuelPrices_!AL105)</f>
        <v>High</v>
      </c>
      <c r="C100">
        <f>IF(FuelPrices_!AM105="","",FuelPrices_!AM105)</f>
        <v>2041</v>
      </c>
      <c r="D100">
        <f>IF(FuelPrices_!AN105="","",FuelPrices_!AN105)</f>
        <v>2.5938566552901023E-2</v>
      </c>
      <c r="E100">
        <f>IFERROR(VLOOKUP(A100,FuelPrices_!$B$49:$G$53,6,FALSE),"")</f>
        <v>3.8700000000000005E-2</v>
      </c>
      <c r="F100">
        <f>IFERROR(VLOOKUP(A100,FuelPrices_!$B$61:$G$65,6,FALSE),"")</f>
        <v>4.1269841269841276E-2</v>
      </c>
      <c r="G100">
        <f t="shared" si="1"/>
        <v>0.1059084078227423</v>
      </c>
      <c r="I100">
        <f t="shared" si="2"/>
        <v>1.6680574232081913</v>
      </c>
    </row>
    <row r="101" spans="1:9" x14ac:dyDescent="0.25">
      <c r="A101" t="str">
        <f>IF(FuelPrices_!AK106="","",FuelPrices_!AK106)</f>
        <v>NG</v>
      </c>
      <c r="B101" t="str">
        <f>IF(FuelPrices_!AL106="","",FuelPrices_!AL106)</f>
        <v>High</v>
      </c>
      <c r="C101">
        <f>IF(FuelPrices_!AM106="","",FuelPrices_!AM106)</f>
        <v>2042</v>
      </c>
      <c r="D101">
        <f>IF(FuelPrices_!AN106="","",FuelPrices_!AN106)</f>
        <v>2.5972696245733787E-2</v>
      </c>
      <c r="E101">
        <f>IFERROR(VLOOKUP(A101,FuelPrices_!$B$49:$G$53,6,FALSE),"")</f>
        <v>3.8700000000000005E-2</v>
      </c>
      <c r="F101">
        <f>IFERROR(VLOOKUP(A101,FuelPrices_!$B$61:$G$65,6,FALSE),"")</f>
        <v>4.1269841269841276E-2</v>
      </c>
      <c r="G101">
        <f t="shared" si="1"/>
        <v>0.10594253751557507</v>
      </c>
      <c r="I101">
        <f t="shared" si="2"/>
        <v>1.6685949658703074</v>
      </c>
    </row>
    <row r="102" spans="1:9" x14ac:dyDescent="0.25">
      <c r="A102" t="str">
        <f>IF(FuelPrices_!AK107="","",FuelPrices_!AK107)</f>
        <v>NG</v>
      </c>
      <c r="B102" t="str">
        <f>IF(FuelPrices_!AL107="","",FuelPrices_!AL107)</f>
        <v>High</v>
      </c>
      <c r="C102">
        <f>IF(FuelPrices_!AM107="","",FuelPrices_!AM107)</f>
        <v>2043</v>
      </c>
      <c r="D102">
        <f>IF(FuelPrices_!AN107="","",FuelPrices_!AN107)</f>
        <v>2.6006825938566552E-2</v>
      </c>
      <c r="E102">
        <f>IFERROR(VLOOKUP(A102,FuelPrices_!$B$49:$G$53,6,FALSE),"")</f>
        <v>3.8700000000000005E-2</v>
      </c>
      <c r="F102">
        <f>IFERROR(VLOOKUP(A102,FuelPrices_!$B$61:$G$65,6,FALSE),"")</f>
        <v>4.1269841269841276E-2</v>
      </c>
      <c r="G102">
        <f t="shared" si="1"/>
        <v>0.10597666720840783</v>
      </c>
      <c r="I102">
        <f>G102*15.75</f>
        <v>1.6691325085324233</v>
      </c>
    </row>
    <row r="103" spans="1:9" x14ac:dyDescent="0.25">
      <c r="A103" t="str">
        <f>IF(FuelPrices_!AK108="","",FuelPrices_!AK108)</f>
        <v>NG</v>
      </c>
      <c r="B103" t="str">
        <f>IF(FuelPrices_!AL108="","",FuelPrices_!AL108)</f>
        <v>High</v>
      </c>
      <c r="C103">
        <f>IF(FuelPrices_!AM108="","",FuelPrices_!AM108)</f>
        <v>2044</v>
      </c>
      <c r="D103">
        <f>IF(FuelPrices_!AN108="","",FuelPrices_!AN108)</f>
        <v>2.6040955631399316E-2</v>
      </c>
      <c r="E103">
        <f>IFERROR(VLOOKUP(A103,FuelPrices_!$B$49:$G$53,6,FALSE),"")</f>
        <v>3.8700000000000005E-2</v>
      </c>
      <c r="F103">
        <f>IFERROR(VLOOKUP(A103,FuelPrices_!$B$61:$G$65,6,FALSE),"")</f>
        <v>4.1269841269841276E-2</v>
      </c>
      <c r="G103">
        <f t="shared" si="1"/>
        <v>0.1060107969012406</v>
      </c>
      <c r="I103">
        <f t="shared" si="2"/>
        <v>1.6696700511945395</v>
      </c>
    </row>
    <row r="104" spans="1:9" x14ac:dyDescent="0.25">
      <c r="A104" t="str">
        <f>IF(FuelPrices_!AK109="","",FuelPrices_!AK109)</f>
        <v>NG</v>
      </c>
      <c r="B104" t="str">
        <f>IF(FuelPrices_!AL109="","",FuelPrices_!AL109)</f>
        <v>High</v>
      </c>
      <c r="C104">
        <f>IF(FuelPrices_!AM109="","",FuelPrices_!AM109)</f>
        <v>2045</v>
      </c>
      <c r="D104">
        <f>IF(FuelPrices_!AN109="","",FuelPrices_!AN109)</f>
        <v>2.607508532423208E-2</v>
      </c>
      <c r="E104">
        <f>IFERROR(VLOOKUP(A104,FuelPrices_!$B$49:$G$53,6,FALSE),"")</f>
        <v>3.8700000000000005E-2</v>
      </c>
      <c r="F104">
        <f>IFERROR(VLOOKUP(A104,FuelPrices_!$B$61:$G$65,6,FALSE),"")</f>
        <v>4.1269841269841276E-2</v>
      </c>
      <c r="G104">
        <f t="shared" si="1"/>
        <v>0.10604492659407336</v>
      </c>
      <c r="I104">
        <f t="shared" si="2"/>
        <v>1.6702075938566554</v>
      </c>
    </row>
    <row r="105" spans="1:9" x14ac:dyDescent="0.25">
      <c r="A105" t="str">
        <f>IF(FuelPrices_!AK110="","",FuelPrices_!AK110)</f>
        <v>NG</v>
      </c>
      <c r="B105" t="str">
        <f>IF(FuelPrices_!AL110="","",FuelPrices_!AL110)</f>
        <v>High</v>
      </c>
      <c r="C105">
        <f>IF(FuelPrices_!AM110="","",FuelPrices_!AM110)</f>
        <v>2046</v>
      </c>
      <c r="D105">
        <f>IF(FuelPrices_!AN110="","",FuelPrices_!AN110)</f>
        <v>2.6109215017064848E-2</v>
      </c>
      <c r="E105">
        <f>IFERROR(VLOOKUP(A105,FuelPrices_!$B$49:$G$53,6,FALSE),"")</f>
        <v>3.8700000000000005E-2</v>
      </c>
      <c r="F105">
        <f>IFERROR(VLOOKUP(A105,FuelPrices_!$B$61:$G$65,6,FALSE),"")</f>
        <v>4.1269841269841276E-2</v>
      </c>
      <c r="G105">
        <f t="shared" si="1"/>
        <v>0.10607905628690613</v>
      </c>
      <c r="I105">
        <f t="shared" si="2"/>
        <v>1.6707451365187715</v>
      </c>
    </row>
    <row r="106" spans="1:9" x14ac:dyDescent="0.25">
      <c r="A106" t="str">
        <f>IF(FuelPrices_!AK111="","",FuelPrices_!AK111)</f>
        <v>NG</v>
      </c>
      <c r="B106" t="str">
        <f>IF(FuelPrices_!AL111="","",FuelPrices_!AL111)</f>
        <v>High</v>
      </c>
      <c r="C106">
        <f>IF(FuelPrices_!AM111="","",FuelPrices_!AM111)</f>
        <v>2047</v>
      </c>
      <c r="D106">
        <f>IF(FuelPrices_!AN111="","",FuelPrices_!AN111)</f>
        <v>2.6143344709897612E-2</v>
      </c>
      <c r="E106">
        <f>IFERROR(VLOOKUP(A106,FuelPrices_!$B$49:$G$53,6,FALSE),"")</f>
        <v>3.8700000000000005E-2</v>
      </c>
      <c r="F106">
        <f>IFERROR(VLOOKUP(A106,FuelPrices_!$B$61:$G$65,6,FALSE),"")</f>
        <v>4.1269841269841276E-2</v>
      </c>
      <c r="G106">
        <f t="shared" si="1"/>
        <v>0.10611318597973889</v>
      </c>
      <c r="I106">
        <f t="shared" si="2"/>
        <v>1.6712826791808875</v>
      </c>
    </row>
    <row r="107" spans="1:9" x14ac:dyDescent="0.25">
      <c r="A107" t="str">
        <f>IF(FuelPrices_!AK112="","",FuelPrices_!AK112)</f>
        <v>NG</v>
      </c>
      <c r="B107" t="str">
        <f>IF(FuelPrices_!AL112="","",FuelPrices_!AL112)</f>
        <v>High</v>
      </c>
      <c r="C107">
        <f>IF(FuelPrices_!AM112="","",FuelPrices_!AM112)</f>
        <v>2048</v>
      </c>
      <c r="D107">
        <f>IF(FuelPrices_!AN112="","",FuelPrices_!AN112)</f>
        <v>2.6177474402730376E-2</v>
      </c>
      <c r="E107">
        <f>IFERROR(VLOOKUP(A107,FuelPrices_!$B$49:$G$53,6,FALSE),"")</f>
        <v>3.8700000000000005E-2</v>
      </c>
      <c r="F107">
        <f>IFERROR(VLOOKUP(A107,FuelPrices_!$B$61:$G$65,6,FALSE),"")</f>
        <v>4.1269841269841276E-2</v>
      </c>
      <c r="G107">
        <f t="shared" si="1"/>
        <v>0.10614731567257166</v>
      </c>
      <c r="I107">
        <f t="shared" si="2"/>
        <v>1.6718202218430036</v>
      </c>
    </row>
    <row r="108" spans="1:9" x14ac:dyDescent="0.25">
      <c r="A108" t="str">
        <f>IF(FuelPrices_!AK113="","",FuelPrices_!AK113)</f>
        <v>NG</v>
      </c>
      <c r="B108" t="str">
        <f>IF(FuelPrices_!AL113="","",FuelPrices_!AL113)</f>
        <v>High</v>
      </c>
      <c r="C108">
        <f>IF(FuelPrices_!AM113="","",FuelPrices_!AM113)</f>
        <v>2049</v>
      </c>
      <c r="D108">
        <f>IF(FuelPrices_!AN113="","",FuelPrices_!AN113)</f>
        <v>2.621160409556314E-2</v>
      </c>
      <c r="E108">
        <f>IFERROR(VLOOKUP(A108,FuelPrices_!$B$49:$G$53,6,FALSE),"")</f>
        <v>3.8700000000000005E-2</v>
      </c>
      <c r="F108">
        <f>IFERROR(VLOOKUP(A108,FuelPrices_!$B$61:$G$65,6,FALSE),"")</f>
        <v>4.1269841269841276E-2</v>
      </c>
      <c r="G108">
        <f t="shared" si="1"/>
        <v>0.10618144536540443</v>
      </c>
      <c r="I108">
        <f t="shared" si="2"/>
        <v>1.6723577645051197</v>
      </c>
    </row>
    <row r="109" spans="1:9" x14ac:dyDescent="0.25">
      <c r="A109" t="str">
        <f>IF(FuelPrices_!AK114="","",FuelPrices_!AK114)</f>
        <v>NG</v>
      </c>
      <c r="B109" t="str">
        <f>IF(FuelPrices_!AL114="","",FuelPrices_!AL114)</f>
        <v>High</v>
      </c>
      <c r="C109">
        <f>IF(FuelPrices_!AM114="","",FuelPrices_!AM114)</f>
        <v>2050</v>
      </c>
      <c r="D109">
        <f>IF(FuelPrices_!AN114="","",FuelPrices_!AN114)</f>
        <v>2.6279863481228669E-2</v>
      </c>
      <c r="E109">
        <f>IFERROR(VLOOKUP(A109,FuelPrices_!$B$49:$G$53,6,FALSE),"")</f>
        <v>3.8700000000000005E-2</v>
      </c>
      <c r="F109">
        <f>IFERROR(VLOOKUP(A109,FuelPrices_!$B$61:$G$65,6,FALSE),"")</f>
        <v>4.1269841269841276E-2</v>
      </c>
      <c r="G109">
        <f t="shared" si="1"/>
        <v>0.10624970475106994</v>
      </c>
      <c r="I109">
        <f t="shared" si="2"/>
        <v>1.6734328498293516</v>
      </c>
    </row>
    <row r="110" spans="1:9" x14ac:dyDescent="0.25">
      <c r="A110" t="str">
        <f>IF(FuelPrices_!AK115="","",FuelPrices_!AK115)</f>
        <v>NG</v>
      </c>
      <c r="B110" t="str">
        <f>IF(FuelPrices_!AL115="","",FuelPrices_!AL115)</f>
        <v>Average</v>
      </c>
      <c r="C110">
        <f>IF(FuelPrices_!AM115="","",FuelPrices_!AM115)</f>
        <v>2024</v>
      </c>
      <c r="D110">
        <f>IF(FuelPrices_!AN115="","",FuelPrices_!AN115)</f>
        <v>4.1296928327645047E-2</v>
      </c>
      <c r="E110">
        <f>IFERROR(VLOOKUP(A110,FuelPrices_!$B$49:$G$53,6,FALSE),"")</f>
        <v>3.8700000000000005E-2</v>
      </c>
      <c r="F110">
        <f>IFERROR(VLOOKUP(A110,FuelPrices_!$B$61:$G$65,6,FALSE),"")</f>
        <v>4.1269841269841276E-2</v>
      </c>
      <c r="G110">
        <f t="shared" si="1"/>
        <v>0.12126676959748632</v>
      </c>
      <c r="I110">
        <f t="shared" si="2"/>
        <v>1.9099516211604095</v>
      </c>
    </row>
    <row r="111" spans="1:9" x14ac:dyDescent="0.25">
      <c r="A111" t="str">
        <f>IF(FuelPrices_!AK116="","",FuelPrices_!AK116)</f>
        <v>NG</v>
      </c>
      <c r="B111" t="str">
        <f>IF(FuelPrices_!AL116="","",FuelPrices_!AL116)</f>
        <v>Average</v>
      </c>
      <c r="C111">
        <f>IF(FuelPrices_!AM116="","",FuelPrices_!AM116)</f>
        <v>2025</v>
      </c>
      <c r="D111">
        <f>IF(FuelPrices_!AN116="","",FuelPrices_!AN116)</f>
        <v>3.7827076222980656E-2</v>
      </c>
      <c r="E111">
        <f>IFERROR(VLOOKUP(A111,FuelPrices_!$B$49:$G$53,6,FALSE),"")</f>
        <v>3.8700000000000005E-2</v>
      </c>
      <c r="F111">
        <f>IFERROR(VLOOKUP(A111,FuelPrices_!$B$61:$G$65,6,FALSE),"")</f>
        <v>4.1269841269841276E-2</v>
      </c>
      <c r="G111">
        <f t="shared" si="1"/>
        <v>0.11779691749282194</v>
      </c>
      <c r="I111">
        <f t="shared" si="2"/>
        <v>1.8553014505119456</v>
      </c>
    </row>
    <row r="112" spans="1:9" x14ac:dyDescent="0.25">
      <c r="A112" t="str">
        <f>IF(FuelPrices_!AK117="","",FuelPrices_!AK117)</f>
        <v>NG</v>
      </c>
      <c r="B112" t="str">
        <f>IF(FuelPrices_!AL117="","",FuelPrices_!AL117)</f>
        <v>Average</v>
      </c>
      <c r="C112">
        <f>IF(FuelPrices_!AM117="","",FuelPrices_!AM117)</f>
        <v>2026</v>
      </c>
      <c r="D112">
        <f>IF(FuelPrices_!AN117="","",FuelPrices_!AN117)</f>
        <v>3.4357224118316265E-2</v>
      </c>
      <c r="E112">
        <f>IFERROR(VLOOKUP(A112,FuelPrices_!$B$49:$G$53,6,FALSE),"")</f>
        <v>3.8700000000000005E-2</v>
      </c>
      <c r="F112">
        <f>IFERROR(VLOOKUP(A112,FuelPrices_!$B$61:$G$65,6,FALSE),"")</f>
        <v>4.1269841269841276E-2</v>
      </c>
      <c r="G112">
        <f t="shared" si="1"/>
        <v>0.11432706538815755</v>
      </c>
      <c r="I112">
        <f t="shared" si="2"/>
        <v>1.8006512798634815</v>
      </c>
    </row>
    <row r="113" spans="1:9" x14ac:dyDescent="0.25">
      <c r="A113" t="str">
        <f>IF(FuelPrices_!AK118="","",FuelPrices_!AK118)</f>
        <v>NG</v>
      </c>
      <c r="B113" t="str">
        <f>IF(FuelPrices_!AL118="","",FuelPrices_!AL118)</f>
        <v>Average</v>
      </c>
      <c r="C113">
        <f>IF(FuelPrices_!AM118="","",FuelPrices_!AM118)</f>
        <v>2027</v>
      </c>
      <c r="D113">
        <f>IF(FuelPrices_!AN118="","",FuelPrices_!AN118)</f>
        <v>3.0887372013651878E-2</v>
      </c>
      <c r="E113">
        <f>IFERROR(VLOOKUP(A113,FuelPrices_!$B$49:$G$53,6,FALSE),"")</f>
        <v>3.8700000000000005E-2</v>
      </c>
      <c r="F113">
        <f>IFERROR(VLOOKUP(A113,FuelPrices_!$B$61:$G$65,6,FALSE),"")</f>
        <v>4.1269841269841276E-2</v>
      </c>
      <c r="G113">
        <f t="shared" si="1"/>
        <v>0.11085721328349316</v>
      </c>
      <c r="I113">
        <f t="shared" si="2"/>
        <v>1.7460011092150172</v>
      </c>
    </row>
    <row r="114" spans="1:9" x14ac:dyDescent="0.25">
      <c r="A114" t="str">
        <f>IF(FuelPrices_!AK119="","",FuelPrices_!AK119)</f>
        <v>NG</v>
      </c>
      <c r="B114" t="str">
        <f>IF(FuelPrices_!AL119="","",FuelPrices_!AL119)</f>
        <v>Average</v>
      </c>
      <c r="C114">
        <f>IF(FuelPrices_!AM119="","",FuelPrices_!AM119)</f>
        <v>2028</v>
      </c>
      <c r="D114">
        <f>IF(FuelPrices_!AN119="","",FuelPrices_!AN119)</f>
        <v>2.7417519908987484E-2</v>
      </c>
      <c r="E114">
        <f>IFERROR(VLOOKUP(A114,FuelPrices_!$B$49:$G$53,6,FALSE),"")</f>
        <v>3.8700000000000005E-2</v>
      </c>
      <c r="F114">
        <f>IFERROR(VLOOKUP(A114,FuelPrices_!$B$61:$G$65,6,FALSE),"")</f>
        <v>4.1269841269841276E-2</v>
      </c>
      <c r="G114">
        <f t="shared" si="1"/>
        <v>0.10738736117882876</v>
      </c>
      <c r="I114">
        <f t="shared" si="2"/>
        <v>1.6913509385665528</v>
      </c>
    </row>
    <row r="115" spans="1:9" x14ac:dyDescent="0.25">
      <c r="A115" t="str">
        <f>IF(FuelPrices_!AK120="","",FuelPrices_!AK120)</f>
        <v>NG</v>
      </c>
      <c r="B115" t="str">
        <f>IF(FuelPrices_!AL120="","",FuelPrices_!AL120)</f>
        <v>Average</v>
      </c>
      <c r="C115">
        <f>IF(FuelPrices_!AM120="","",FuelPrices_!AM120)</f>
        <v>2029</v>
      </c>
      <c r="D115">
        <f>IF(FuelPrices_!AN120="","",FuelPrices_!AN120)</f>
        <v>2.3947667804323093E-2</v>
      </c>
      <c r="E115">
        <f>IFERROR(VLOOKUP(A115,FuelPrices_!$B$49:$G$53,6,FALSE),"")</f>
        <v>3.8700000000000005E-2</v>
      </c>
      <c r="F115">
        <f>IFERROR(VLOOKUP(A115,FuelPrices_!$B$61:$G$65,6,FALSE),"")</f>
        <v>4.1269841269841276E-2</v>
      </c>
      <c r="G115">
        <f t="shared" si="1"/>
        <v>0.10391750907416437</v>
      </c>
      <c r="I115">
        <f t="shared" si="2"/>
        <v>1.6367007679180889</v>
      </c>
    </row>
    <row r="116" spans="1:9" x14ac:dyDescent="0.25">
      <c r="A116" t="str">
        <f>IF(FuelPrices_!AK121="","",FuelPrices_!AK121)</f>
        <v>NG</v>
      </c>
      <c r="B116" t="str">
        <f>IF(FuelPrices_!AL121="","",FuelPrices_!AL121)</f>
        <v>Average</v>
      </c>
      <c r="C116">
        <f>IF(FuelPrices_!AM121="","",FuelPrices_!AM121)</f>
        <v>2030</v>
      </c>
      <c r="D116">
        <f>IF(FuelPrices_!AN121="","",FuelPrices_!AN121)</f>
        <v>2.0477815699658702E-2</v>
      </c>
      <c r="E116">
        <f>IFERROR(VLOOKUP(A116,FuelPrices_!$B$49:$G$53,6,FALSE),"")</f>
        <v>3.8700000000000005E-2</v>
      </c>
      <c r="F116">
        <f>IFERROR(VLOOKUP(A116,FuelPrices_!$B$61:$G$65,6,FALSE),"")</f>
        <v>4.1269841269841276E-2</v>
      </c>
      <c r="G116">
        <f t="shared" si="1"/>
        <v>0.10044765696949998</v>
      </c>
      <c r="I116">
        <f t="shared" si="2"/>
        <v>1.5820505972696246</v>
      </c>
    </row>
    <row r="117" spans="1:9" x14ac:dyDescent="0.25">
      <c r="A117" t="str">
        <f>IF(FuelPrices_!AK122="","",FuelPrices_!AK122)</f>
        <v>NG</v>
      </c>
      <c r="B117" t="str">
        <f>IF(FuelPrices_!AL122="","",FuelPrices_!AL122)</f>
        <v>Average</v>
      </c>
      <c r="C117">
        <f>IF(FuelPrices_!AM122="","",FuelPrices_!AM122)</f>
        <v>2031</v>
      </c>
      <c r="D117">
        <f>IF(FuelPrices_!AN122="","",FuelPrices_!AN122)</f>
        <v>2.0477815699658702E-2</v>
      </c>
      <c r="E117">
        <f>IFERROR(VLOOKUP(A117,FuelPrices_!$B$49:$G$53,6,FALSE),"")</f>
        <v>3.8700000000000005E-2</v>
      </c>
      <c r="F117">
        <f>IFERROR(VLOOKUP(A117,FuelPrices_!$B$61:$G$65,6,FALSE),"")</f>
        <v>4.1269841269841276E-2</v>
      </c>
      <c r="G117">
        <f t="shared" si="1"/>
        <v>0.10044765696949998</v>
      </c>
      <c r="I117">
        <f t="shared" si="2"/>
        <v>1.5820505972696246</v>
      </c>
    </row>
    <row r="118" spans="1:9" x14ac:dyDescent="0.25">
      <c r="A118" t="str">
        <f>IF(FuelPrices_!AK123="","",FuelPrices_!AK123)</f>
        <v>NG</v>
      </c>
      <c r="B118" t="str">
        <f>IF(FuelPrices_!AL123="","",FuelPrices_!AL123)</f>
        <v>Average</v>
      </c>
      <c r="C118">
        <f>IF(FuelPrices_!AM123="","",FuelPrices_!AM123)</f>
        <v>2032</v>
      </c>
      <c r="D118">
        <f>IF(FuelPrices_!AN123="","",FuelPrices_!AN123)</f>
        <v>2.0204778156996585E-2</v>
      </c>
      <c r="E118">
        <f>IFERROR(VLOOKUP(A118,FuelPrices_!$B$49:$G$53,6,FALSE),"")</f>
        <v>3.8700000000000005E-2</v>
      </c>
      <c r="F118">
        <f>IFERROR(VLOOKUP(A118,FuelPrices_!$B$61:$G$65,6,FALSE),"")</f>
        <v>4.1269841269841276E-2</v>
      </c>
      <c r="G118">
        <f t="shared" si="1"/>
        <v>0.10017461942683786</v>
      </c>
      <c r="I118">
        <f t="shared" si="2"/>
        <v>1.5777502559726964</v>
      </c>
    </row>
    <row r="119" spans="1:9" x14ac:dyDescent="0.25">
      <c r="A119" t="str">
        <f>IF(FuelPrices_!AK124="","",FuelPrices_!AK124)</f>
        <v>NG</v>
      </c>
      <c r="B119" t="str">
        <f>IF(FuelPrices_!AL124="","",FuelPrices_!AL124)</f>
        <v>Average</v>
      </c>
      <c r="C119">
        <f>IF(FuelPrices_!AM124="","",FuelPrices_!AM124)</f>
        <v>2033</v>
      </c>
      <c r="D119">
        <f>IF(FuelPrices_!AN124="","",FuelPrices_!AN124)</f>
        <v>1.9931740614334472E-2</v>
      </c>
      <c r="E119">
        <f>IFERROR(VLOOKUP(A119,FuelPrices_!$B$49:$G$53,6,FALSE),"")</f>
        <v>3.8700000000000005E-2</v>
      </c>
      <c r="F119">
        <f>IFERROR(VLOOKUP(A119,FuelPrices_!$B$61:$G$65,6,FALSE),"")</f>
        <v>4.1269841269841276E-2</v>
      </c>
      <c r="G119">
        <f t="shared" si="1"/>
        <v>9.990158188417575E-2</v>
      </c>
      <c r="I119">
        <f>G119*15.75</f>
        <v>1.5734499146757681</v>
      </c>
    </row>
    <row r="120" spans="1:9" x14ac:dyDescent="0.25">
      <c r="A120" t="str">
        <f>IF(FuelPrices_!AK125="","",FuelPrices_!AK125)</f>
        <v>NG</v>
      </c>
      <c r="B120" t="str">
        <f>IF(FuelPrices_!AL125="","",FuelPrices_!AL125)</f>
        <v>Average</v>
      </c>
      <c r="C120">
        <f>IF(FuelPrices_!AM125="","",FuelPrices_!AM125)</f>
        <v>2034</v>
      </c>
      <c r="D120">
        <f>IF(FuelPrices_!AN125="","",FuelPrices_!AN125)</f>
        <v>1.9658703071672355E-2</v>
      </c>
      <c r="E120">
        <f>IFERROR(VLOOKUP(A120,FuelPrices_!$B$49:$G$53,6,FALSE),"")</f>
        <v>3.8700000000000005E-2</v>
      </c>
      <c r="F120">
        <f>IFERROR(VLOOKUP(A120,FuelPrices_!$B$61:$G$65,6,FALSE),"")</f>
        <v>4.1269841269841276E-2</v>
      </c>
      <c r="G120">
        <f t="shared" si="1"/>
        <v>9.9628544341513636E-2</v>
      </c>
      <c r="I120">
        <f t="shared" si="2"/>
        <v>1.5691495733788399</v>
      </c>
    </row>
    <row r="121" spans="1:9" x14ac:dyDescent="0.25">
      <c r="A121" t="str">
        <f>IF(FuelPrices_!AK126="","",FuelPrices_!AK126)</f>
        <v>NG</v>
      </c>
      <c r="B121" t="str">
        <f>IF(FuelPrices_!AL126="","",FuelPrices_!AL126)</f>
        <v>Average</v>
      </c>
      <c r="C121">
        <f>IF(FuelPrices_!AM126="","",FuelPrices_!AM126)</f>
        <v>2035</v>
      </c>
      <c r="D121">
        <f>IF(FuelPrices_!AN126="","",FuelPrices_!AN126)</f>
        <v>1.9385665529010238E-2</v>
      </c>
      <c r="E121">
        <f>IFERROR(VLOOKUP(A121,FuelPrices_!$B$49:$G$53,6,FALSE),"")</f>
        <v>3.8700000000000005E-2</v>
      </c>
      <c r="F121">
        <f>IFERROR(VLOOKUP(A121,FuelPrices_!$B$61:$G$65,6,FALSE),"")</f>
        <v>4.1269841269841276E-2</v>
      </c>
      <c r="G121">
        <f t="shared" si="1"/>
        <v>9.9355506798851523E-2</v>
      </c>
      <c r="I121">
        <f t="shared" si="2"/>
        <v>1.5648492320819114</v>
      </c>
    </row>
    <row r="122" spans="1:9" x14ac:dyDescent="0.25">
      <c r="A122" t="str">
        <f>IF(FuelPrices_!AK127="","",FuelPrices_!AK127)</f>
        <v>NG</v>
      </c>
      <c r="B122" t="str">
        <f>IF(FuelPrices_!AL127="","",FuelPrices_!AL127)</f>
        <v>Average</v>
      </c>
      <c r="C122">
        <f>IF(FuelPrices_!AM127="","",FuelPrices_!AM127)</f>
        <v>2036</v>
      </c>
      <c r="D122">
        <f>IF(FuelPrices_!AN127="","",FuelPrices_!AN127)</f>
        <v>1.9112627986348121E-2</v>
      </c>
      <c r="E122">
        <f>IFERROR(VLOOKUP(A122,FuelPrices_!$B$49:$G$53,6,FALSE),"")</f>
        <v>3.8700000000000005E-2</v>
      </c>
      <c r="F122">
        <f>IFERROR(VLOOKUP(A122,FuelPrices_!$B$61:$G$65,6,FALSE),"")</f>
        <v>4.1269841269841276E-2</v>
      </c>
      <c r="G122">
        <f t="shared" si="1"/>
        <v>9.9082469256189409E-2</v>
      </c>
      <c r="I122">
        <f t="shared" si="2"/>
        <v>1.5605488907849832</v>
      </c>
    </row>
    <row r="123" spans="1:9" x14ac:dyDescent="0.25">
      <c r="A123" t="str">
        <f>IF(FuelPrices_!AK128="","",FuelPrices_!AK128)</f>
        <v>NG</v>
      </c>
      <c r="B123" t="str">
        <f>IF(FuelPrices_!AL128="","",FuelPrices_!AL128)</f>
        <v>Average</v>
      </c>
      <c r="C123">
        <f>IF(FuelPrices_!AM128="","",FuelPrices_!AM128)</f>
        <v>2037</v>
      </c>
      <c r="D123">
        <f>IF(FuelPrices_!AN128="","",FuelPrices_!AN128)</f>
        <v>1.8839590443686008E-2</v>
      </c>
      <c r="E123">
        <f>IFERROR(VLOOKUP(A123,FuelPrices_!$B$49:$G$53,6,FALSE),"")</f>
        <v>3.8700000000000005E-2</v>
      </c>
      <c r="F123">
        <f>IFERROR(VLOOKUP(A123,FuelPrices_!$B$61:$G$65,6,FALSE),"")</f>
        <v>4.1269841269841276E-2</v>
      </c>
      <c r="G123">
        <f t="shared" si="1"/>
        <v>9.8809431713527296E-2</v>
      </c>
      <c r="I123">
        <f t="shared" si="2"/>
        <v>1.5562485494880549</v>
      </c>
    </row>
    <row r="124" spans="1:9" x14ac:dyDescent="0.25">
      <c r="A124" t="str">
        <f>IF(FuelPrices_!AK129="","",FuelPrices_!AK129)</f>
        <v>NG</v>
      </c>
      <c r="B124" t="str">
        <f>IF(FuelPrices_!AL129="","",FuelPrices_!AL129)</f>
        <v>Average</v>
      </c>
      <c r="C124">
        <f>IF(FuelPrices_!AM129="","",FuelPrices_!AM129)</f>
        <v>2038</v>
      </c>
      <c r="D124">
        <f>IF(FuelPrices_!AN129="","",FuelPrices_!AN129)</f>
        <v>1.8566552901023891E-2</v>
      </c>
      <c r="E124">
        <f>IFERROR(VLOOKUP(A124,FuelPrices_!$B$49:$G$53,6,FALSE),"")</f>
        <v>3.8700000000000005E-2</v>
      </c>
      <c r="F124">
        <f>IFERROR(VLOOKUP(A124,FuelPrices_!$B$61:$G$65,6,FALSE),"")</f>
        <v>4.1269841269841276E-2</v>
      </c>
      <c r="G124">
        <f t="shared" si="1"/>
        <v>9.8536394170865169E-2</v>
      </c>
      <c r="I124">
        <f t="shared" si="2"/>
        <v>1.5519482081911264</v>
      </c>
    </row>
    <row r="125" spans="1:9" x14ac:dyDescent="0.25">
      <c r="A125" t="str">
        <f>IF(FuelPrices_!AK130="","",FuelPrices_!AK130)</f>
        <v>NG</v>
      </c>
      <c r="B125" t="str">
        <f>IF(FuelPrices_!AL130="","",FuelPrices_!AL130)</f>
        <v>Average</v>
      </c>
      <c r="C125">
        <f>IF(FuelPrices_!AM130="","",FuelPrices_!AM130)</f>
        <v>2039</v>
      </c>
      <c r="D125">
        <f>IF(FuelPrices_!AN130="","",FuelPrices_!AN130)</f>
        <v>1.8293515358361778E-2</v>
      </c>
      <c r="E125">
        <f>IFERROR(VLOOKUP(A125,FuelPrices_!$B$49:$G$53,6,FALSE),"")</f>
        <v>3.8700000000000005E-2</v>
      </c>
      <c r="F125">
        <f>IFERROR(VLOOKUP(A125,FuelPrices_!$B$61:$G$65,6,FALSE),"")</f>
        <v>4.1269841269841276E-2</v>
      </c>
      <c r="G125">
        <f t="shared" si="1"/>
        <v>9.8263356628203055E-2</v>
      </c>
      <c r="I125">
        <f t="shared" si="2"/>
        <v>1.5476478668941982</v>
      </c>
    </row>
    <row r="126" spans="1:9" x14ac:dyDescent="0.25">
      <c r="A126" t="str">
        <f>IF(FuelPrices_!AK131="","",FuelPrices_!AK131)</f>
        <v>NG</v>
      </c>
      <c r="B126" t="str">
        <f>IF(FuelPrices_!AL131="","",FuelPrices_!AL131)</f>
        <v>Average</v>
      </c>
      <c r="C126">
        <f>IF(FuelPrices_!AM131="","",FuelPrices_!AM131)</f>
        <v>2040</v>
      </c>
      <c r="D126">
        <f>IF(FuelPrices_!AN131="","",FuelPrices_!AN131)</f>
        <v>1.7747440273037544E-2</v>
      </c>
      <c r="E126">
        <f>IFERROR(VLOOKUP(A126,FuelPrices_!$B$49:$G$53,6,FALSE),"")</f>
        <v>3.8700000000000005E-2</v>
      </c>
      <c r="F126">
        <f>IFERROR(VLOOKUP(A126,FuelPrices_!$B$61:$G$65,6,FALSE),"")</f>
        <v>4.1269841269841276E-2</v>
      </c>
      <c r="G126">
        <f t="shared" si="1"/>
        <v>9.7717281542878828E-2</v>
      </c>
      <c r="I126">
        <f t="shared" si="2"/>
        <v>1.5390471843003415</v>
      </c>
    </row>
    <row r="127" spans="1:9" x14ac:dyDescent="0.25">
      <c r="A127" t="str">
        <f>IF(FuelPrices_!AK132="","",FuelPrices_!AK132)</f>
        <v>NG</v>
      </c>
      <c r="B127" t="str">
        <f>IF(FuelPrices_!AL132="","",FuelPrices_!AL132)</f>
        <v>Average</v>
      </c>
      <c r="C127">
        <f>IF(FuelPrices_!AM132="","",FuelPrices_!AM132)</f>
        <v>2041</v>
      </c>
      <c r="D127">
        <f>IF(FuelPrices_!AN132="","",FuelPrices_!AN132)</f>
        <v>1.7747440273037544E-2</v>
      </c>
      <c r="E127">
        <f>IFERROR(VLOOKUP(A127,FuelPrices_!$B$49:$G$53,6,FALSE),"")</f>
        <v>3.8700000000000005E-2</v>
      </c>
      <c r="F127">
        <f>IFERROR(VLOOKUP(A127,FuelPrices_!$B$61:$G$65,6,FALSE),"")</f>
        <v>4.1269841269841276E-2</v>
      </c>
      <c r="G127">
        <f t="shared" si="1"/>
        <v>9.7717281542878828E-2</v>
      </c>
      <c r="I127">
        <f t="shared" si="2"/>
        <v>1.5390471843003415</v>
      </c>
    </row>
    <row r="128" spans="1:9" x14ac:dyDescent="0.25">
      <c r="A128" t="str">
        <f>IF(FuelPrices_!AK133="","",FuelPrices_!AK133)</f>
        <v>NG</v>
      </c>
      <c r="B128" t="str">
        <f>IF(FuelPrices_!AL133="","",FuelPrices_!AL133)</f>
        <v>Average</v>
      </c>
      <c r="C128">
        <f>IF(FuelPrices_!AM133="","",FuelPrices_!AM133)</f>
        <v>2042</v>
      </c>
      <c r="D128">
        <f>IF(FuelPrices_!AN133="","",FuelPrices_!AN133)</f>
        <v>1.7747440273037544E-2</v>
      </c>
      <c r="E128">
        <f>IFERROR(VLOOKUP(A128,FuelPrices_!$B$49:$G$53,6,FALSE),"")</f>
        <v>3.8700000000000005E-2</v>
      </c>
      <c r="F128">
        <f>IFERROR(VLOOKUP(A128,FuelPrices_!$B$61:$G$65,6,FALSE),"")</f>
        <v>4.1269841269841276E-2</v>
      </c>
      <c r="G128">
        <f t="shared" si="1"/>
        <v>9.7717281542878828E-2</v>
      </c>
      <c r="I128">
        <f t="shared" si="2"/>
        <v>1.5390471843003415</v>
      </c>
    </row>
    <row r="129" spans="1:9" x14ac:dyDescent="0.25">
      <c r="A129" t="str">
        <f>IF(FuelPrices_!AK134="","",FuelPrices_!AK134)</f>
        <v>NG</v>
      </c>
      <c r="B129" t="str">
        <f>IF(FuelPrices_!AL134="","",FuelPrices_!AL134)</f>
        <v>Average</v>
      </c>
      <c r="C129">
        <f>IF(FuelPrices_!AM134="","",FuelPrices_!AM134)</f>
        <v>2043</v>
      </c>
      <c r="D129">
        <f>IF(FuelPrices_!AN134="","",FuelPrices_!AN134)</f>
        <v>1.7747440273037544E-2</v>
      </c>
      <c r="E129">
        <f>IFERROR(VLOOKUP(A129,FuelPrices_!$B$49:$G$53,6,FALSE),"")</f>
        <v>3.8700000000000005E-2</v>
      </c>
      <c r="F129">
        <f>IFERROR(VLOOKUP(A129,FuelPrices_!$B$61:$G$65,6,FALSE),"")</f>
        <v>4.1269841269841276E-2</v>
      </c>
      <c r="G129">
        <f t="shared" si="1"/>
        <v>9.7717281542878828E-2</v>
      </c>
      <c r="I129">
        <f t="shared" si="2"/>
        <v>1.5390471843003415</v>
      </c>
    </row>
    <row r="130" spans="1:9" x14ac:dyDescent="0.25">
      <c r="A130" t="str">
        <f>IF(FuelPrices_!AK135="","",FuelPrices_!AK135)</f>
        <v>NG</v>
      </c>
      <c r="B130" t="str">
        <f>IF(FuelPrices_!AL135="","",FuelPrices_!AL135)</f>
        <v>Average</v>
      </c>
      <c r="C130">
        <f>IF(FuelPrices_!AM135="","",FuelPrices_!AM135)</f>
        <v>2044</v>
      </c>
      <c r="D130">
        <f>IF(FuelPrices_!AN135="","",FuelPrices_!AN135)</f>
        <v>1.7747440273037544E-2</v>
      </c>
      <c r="E130">
        <f>IFERROR(VLOOKUP(A130,FuelPrices_!$B$49:$G$53,6,FALSE),"")</f>
        <v>3.8700000000000005E-2</v>
      </c>
      <c r="F130">
        <f>IFERROR(VLOOKUP(A130,FuelPrices_!$B$61:$G$65,6,FALSE),"")</f>
        <v>4.1269841269841276E-2</v>
      </c>
      <c r="G130">
        <f t="shared" si="1"/>
        <v>9.7717281542878828E-2</v>
      </c>
      <c r="I130">
        <f t="shared" si="2"/>
        <v>1.5390471843003415</v>
      </c>
    </row>
    <row r="131" spans="1:9" x14ac:dyDescent="0.25">
      <c r="A131" t="str">
        <f>IF(FuelPrices_!AK136="","",FuelPrices_!AK136)</f>
        <v>NG</v>
      </c>
      <c r="B131" t="str">
        <f>IF(FuelPrices_!AL136="","",FuelPrices_!AL136)</f>
        <v>Average</v>
      </c>
      <c r="C131">
        <f>IF(FuelPrices_!AM136="","",FuelPrices_!AM136)</f>
        <v>2045</v>
      </c>
      <c r="D131">
        <f>IF(FuelPrices_!AN136="","",FuelPrices_!AN136)</f>
        <v>1.7747440273037544E-2</v>
      </c>
      <c r="E131">
        <f>IFERROR(VLOOKUP(A131,FuelPrices_!$B$49:$G$53,6,FALSE),"")</f>
        <v>3.8700000000000005E-2</v>
      </c>
      <c r="F131">
        <f>IFERROR(VLOOKUP(A131,FuelPrices_!$B$61:$G$65,6,FALSE),"")</f>
        <v>4.1269841269841276E-2</v>
      </c>
      <c r="G131">
        <f t="shared" ref="G131:G194" si="3">IFERROR(D131+E131+F131,"")</f>
        <v>9.7717281542878828E-2</v>
      </c>
      <c r="I131">
        <f t="shared" si="2"/>
        <v>1.5390471843003415</v>
      </c>
    </row>
    <row r="132" spans="1:9" x14ac:dyDescent="0.25">
      <c r="A132" t="str">
        <f>IF(FuelPrices_!AK137="","",FuelPrices_!AK137)</f>
        <v>NG</v>
      </c>
      <c r="B132" t="str">
        <f>IF(FuelPrices_!AL137="","",FuelPrices_!AL137)</f>
        <v>Average</v>
      </c>
      <c r="C132">
        <f>IF(FuelPrices_!AM137="","",FuelPrices_!AM137)</f>
        <v>2046</v>
      </c>
      <c r="D132">
        <f>IF(FuelPrices_!AN137="","",FuelPrices_!AN137)</f>
        <v>1.7747440273037544E-2</v>
      </c>
      <c r="E132">
        <f>IFERROR(VLOOKUP(A132,FuelPrices_!$B$49:$G$53,6,FALSE),"")</f>
        <v>3.8700000000000005E-2</v>
      </c>
      <c r="F132">
        <f>IFERROR(VLOOKUP(A132,FuelPrices_!$B$61:$G$65,6,FALSE),"")</f>
        <v>4.1269841269841276E-2</v>
      </c>
      <c r="G132">
        <f t="shared" si="3"/>
        <v>9.7717281542878828E-2</v>
      </c>
      <c r="I132">
        <f>G132*15.75</f>
        <v>1.5390471843003415</v>
      </c>
    </row>
    <row r="133" spans="1:9" x14ac:dyDescent="0.25">
      <c r="A133" t="str">
        <f>IF(FuelPrices_!AK138="","",FuelPrices_!AK138)</f>
        <v>NG</v>
      </c>
      <c r="B133" t="str">
        <f>IF(FuelPrices_!AL138="","",FuelPrices_!AL138)</f>
        <v>Average</v>
      </c>
      <c r="C133">
        <f>IF(FuelPrices_!AM138="","",FuelPrices_!AM138)</f>
        <v>2047</v>
      </c>
      <c r="D133">
        <f>IF(FuelPrices_!AN138="","",FuelPrices_!AN138)</f>
        <v>1.7747440273037544E-2</v>
      </c>
      <c r="E133">
        <f>IFERROR(VLOOKUP(A133,FuelPrices_!$B$49:$G$53,6,FALSE),"")</f>
        <v>3.8700000000000005E-2</v>
      </c>
      <c r="F133">
        <f>IFERROR(VLOOKUP(A133,FuelPrices_!$B$61:$G$65,6,FALSE),"")</f>
        <v>4.1269841269841276E-2</v>
      </c>
      <c r="G133">
        <f t="shared" si="3"/>
        <v>9.7717281542878828E-2</v>
      </c>
      <c r="I133">
        <f t="shared" si="2"/>
        <v>1.5390471843003415</v>
      </c>
    </row>
    <row r="134" spans="1:9" x14ac:dyDescent="0.25">
      <c r="A134" t="str">
        <f>IF(FuelPrices_!AK139="","",FuelPrices_!AK139)</f>
        <v>NG</v>
      </c>
      <c r="B134" t="str">
        <f>IF(FuelPrices_!AL139="","",FuelPrices_!AL139)</f>
        <v>Average</v>
      </c>
      <c r="C134">
        <f>IF(FuelPrices_!AM139="","",FuelPrices_!AM139)</f>
        <v>2048</v>
      </c>
      <c r="D134">
        <f>IF(FuelPrices_!AN139="","",FuelPrices_!AN139)</f>
        <v>1.7747440273037544E-2</v>
      </c>
      <c r="E134">
        <f>IFERROR(VLOOKUP(A134,FuelPrices_!$B$49:$G$53,6,FALSE),"")</f>
        <v>3.8700000000000005E-2</v>
      </c>
      <c r="F134">
        <f>IFERROR(VLOOKUP(A134,FuelPrices_!$B$61:$G$65,6,FALSE),"")</f>
        <v>4.1269841269841276E-2</v>
      </c>
      <c r="G134">
        <f t="shared" si="3"/>
        <v>9.7717281542878828E-2</v>
      </c>
      <c r="I134">
        <f t="shared" si="2"/>
        <v>1.5390471843003415</v>
      </c>
    </row>
    <row r="135" spans="1:9" x14ac:dyDescent="0.25">
      <c r="A135" t="str">
        <f>IF(FuelPrices_!AK140="","",FuelPrices_!AK140)</f>
        <v>NG</v>
      </c>
      <c r="B135" t="str">
        <f>IF(FuelPrices_!AL140="","",FuelPrices_!AL140)</f>
        <v>Average</v>
      </c>
      <c r="C135">
        <f>IF(FuelPrices_!AM140="","",FuelPrices_!AM140)</f>
        <v>2049</v>
      </c>
      <c r="D135">
        <f>IF(FuelPrices_!AN140="","",FuelPrices_!AN140)</f>
        <v>1.7747440273037544E-2</v>
      </c>
      <c r="E135">
        <f>IFERROR(VLOOKUP(A135,FuelPrices_!$B$49:$G$53,6,FALSE),"")</f>
        <v>3.8700000000000005E-2</v>
      </c>
      <c r="F135">
        <f>IFERROR(VLOOKUP(A135,FuelPrices_!$B$61:$G$65,6,FALSE),"")</f>
        <v>4.1269841269841276E-2</v>
      </c>
      <c r="G135">
        <f t="shared" si="3"/>
        <v>9.7717281542878828E-2</v>
      </c>
      <c r="I135">
        <f t="shared" si="2"/>
        <v>1.5390471843003415</v>
      </c>
    </row>
    <row r="136" spans="1:9" x14ac:dyDescent="0.25">
      <c r="A136" t="str">
        <f>IF(FuelPrices_!AK141="","",FuelPrices_!AK141)</f>
        <v>NG</v>
      </c>
      <c r="B136" t="str">
        <f>IF(FuelPrices_!AL141="","",FuelPrices_!AL141)</f>
        <v>Average</v>
      </c>
      <c r="C136">
        <f>IF(FuelPrices_!AM141="","",FuelPrices_!AM141)</f>
        <v>2050</v>
      </c>
      <c r="D136">
        <f>IF(FuelPrices_!AN141="","",FuelPrices_!AN141)</f>
        <v>1.7747440273037544E-2</v>
      </c>
      <c r="E136">
        <f>IFERROR(VLOOKUP(A136,FuelPrices_!$B$49:$G$53,6,FALSE),"")</f>
        <v>3.8700000000000005E-2</v>
      </c>
      <c r="F136">
        <f>IFERROR(VLOOKUP(A136,FuelPrices_!$B$61:$G$65,6,FALSE),"")</f>
        <v>4.1269841269841276E-2</v>
      </c>
      <c r="G136">
        <f t="shared" si="3"/>
        <v>9.7717281542878828E-2</v>
      </c>
      <c r="I136">
        <f t="shared" si="2"/>
        <v>1.5390471843003415</v>
      </c>
    </row>
    <row r="137" spans="1:9" x14ac:dyDescent="0.25">
      <c r="A137" t="str">
        <f>IF(FuelPrices_!AK142="","",FuelPrices_!AK142)</f>
        <v>NG</v>
      </c>
      <c r="B137" t="str">
        <f>IF(FuelPrices_!AL142="","",FuelPrices_!AL142)</f>
        <v>Low</v>
      </c>
      <c r="C137">
        <f>IF(FuelPrices_!AM142="","",FuelPrices_!AM142)</f>
        <v>2024</v>
      </c>
      <c r="D137">
        <f>IF(FuelPrices_!AN142="","",FuelPrices_!AN142)</f>
        <v>4.1296928327645047E-2</v>
      </c>
      <c r="E137">
        <f>IFERROR(VLOOKUP(A137,FuelPrices_!$B$49:$G$53,6,FALSE),"")</f>
        <v>3.8700000000000005E-2</v>
      </c>
      <c r="F137">
        <f>IFERROR(VLOOKUP(A137,FuelPrices_!$B$61:$G$65,6,FALSE),"")</f>
        <v>4.1269841269841276E-2</v>
      </c>
      <c r="G137">
        <f t="shared" si="3"/>
        <v>0.12126676959748632</v>
      </c>
      <c r="I137">
        <f t="shared" si="2"/>
        <v>1.9099516211604095</v>
      </c>
    </row>
    <row r="138" spans="1:9" x14ac:dyDescent="0.25">
      <c r="A138" t="str">
        <f>IF(FuelPrices_!AK143="","",FuelPrices_!AK143)</f>
        <v>NG</v>
      </c>
      <c r="B138" t="str">
        <f>IF(FuelPrices_!AL143="","",FuelPrices_!AL143)</f>
        <v>Low</v>
      </c>
      <c r="C138">
        <f>IF(FuelPrices_!AM143="","",FuelPrices_!AM143)</f>
        <v>2025</v>
      </c>
      <c r="D138">
        <f>IF(FuelPrices_!AN143="","",FuelPrices_!AN143)</f>
        <v>3.6916951080773606E-2</v>
      </c>
      <c r="E138">
        <f>IFERROR(VLOOKUP(A138,FuelPrices_!$B$49:$G$53,6,FALSE),"")</f>
        <v>3.8700000000000005E-2</v>
      </c>
      <c r="F138">
        <f>IFERROR(VLOOKUP(A138,FuelPrices_!$B$61:$G$65,6,FALSE),"")</f>
        <v>4.1269841269841276E-2</v>
      </c>
      <c r="G138">
        <f t="shared" si="3"/>
        <v>0.11688679235061489</v>
      </c>
      <c r="I138">
        <f t="shared" si="2"/>
        <v>1.8409669795221846</v>
      </c>
    </row>
    <row r="139" spans="1:9" x14ac:dyDescent="0.25">
      <c r="A139" t="str">
        <f>IF(FuelPrices_!AK144="","",FuelPrices_!AK144)</f>
        <v>NG</v>
      </c>
      <c r="B139" t="str">
        <f>IF(FuelPrices_!AL144="","",FuelPrices_!AL144)</f>
        <v>Low</v>
      </c>
      <c r="C139">
        <f>IF(FuelPrices_!AM144="","",FuelPrices_!AM144)</f>
        <v>2026</v>
      </c>
      <c r="D139">
        <f>IF(FuelPrices_!AN144="","",FuelPrices_!AN144)</f>
        <v>3.2536973833902159E-2</v>
      </c>
      <c r="E139">
        <f>IFERROR(VLOOKUP(A139,FuelPrices_!$B$49:$G$53,6,FALSE),"")</f>
        <v>3.8700000000000005E-2</v>
      </c>
      <c r="F139">
        <f>IFERROR(VLOOKUP(A139,FuelPrices_!$B$61:$G$65,6,FALSE),"")</f>
        <v>4.1269841269841276E-2</v>
      </c>
      <c r="G139">
        <f t="shared" si="3"/>
        <v>0.11250681510374344</v>
      </c>
      <c r="I139">
        <f t="shared" si="2"/>
        <v>1.7719823378839592</v>
      </c>
    </row>
    <row r="140" spans="1:9" x14ac:dyDescent="0.25">
      <c r="A140" t="str">
        <f>IF(FuelPrices_!AK145="","",FuelPrices_!AK145)</f>
        <v>NG</v>
      </c>
      <c r="B140" t="str">
        <f>IF(FuelPrices_!AL145="","",FuelPrices_!AL145)</f>
        <v>Low</v>
      </c>
      <c r="C140">
        <f>IF(FuelPrices_!AM145="","",FuelPrices_!AM145)</f>
        <v>2027</v>
      </c>
      <c r="D140">
        <f>IF(FuelPrices_!AN145="","",FuelPrices_!AN145)</f>
        <v>2.8156996587030716E-2</v>
      </c>
      <c r="E140">
        <f>IFERROR(VLOOKUP(A140,FuelPrices_!$B$49:$G$53,6,FALSE),"")</f>
        <v>3.8700000000000005E-2</v>
      </c>
      <c r="F140">
        <f>IFERROR(VLOOKUP(A140,FuelPrices_!$B$61:$G$65,6,FALSE),"")</f>
        <v>4.1269841269841276E-2</v>
      </c>
      <c r="G140">
        <f t="shared" si="3"/>
        <v>0.10812683785687199</v>
      </c>
      <c r="I140">
        <f t="shared" si="2"/>
        <v>1.7029976962457338</v>
      </c>
    </row>
    <row r="141" spans="1:9" x14ac:dyDescent="0.25">
      <c r="A141" t="str">
        <f>IF(FuelPrices_!AK146="","",FuelPrices_!AK146)</f>
        <v>NG</v>
      </c>
      <c r="B141" t="str">
        <f>IF(FuelPrices_!AL146="","",FuelPrices_!AL146)</f>
        <v>Low</v>
      </c>
      <c r="C141">
        <f>IF(FuelPrices_!AM146="","",FuelPrices_!AM146)</f>
        <v>2028</v>
      </c>
      <c r="D141">
        <f>IF(FuelPrices_!AN146="","",FuelPrices_!AN146)</f>
        <v>2.3777019340159272E-2</v>
      </c>
      <c r="E141">
        <f>IFERROR(VLOOKUP(A141,FuelPrices_!$B$49:$G$53,6,FALSE),"")</f>
        <v>3.8700000000000005E-2</v>
      </c>
      <c r="F141">
        <f>IFERROR(VLOOKUP(A141,FuelPrices_!$B$61:$G$65,6,FALSE),"")</f>
        <v>4.1269841269841276E-2</v>
      </c>
      <c r="G141">
        <f t="shared" si="3"/>
        <v>0.10374686061000055</v>
      </c>
      <c r="I141">
        <f t="shared" si="2"/>
        <v>1.6340130546075087</v>
      </c>
    </row>
    <row r="142" spans="1:9" x14ac:dyDescent="0.25">
      <c r="A142" t="str">
        <f>IF(FuelPrices_!AK147="","",FuelPrices_!AK147)</f>
        <v>NG</v>
      </c>
      <c r="B142" t="str">
        <f>IF(FuelPrices_!AL147="","",FuelPrices_!AL147)</f>
        <v>Low</v>
      </c>
      <c r="C142">
        <f>IF(FuelPrices_!AM147="","",FuelPrices_!AM147)</f>
        <v>2029</v>
      </c>
      <c r="D142">
        <f>IF(FuelPrices_!AN147="","",FuelPrices_!AN147)</f>
        <v>1.9397042093287829E-2</v>
      </c>
      <c r="E142">
        <f>IFERROR(VLOOKUP(A142,FuelPrices_!$B$49:$G$53,6,FALSE),"")</f>
        <v>3.8700000000000005E-2</v>
      </c>
      <c r="F142">
        <f>IFERROR(VLOOKUP(A142,FuelPrices_!$B$61:$G$65,6,FALSE),"")</f>
        <v>4.1269841269841276E-2</v>
      </c>
      <c r="G142">
        <f t="shared" si="3"/>
        <v>9.9366883363129113E-2</v>
      </c>
      <c r="I142">
        <f t="shared" si="2"/>
        <v>1.5650284129692835</v>
      </c>
    </row>
    <row r="143" spans="1:9" x14ac:dyDescent="0.25">
      <c r="A143" t="str">
        <f>IF(FuelPrices_!AK148="","",FuelPrices_!AK148)</f>
        <v>NG</v>
      </c>
      <c r="B143" t="str">
        <f>IF(FuelPrices_!AL148="","",FuelPrices_!AL148)</f>
        <v>Low</v>
      </c>
      <c r="C143">
        <f>IF(FuelPrices_!AM148="","",FuelPrices_!AM148)</f>
        <v>2030</v>
      </c>
      <c r="D143">
        <f>IF(FuelPrices_!AN148="","",FuelPrices_!AN148)</f>
        <v>1.5017064846416383E-2</v>
      </c>
      <c r="E143">
        <f>IFERROR(VLOOKUP(A143,FuelPrices_!$B$49:$G$53,6,FALSE),"")</f>
        <v>3.8700000000000005E-2</v>
      </c>
      <c r="F143">
        <f>IFERROR(VLOOKUP(A143,FuelPrices_!$B$61:$G$65,6,FALSE),"")</f>
        <v>4.1269841269841276E-2</v>
      </c>
      <c r="G143">
        <f t="shared" si="3"/>
        <v>9.4986906116257666E-2</v>
      </c>
      <c r="I143">
        <f t="shared" si="2"/>
        <v>1.4960437713310581</v>
      </c>
    </row>
    <row r="144" spans="1:9" x14ac:dyDescent="0.25">
      <c r="A144" t="str">
        <f>IF(FuelPrices_!AK149="","",FuelPrices_!AK149)</f>
        <v>NG</v>
      </c>
      <c r="B144" t="str">
        <f>IF(FuelPrices_!AL149="","",FuelPrices_!AL149)</f>
        <v>Low</v>
      </c>
      <c r="C144">
        <f>IF(FuelPrices_!AM149="","",FuelPrices_!AM149)</f>
        <v>2031</v>
      </c>
      <c r="D144">
        <f>IF(FuelPrices_!AN149="","",FuelPrices_!AN149)</f>
        <v>1.5017064846416383E-2</v>
      </c>
      <c r="E144">
        <f>IFERROR(VLOOKUP(A144,FuelPrices_!$B$49:$G$53,6,FALSE),"")</f>
        <v>3.8700000000000005E-2</v>
      </c>
      <c r="F144">
        <f>IFERROR(VLOOKUP(A144,FuelPrices_!$B$61:$G$65,6,FALSE),"")</f>
        <v>4.1269841269841276E-2</v>
      </c>
      <c r="G144">
        <f t="shared" si="3"/>
        <v>9.4986906116257666E-2</v>
      </c>
      <c r="I144">
        <f t="shared" si="2"/>
        <v>1.4960437713310581</v>
      </c>
    </row>
    <row r="145" spans="1:9" x14ac:dyDescent="0.25">
      <c r="A145" t="str">
        <f>IF(FuelPrices_!AK150="","",FuelPrices_!AK150)</f>
        <v>NG</v>
      </c>
      <c r="B145" t="str">
        <f>IF(FuelPrices_!AL150="","",FuelPrices_!AL150)</f>
        <v>Low</v>
      </c>
      <c r="C145">
        <f>IF(FuelPrices_!AM150="","",FuelPrices_!AM150)</f>
        <v>2032</v>
      </c>
      <c r="D145">
        <f>IF(FuelPrices_!AN150="","",FuelPrices_!AN150)</f>
        <v>1.4914675767918089E-2</v>
      </c>
      <c r="E145">
        <f>IFERROR(VLOOKUP(A145,FuelPrices_!$B$49:$G$53,6,FALSE),"")</f>
        <v>3.8700000000000005E-2</v>
      </c>
      <c r="F145">
        <f>IFERROR(VLOOKUP(A145,FuelPrices_!$B$61:$G$65,6,FALSE),"")</f>
        <v>4.1269841269841276E-2</v>
      </c>
      <c r="G145">
        <f t="shared" si="3"/>
        <v>9.4884517037759367E-2</v>
      </c>
      <c r="I145">
        <f t="shared" si="2"/>
        <v>1.4944311433447099</v>
      </c>
    </row>
    <row r="146" spans="1:9" x14ac:dyDescent="0.25">
      <c r="A146" t="str">
        <f>IF(FuelPrices_!AK151="","",FuelPrices_!AK151)</f>
        <v>NG</v>
      </c>
      <c r="B146" t="str">
        <f>IF(FuelPrices_!AL151="","",FuelPrices_!AL151)</f>
        <v>Low</v>
      </c>
      <c r="C146">
        <f>IF(FuelPrices_!AM151="","",FuelPrices_!AM151)</f>
        <v>2033</v>
      </c>
      <c r="D146">
        <f>IF(FuelPrices_!AN151="","",FuelPrices_!AN151)</f>
        <v>1.4812286689419795E-2</v>
      </c>
      <c r="E146">
        <f>IFERROR(VLOOKUP(A146,FuelPrices_!$B$49:$G$53,6,FALSE),"")</f>
        <v>3.8700000000000005E-2</v>
      </c>
      <c r="F146">
        <f>IFERROR(VLOOKUP(A146,FuelPrices_!$B$61:$G$65,6,FALSE),"")</f>
        <v>4.1269841269841276E-2</v>
      </c>
      <c r="G146">
        <f t="shared" si="3"/>
        <v>9.4782127959261081E-2</v>
      </c>
      <c r="I146">
        <f t="shared" si="2"/>
        <v>1.492818515358362</v>
      </c>
    </row>
    <row r="147" spans="1:9" x14ac:dyDescent="0.25">
      <c r="A147" t="str">
        <f>IF(FuelPrices_!AK152="","",FuelPrices_!AK152)</f>
        <v>NG</v>
      </c>
      <c r="B147" t="str">
        <f>IF(FuelPrices_!AL152="","",FuelPrices_!AL152)</f>
        <v>Low</v>
      </c>
      <c r="C147">
        <f>IF(FuelPrices_!AM152="","",FuelPrices_!AM152)</f>
        <v>2034</v>
      </c>
      <c r="D147">
        <f>IF(FuelPrices_!AN152="","",FuelPrices_!AN152)</f>
        <v>1.4709897610921504E-2</v>
      </c>
      <c r="E147">
        <f>IFERROR(VLOOKUP(A147,FuelPrices_!$B$49:$G$53,6,FALSE),"")</f>
        <v>3.8700000000000005E-2</v>
      </c>
      <c r="F147">
        <f>IFERROR(VLOOKUP(A147,FuelPrices_!$B$61:$G$65,6,FALSE),"")</f>
        <v>4.1269841269841276E-2</v>
      </c>
      <c r="G147">
        <f t="shared" si="3"/>
        <v>9.4679738880762782E-2</v>
      </c>
      <c r="I147">
        <f t="shared" si="2"/>
        <v>1.4912058873720138</v>
      </c>
    </row>
    <row r="148" spans="1:9" x14ac:dyDescent="0.25">
      <c r="A148" t="str">
        <f>IF(FuelPrices_!AK153="","",FuelPrices_!AK153)</f>
        <v>NG</v>
      </c>
      <c r="B148" t="str">
        <f>IF(FuelPrices_!AL153="","",FuelPrices_!AL153)</f>
        <v>Low</v>
      </c>
      <c r="C148">
        <f>IF(FuelPrices_!AM153="","",FuelPrices_!AM153)</f>
        <v>2035</v>
      </c>
      <c r="D148">
        <f>IF(FuelPrices_!AN153="","",FuelPrices_!AN153)</f>
        <v>1.460750853242321E-2</v>
      </c>
      <c r="E148">
        <f>IFERROR(VLOOKUP(A148,FuelPrices_!$B$49:$G$53,6,FALSE),"")</f>
        <v>3.8700000000000005E-2</v>
      </c>
      <c r="F148">
        <f>IFERROR(VLOOKUP(A148,FuelPrices_!$B$61:$G$65,6,FALSE),"")</f>
        <v>4.1269841269841276E-2</v>
      </c>
      <c r="G148">
        <f t="shared" si="3"/>
        <v>9.4577349802264482E-2</v>
      </c>
      <c r="I148">
        <f t="shared" si="2"/>
        <v>1.4895932593856656</v>
      </c>
    </row>
    <row r="149" spans="1:9" x14ac:dyDescent="0.25">
      <c r="A149" t="str">
        <f>IF(FuelPrices_!AK154="","",FuelPrices_!AK154)</f>
        <v>NG</v>
      </c>
      <c r="B149" t="str">
        <f>IF(FuelPrices_!AL154="","",FuelPrices_!AL154)</f>
        <v>Low</v>
      </c>
      <c r="C149">
        <f>IF(FuelPrices_!AM154="","",FuelPrices_!AM154)</f>
        <v>2036</v>
      </c>
      <c r="D149">
        <f>IF(FuelPrices_!AN154="","",FuelPrices_!AN154)</f>
        <v>1.4505119453924915E-2</v>
      </c>
      <c r="E149">
        <f>IFERROR(VLOOKUP(A149,FuelPrices_!$B$49:$G$53,6,FALSE),"")</f>
        <v>3.8700000000000005E-2</v>
      </c>
      <c r="F149">
        <f>IFERROR(VLOOKUP(A149,FuelPrices_!$B$61:$G$65,6,FALSE),"")</f>
        <v>4.1269841269841276E-2</v>
      </c>
      <c r="G149">
        <f t="shared" si="3"/>
        <v>9.4474960723766196E-2</v>
      </c>
      <c r="I149">
        <f t="shared" ref="I149" si="4">G149*15.75</f>
        <v>1.4879806313993176</v>
      </c>
    </row>
    <row r="150" spans="1:9" x14ac:dyDescent="0.25">
      <c r="A150" t="str">
        <f>IF(FuelPrices_!AK155="","",FuelPrices_!AK155)</f>
        <v>NG</v>
      </c>
      <c r="B150" t="str">
        <f>IF(FuelPrices_!AL155="","",FuelPrices_!AL155)</f>
        <v>Low</v>
      </c>
      <c r="C150">
        <f>IF(FuelPrices_!AM155="","",FuelPrices_!AM155)</f>
        <v>2037</v>
      </c>
      <c r="D150">
        <f>IF(FuelPrices_!AN155="","",FuelPrices_!AN155)</f>
        <v>1.4402730375426621E-2</v>
      </c>
      <c r="E150">
        <f>IFERROR(VLOOKUP(A150,FuelPrices_!$B$49:$G$53,6,FALSE),"")</f>
        <v>3.8700000000000005E-2</v>
      </c>
      <c r="F150">
        <f>IFERROR(VLOOKUP(A150,FuelPrices_!$B$61:$G$65,6,FALSE),"")</f>
        <v>4.1269841269841276E-2</v>
      </c>
      <c r="G150">
        <f t="shared" si="3"/>
        <v>9.4372571645267911E-2</v>
      </c>
      <c r="I150">
        <f>G150*15.75</f>
        <v>1.4863680034129696</v>
      </c>
    </row>
    <row r="151" spans="1:9" x14ac:dyDescent="0.25">
      <c r="A151" t="str">
        <f>IF(FuelPrices_!AK156="","",FuelPrices_!AK156)</f>
        <v>NG</v>
      </c>
      <c r="B151" t="str">
        <f>IF(FuelPrices_!AL156="","",FuelPrices_!AL156)</f>
        <v>Low</v>
      </c>
      <c r="C151">
        <f>IF(FuelPrices_!AM156="","",FuelPrices_!AM156)</f>
        <v>2038</v>
      </c>
      <c r="D151">
        <f>IF(FuelPrices_!AN156="","",FuelPrices_!AN156)</f>
        <v>1.4300341296928327E-2</v>
      </c>
      <c r="E151">
        <f>IFERROR(VLOOKUP(A151,FuelPrices_!$B$49:$G$53,6,FALSE),"")</f>
        <v>3.8700000000000005E-2</v>
      </c>
      <c r="F151">
        <f>IFERROR(VLOOKUP(A151,FuelPrices_!$B$61:$G$65,6,FALSE),"")</f>
        <v>4.1269841269841276E-2</v>
      </c>
      <c r="G151">
        <f t="shared" si="3"/>
        <v>9.4270182566769611E-2</v>
      </c>
      <c r="I151">
        <f>G151*15.75</f>
        <v>1.4847553754266214</v>
      </c>
    </row>
    <row r="152" spans="1:9" x14ac:dyDescent="0.25">
      <c r="A152" t="str">
        <f>IF(FuelPrices_!AK157="","",FuelPrices_!AK157)</f>
        <v>NG</v>
      </c>
      <c r="B152" t="str">
        <f>IF(FuelPrices_!AL157="","",FuelPrices_!AL157)</f>
        <v>Low</v>
      </c>
      <c r="C152">
        <f>IF(FuelPrices_!AM157="","",FuelPrices_!AM157)</f>
        <v>2039</v>
      </c>
      <c r="D152">
        <f>IF(FuelPrices_!AN157="","",FuelPrices_!AN157)</f>
        <v>1.4197952218430034E-2</v>
      </c>
      <c r="E152">
        <f>IFERROR(VLOOKUP(A152,FuelPrices_!$B$49:$G$53,6,FALSE),"")</f>
        <v>3.8700000000000005E-2</v>
      </c>
      <c r="F152">
        <f>IFERROR(VLOOKUP(A152,FuelPrices_!$B$61:$G$65,6,FALSE),"")</f>
        <v>4.1269841269841276E-2</v>
      </c>
      <c r="G152">
        <f t="shared" si="3"/>
        <v>9.4167793488271312E-2</v>
      </c>
      <c r="I152">
        <f t="shared" ref="I152:I163" si="5">G152*15.75</f>
        <v>1.4831427474402732</v>
      </c>
    </row>
    <row r="153" spans="1:9" x14ac:dyDescent="0.25">
      <c r="A153" t="str">
        <f>IF(FuelPrices_!AK158="","",FuelPrices_!AK158)</f>
        <v>NG</v>
      </c>
      <c r="B153" t="str">
        <f>IF(FuelPrices_!AL158="","",FuelPrices_!AL158)</f>
        <v>Low</v>
      </c>
      <c r="C153">
        <f>IF(FuelPrices_!AM158="","",FuelPrices_!AM158)</f>
        <v>2040</v>
      </c>
      <c r="D153">
        <f>IF(FuelPrices_!AN158="","",FuelPrices_!AN158)</f>
        <v>1.3993174061433446E-2</v>
      </c>
      <c r="E153">
        <f>IFERROR(VLOOKUP(A153,FuelPrices_!$B$49:$G$53,6,FALSE),"")</f>
        <v>3.8700000000000005E-2</v>
      </c>
      <c r="F153">
        <f>IFERROR(VLOOKUP(A153,FuelPrices_!$B$61:$G$65,6,FALSE),"")</f>
        <v>4.1269841269841276E-2</v>
      </c>
      <c r="G153">
        <f t="shared" si="3"/>
        <v>9.3963015331274727E-2</v>
      </c>
      <c r="I153">
        <f t="shared" si="5"/>
        <v>1.479917491467577</v>
      </c>
    </row>
    <row r="154" spans="1:9" x14ac:dyDescent="0.25">
      <c r="A154" t="str">
        <f>IF(FuelPrices_!AK159="","",FuelPrices_!AK159)</f>
        <v>NG</v>
      </c>
      <c r="B154" t="str">
        <f>IF(FuelPrices_!AL159="","",FuelPrices_!AL159)</f>
        <v>Low</v>
      </c>
      <c r="C154">
        <f>IF(FuelPrices_!AM159="","",FuelPrices_!AM159)</f>
        <v>2041</v>
      </c>
      <c r="D154">
        <f>IF(FuelPrices_!AN159="","",FuelPrices_!AN159)</f>
        <v>1.3993174061433446E-2</v>
      </c>
      <c r="E154">
        <f>IFERROR(VLOOKUP(A154,FuelPrices_!$B$49:$G$53,6,FALSE),"")</f>
        <v>3.8700000000000005E-2</v>
      </c>
      <c r="F154">
        <f>IFERROR(VLOOKUP(A154,FuelPrices_!$B$61:$G$65,6,FALSE),"")</f>
        <v>4.1269841269841276E-2</v>
      </c>
      <c r="G154">
        <f t="shared" si="3"/>
        <v>9.3963015331274727E-2</v>
      </c>
      <c r="I154">
        <f t="shared" si="5"/>
        <v>1.479917491467577</v>
      </c>
    </row>
    <row r="155" spans="1:9" x14ac:dyDescent="0.25">
      <c r="A155" t="str">
        <f>IF(FuelPrices_!AK160="","",FuelPrices_!AK160)</f>
        <v>NG</v>
      </c>
      <c r="B155" t="str">
        <f>IF(FuelPrices_!AL160="","",FuelPrices_!AL160)</f>
        <v>Low</v>
      </c>
      <c r="C155">
        <f>IF(FuelPrices_!AM160="","",FuelPrices_!AM160)</f>
        <v>2042</v>
      </c>
      <c r="D155">
        <f>IF(FuelPrices_!AN160="","",FuelPrices_!AN160)</f>
        <v>1.3959044368600682E-2</v>
      </c>
      <c r="E155">
        <f>IFERROR(VLOOKUP(A155,FuelPrices_!$B$49:$G$53,6,FALSE),"")</f>
        <v>3.8700000000000005E-2</v>
      </c>
      <c r="F155">
        <f>IFERROR(VLOOKUP(A155,FuelPrices_!$B$61:$G$65,6,FALSE),"")</f>
        <v>4.1269841269841276E-2</v>
      </c>
      <c r="G155">
        <f t="shared" si="3"/>
        <v>9.3928885638441956E-2</v>
      </c>
      <c r="I155">
        <f t="shared" si="5"/>
        <v>1.4793799488054609</v>
      </c>
    </row>
    <row r="156" spans="1:9" x14ac:dyDescent="0.25">
      <c r="A156" t="str">
        <f>IF(FuelPrices_!AK161="","",FuelPrices_!AK161)</f>
        <v>NG</v>
      </c>
      <c r="B156" t="str">
        <f>IF(FuelPrices_!AL161="","",FuelPrices_!AL161)</f>
        <v>Low</v>
      </c>
      <c r="C156">
        <f>IF(FuelPrices_!AM161="","",FuelPrices_!AM161)</f>
        <v>2043</v>
      </c>
      <c r="D156">
        <f>IF(FuelPrices_!AN161="","",FuelPrices_!AN161)</f>
        <v>1.3924914675767919E-2</v>
      </c>
      <c r="E156">
        <f>IFERROR(VLOOKUP(A156,FuelPrices_!$B$49:$G$53,6,FALSE),"")</f>
        <v>3.8700000000000005E-2</v>
      </c>
      <c r="F156">
        <f>IFERROR(VLOOKUP(A156,FuelPrices_!$B$61:$G$65,6,FALSE),"")</f>
        <v>4.1269841269841276E-2</v>
      </c>
      <c r="G156">
        <f t="shared" si="3"/>
        <v>9.3894755945609198E-2</v>
      </c>
      <c r="I156">
        <f t="shared" si="5"/>
        <v>1.4788424061433449</v>
      </c>
    </row>
    <row r="157" spans="1:9" x14ac:dyDescent="0.25">
      <c r="A157" t="str">
        <f>IF(FuelPrices_!AK162="","",FuelPrices_!AK162)</f>
        <v>NG</v>
      </c>
      <c r="B157" t="str">
        <f>IF(FuelPrices_!AL162="","",FuelPrices_!AL162)</f>
        <v>Low</v>
      </c>
      <c r="C157">
        <f>IF(FuelPrices_!AM162="","",FuelPrices_!AM162)</f>
        <v>2044</v>
      </c>
      <c r="D157">
        <f>IF(FuelPrices_!AN162="","",FuelPrices_!AN162)</f>
        <v>1.3890784982935151E-2</v>
      </c>
      <c r="E157">
        <f>IFERROR(VLOOKUP(A157,FuelPrices_!$B$49:$G$53,6,FALSE),"")</f>
        <v>3.8700000000000005E-2</v>
      </c>
      <c r="F157">
        <f>IFERROR(VLOOKUP(A157,FuelPrices_!$B$61:$G$65,6,FALSE),"")</f>
        <v>4.1269841269841276E-2</v>
      </c>
      <c r="G157">
        <f t="shared" si="3"/>
        <v>9.3860626252776441E-2</v>
      </c>
      <c r="I157">
        <f t="shared" si="5"/>
        <v>1.478304863481229</v>
      </c>
    </row>
    <row r="158" spans="1:9" x14ac:dyDescent="0.25">
      <c r="A158" t="str">
        <f>IF(FuelPrices_!AK163="","",FuelPrices_!AK163)</f>
        <v>NG</v>
      </c>
      <c r="B158" t="str">
        <f>IF(FuelPrices_!AL163="","",FuelPrices_!AL163)</f>
        <v>Low</v>
      </c>
      <c r="C158">
        <f>IF(FuelPrices_!AM163="","",FuelPrices_!AM163)</f>
        <v>2045</v>
      </c>
      <c r="D158">
        <f>IF(FuelPrices_!AN163="","",FuelPrices_!AN163)</f>
        <v>1.3856655290102387E-2</v>
      </c>
      <c r="E158">
        <f>IFERROR(VLOOKUP(A158,FuelPrices_!$B$49:$G$53,6,FALSE),"")</f>
        <v>3.8700000000000005E-2</v>
      </c>
      <c r="F158">
        <f>IFERROR(VLOOKUP(A158,FuelPrices_!$B$61:$G$65,6,FALSE),"")</f>
        <v>4.1269841269841276E-2</v>
      </c>
      <c r="G158">
        <f t="shared" si="3"/>
        <v>9.382649655994367E-2</v>
      </c>
      <c r="I158">
        <f t="shared" si="5"/>
        <v>1.4777673208191129</v>
      </c>
    </row>
    <row r="159" spans="1:9" x14ac:dyDescent="0.25">
      <c r="A159" t="str">
        <f>IF(FuelPrices_!AK164="","",FuelPrices_!AK164)</f>
        <v>NG</v>
      </c>
      <c r="B159" t="str">
        <f>IF(FuelPrices_!AL164="","",FuelPrices_!AL164)</f>
        <v>Low</v>
      </c>
      <c r="C159">
        <f>IF(FuelPrices_!AM164="","",FuelPrices_!AM164)</f>
        <v>2046</v>
      </c>
      <c r="D159">
        <f>IF(FuelPrices_!AN164="","",FuelPrices_!AN164)</f>
        <v>1.3822525597269625E-2</v>
      </c>
      <c r="E159">
        <f>IFERROR(VLOOKUP(A159,FuelPrices_!$B$49:$G$53,6,FALSE),"")</f>
        <v>3.8700000000000005E-2</v>
      </c>
      <c r="F159">
        <f>IFERROR(VLOOKUP(A159,FuelPrices_!$B$61:$G$65,6,FALSE),"")</f>
        <v>4.1269841269841276E-2</v>
      </c>
      <c r="G159">
        <f t="shared" si="3"/>
        <v>9.3792366867110899E-2</v>
      </c>
      <c r="I159">
        <f t="shared" si="5"/>
        <v>1.4772297781569967</v>
      </c>
    </row>
    <row r="160" spans="1:9" x14ac:dyDescent="0.25">
      <c r="A160" t="str">
        <f>IF(FuelPrices_!AK165="","",FuelPrices_!AK165)</f>
        <v>NG</v>
      </c>
      <c r="B160" t="str">
        <f>IF(FuelPrices_!AL165="","",FuelPrices_!AL165)</f>
        <v>Low</v>
      </c>
      <c r="C160">
        <f>IF(FuelPrices_!AM165="","",FuelPrices_!AM165)</f>
        <v>2047</v>
      </c>
      <c r="D160">
        <f>IF(FuelPrices_!AN165="","",FuelPrices_!AN165)</f>
        <v>1.3788395904436861E-2</v>
      </c>
      <c r="E160">
        <f>IFERROR(VLOOKUP(A160,FuelPrices_!$B$49:$G$53,6,FALSE),"")</f>
        <v>3.8700000000000005E-2</v>
      </c>
      <c r="F160">
        <f>IFERROR(VLOOKUP(A160,FuelPrices_!$B$61:$G$65,6,FALSE),"")</f>
        <v>4.1269841269841276E-2</v>
      </c>
      <c r="G160">
        <f t="shared" si="3"/>
        <v>9.3758237174278142E-2</v>
      </c>
      <c r="I160">
        <f t="shared" si="5"/>
        <v>1.4766922354948808</v>
      </c>
    </row>
    <row r="161" spans="1:9" x14ac:dyDescent="0.25">
      <c r="A161" t="str">
        <f>IF(FuelPrices_!AK166="","",FuelPrices_!AK166)</f>
        <v>NG</v>
      </c>
      <c r="B161" t="str">
        <f>IF(FuelPrices_!AL166="","",FuelPrices_!AL166)</f>
        <v>Low</v>
      </c>
      <c r="C161">
        <f>IF(FuelPrices_!AM166="","",FuelPrices_!AM166)</f>
        <v>2048</v>
      </c>
      <c r="D161">
        <f>IF(FuelPrices_!AN166="","",FuelPrices_!AN166)</f>
        <v>1.3754266211604096E-2</v>
      </c>
      <c r="E161">
        <f>IFERROR(VLOOKUP(A161,FuelPrices_!$B$49:$G$53,6,FALSE),"")</f>
        <v>3.8700000000000005E-2</v>
      </c>
      <c r="F161">
        <f>IFERROR(VLOOKUP(A161,FuelPrices_!$B$61:$G$65,6,FALSE),"")</f>
        <v>4.1269841269841276E-2</v>
      </c>
      <c r="G161">
        <f t="shared" si="3"/>
        <v>9.3724107481445385E-2</v>
      </c>
      <c r="I161">
        <f t="shared" si="5"/>
        <v>1.4761546928327649</v>
      </c>
    </row>
    <row r="162" spans="1:9" x14ac:dyDescent="0.25">
      <c r="A162" t="str">
        <f>IF(FuelPrices_!AK167="","",FuelPrices_!AK167)</f>
        <v>NG</v>
      </c>
      <c r="B162" t="str">
        <f>IF(FuelPrices_!AL167="","",FuelPrices_!AL167)</f>
        <v>Low</v>
      </c>
      <c r="C162">
        <f>IF(FuelPrices_!AM167="","",FuelPrices_!AM167)</f>
        <v>2049</v>
      </c>
      <c r="D162">
        <f>IF(FuelPrices_!AN167="","",FuelPrices_!AN167)</f>
        <v>1.3720136518771329E-2</v>
      </c>
      <c r="E162">
        <f>IFERROR(VLOOKUP(A162,FuelPrices_!$B$49:$G$53,6,FALSE),"")</f>
        <v>3.8700000000000005E-2</v>
      </c>
      <c r="F162">
        <f>IFERROR(VLOOKUP(A162,FuelPrices_!$B$61:$G$65,6,FALSE),"")</f>
        <v>4.1269841269841276E-2</v>
      </c>
      <c r="G162">
        <f t="shared" si="3"/>
        <v>9.3689977788612613E-2</v>
      </c>
      <c r="I162">
        <f t="shared" si="5"/>
        <v>1.4756171501706488</v>
      </c>
    </row>
    <row r="163" spans="1:9" x14ac:dyDescent="0.25">
      <c r="A163" t="str">
        <f>IF(FuelPrices_!AK168="","",FuelPrices_!AK168)</f>
        <v>NG</v>
      </c>
      <c r="B163" t="str">
        <f>IF(FuelPrices_!AL168="","",FuelPrices_!AL168)</f>
        <v>Low</v>
      </c>
      <c r="C163">
        <f>IF(FuelPrices_!AM168="","",FuelPrices_!AM168)</f>
        <v>2050</v>
      </c>
      <c r="D163">
        <f>IF(FuelPrices_!AN168="","",FuelPrices_!AN168)</f>
        <v>1.3651877133105802E-2</v>
      </c>
      <c r="E163">
        <f>IFERROR(VLOOKUP(A163,FuelPrices_!$B$49:$G$53,6,FALSE),"")</f>
        <v>3.8700000000000005E-2</v>
      </c>
      <c r="F163">
        <f>IFERROR(VLOOKUP(A163,FuelPrices_!$B$61:$G$65,6,FALSE),"")</f>
        <v>4.1269841269841276E-2</v>
      </c>
      <c r="G163">
        <f t="shared" si="3"/>
        <v>9.3621718402947085E-2</v>
      </c>
      <c r="I163">
        <f t="shared" si="5"/>
        <v>1.4745420648464167</v>
      </c>
    </row>
    <row r="164" spans="1:9" x14ac:dyDescent="0.25">
      <c r="A164" t="str">
        <f>IF(FuelPrices_!AK169="","",FuelPrices_!AK169)</f>
        <v>Electricity</v>
      </c>
      <c r="B164" t="str">
        <f>IF(FuelPrices_!AL169="","",FuelPrices_!AL169)</f>
        <v>High</v>
      </c>
      <c r="C164">
        <f>IF(FuelPrices_!AM169="","",FuelPrices_!AM169)</f>
        <v>2024</v>
      </c>
      <c r="D164">
        <f>IF(FuelPrices_!AN169="","",FuelPrices_!AN169)</f>
        <v>0.184</v>
      </c>
      <c r="E164">
        <f>IFERROR(VLOOKUP(A164,FuelPrices_!$B$49:$G$53,6,FALSE),"")</f>
        <v>0.01</v>
      </c>
      <c r="F164">
        <f>IFERROR(VLOOKUP(A164,FuelPrices_!$B$61:$G$65,6,FALSE),"")</f>
        <v>0.05</v>
      </c>
      <c r="G164">
        <f t="shared" si="3"/>
        <v>0.24399999999999999</v>
      </c>
    </row>
    <row r="165" spans="1:9" x14ac:dyDescent="0.25">
      <c r="A165" t="str">
        <f>IF(FuelPrices_!AK170="","",FuelPrices_!AK170)</f>
        <v>Electricity</v>
      </c>
      <c r="B165" t="str">
        <f>IF(FuelPrices_!AL170="","",FuelPrices_!AL170)</f>
        <v>High</v>
      </c>
      <c r="C165">
        <f>IF(FuelPrices_!AM170="","",FuelPrices_!AM170)</f>
        <v>2025</v>
      </c>
      <c r="D165">
        <f>IF(FuelPrices_!AN170="","",FuelPrices_!AN170)</f>
        <v>0.2</v>
      </c>
      <c r="E165">
        <f>IFERROR(VLOOKUP(A165,FuelPrices_!$B$49:$G$53,6,FALSE),"")</f>
        <v>0.01</v>
      </c>
      <c r="F165">
        <f>IFERROR(VLOOKUP(A165,FuelPrices_!$B$61:$G$65,6,FALSE),"")</f>
        <v>0.05</v>
      </c>
      <c r="G165">
        <f t="shared" si="3"/>
        <v>0.26</v>
      </c>
    </row>
    <row r="166" spans="1:9" x14ac:dyDescent="0.25">
      <c r="A166" t="str">
        <f>IF(FuelPrices_!AK171="","",FuelPrices_!AK171)</f>
        <v>Electricity</v>
      </c>
      <c r="B166" t="str">
        <f>IF(FuelPrices_!AL171="","",FuelPrices_!AL171)</f>
        <v>High</v>
      </c>
      <c r="C166">
        <f>IF(FuelPrices_!AM171="","",FuelPrices_!AM171)</f>
        <v>2026</v>
      </c>
      <c r="D166">
        <f>IF(FuelPrices_!AN171="","",FuelPrices_!AN171)</f>
        <v>0.184</v>
      </c>
      <c r="E166">
        <f>IFERROR(VLOOKUP(A166,FuelPrices_!$B$49:$G$53,6,FALSE),"")</f>
        <v>0.01</v>
      </c>
      <c r="F166">
        <f>IFERROR(VLOOKUP(A166,FuelPrices_!$B$61:$G$65,6,FALSE),"")</f>
        <v>0.05</v>
      </c>
      <c r="G166">
        <f t="shared" si="3"/>
        <v>0.24399999999999999</v>
      </c>
    </row>
    <row r="167" spans="1:9" x14ac:dyDescent="0.25">
      <c r="A167" t="str">
        <f>IF(FuelPrices_!AK172="","",FuelPrices_!AK172)</f>
        <v>Electricity</v>
      </c>
      <c r="B167" t="str">
        <f>IF(FuelPrices_!AL172="","",FuelPrices_!AL172)</f>
        <v>High</v>
      </c>
      <c r="C167">
        <f>IF(FuelPrices_!AM172="","",FuelPrices_!AM172)</f>
        <v>2027</v>
      </c>
      <c r="D167">
        <f>IF(FuelPrices_!AN172="","",FuelPrices_!AN172)</f>
        <v>0.16800000000000001</v>
      </c>
      <c r="E167">
        <f>IFERROR(VLOOKUP(A167,FuelPrices_!$B$49:$G$53,6,FALSE),"")</f>
        <v>0.01</v>
      </c>
      <c r="F167">
        <f>IFERROR(VLOOKUP(A167,FuelPrices_!$B$61:$G$65,6,FALSE),"")</f>
        <v>0.05</v>
      </c>
      <c r="G167">
        <f t="shared" si="3"/>
        <v>0.22800000000000004</v>
      </c>
    </row>
    <row r="168" spans="1:9" x14ac:dyDescent="0.25">
      <c r="A168" t="str">
        <f>IF(FuelPrices_!AK173="","",FuelPrices_!AK173)</f>
        <v>Electricity</v>
      </c>
      <c r="B168" t="str">
        <f>IF(FuelPrices_!AL173="","",FuelPrices_!AL173)</f>
        <v>High</v>
      </c>
      <c r="C168">
        <f>IF(FuelPrices_!AM173="","",FuelPrices_!AM173)</f>
        <v>2028</v>
      </c>
      <c r="D168">
        <f>IF(FuelPrices_!AN173="","",FuelPrices_!AN173)</f>
        <v>0.152</v>
      </c>
      <c r="E168">
        <f>IFERROR(VLOOKUP(A168,FuelPrices_!$B$49:$G$53,6,FALSE),"")</f>
        <v>0.01</v>
      </c>
      <c r="F168">
        <f>IFERROR(VLOOKUP(A168,FuelPrices_!$B$61:$G$65,6,FALSE),"")</f>
        <v>0.05</v>
      </c>
      <c r="G168">
        <f t="shared" si="3"/>
        <v>0.21200000000000002</v>
      </c>
    </row>
    <row r="169" spans="1:9" x14ac:dyDescent="0.25">
      <c r="A169" t="str">
        <f>IF(FuelPrices_!AK174="","",FuelPrices_!AK174)</f>
        <v>Electricity</v>
      </c>
      <c r="B169" t="str">
        <f>IF(FuelPrices_!AL174="","",FuelPrices_!AL174)</f>
        <v>High</v>
      </c>
      <c r="C169">
        <f>IF(FuelPrices_!AM174="","",FuelPrices_!AM174)</f>
        <v>2029</v>
      </c>
      <c r="D169">
        <f>IF(FuelPrices_!AN174="","",FuelPrices_!AN174)</f>
        <v>0.13600000000000001</v>
      </c>
      <c r="E169">
        <f>IFERROR(VLOOKUP(A169,FuelPrices_!$B$49:$G$53,6,FALSE),"")</f>
        <v>0.01</v>
      </c>
      <c r="F169">
        <f>IFERROR(VLOOKUP(A169,FuelPrices_!$B$61:$G$65,6,FALSE),"")</f>
        <v>0.05</v>
      </c>
      <c r="G169">
        <f t="shared" si="3"/>
        <v>0.19600000000000001</v>
      </c>
    </row>
    <row r="170" spans="1:9" x14ac:dyDescent="0.25">
      <c r="A170" t="str">
        <f>IF(FuelPrices_!AK175="","",FuelPrices_!AK175)</f>
        <v>Electricity</v>
      </c>
      <c r="B170" t="str">
        <f>IF(FuelPrices_!AL175="","",FuelPrices_!AL175)</f>
        <v>High</v>
      </c>
      <c r="C170">
        <f>IF(FuelPrices_!AM175="","",FuelPrices_!AM175)</f>
        <v>2030</v>
      </c>
      <c r="D170">
        <f>IF(FuelPrices_!AN175="","",FuelPrices_!AN175)</f>
        <v>7.0000000000000007E-2</v>
      </c>
      <c r="E170">
        <f>IFERROR(VLOOKUP(A170,FuelPrices_!$B$49:$G$53,6,FALSE),"")</f>
        <v>0.01</v>
      </c>
      <c r="F170">
        <f>IFERROR(VLOOKUP(A170,FuelPrices_!$B$61:$G$65,6,FALSE),"")</f>
        <v>0.05</v>
      </c>
      <c r="G170">
        <f t="shared" si="3"/>
        <v>0.13</v>
      </c>
    </row>
    <row r="171" spans="1:9" x14ac:dyDescent="0.25">
      <c r="A171" t="str">
        <f>IF(FuelPrices_!AK176="","",FuelPrices_!AK176)</f>
        <v>Electricity</v>
      </c>
      <c r="B171" t="str">
        <f>IF(FuelPrices_!AL176="","",FuelPrices_!AL176)</f>
        <v>High</v>
      </c>
      <c r="C171">
        <f>IF(FuelPrices_!AM176="","",FuelPrices_!AM176)</f>
        <v>2031</v>
      </c>
      <c r="D171">
        <f>IF(FuelPrices_!AN176="","",FuelPrices_!AN176)</f>
        <v>7.0000000000000007E-2</v>
      </c>
      <c r="E171">
        <f>IFERROR(VLOOKUP(A171,FuelPrices_!$B$49:$G$53,6,FALSE),"")</f>
        <v>0.01</v>
      </c>
      <c r="F171">
        <f>IFERROR(VLOOKUP(A171,FuelPrices_!$B$61:$G$65,6,FALSE),"")</f>
        <v>0.05</v>
      </c>
      <c r="G171">
        <f t="shared" si="3"/>
        <v>0.13</v>
      </c>
    </row>
    <row r="172" spans="1:9" x14ac:dyDescent="0.25">
      <c r="A172" t="str">
        <f>IF(FuelPrices_!AK177="","",FuelPrices_!AK177)</f>
        <v>Electricity</v>
      </c>
      <c r="B172" t="str">
        <f>IF(FuelPrices_!AL177="","",FuelPrices_!AL177)</f>
        <v>High</v>
      </c>
      <c r="C172">
        <f>IF(FuelPrices_!AM177="","",FuelPrices_!AM177)</f>
        <v>2032</v>
      </c>
      <c r="D172">
        <f>IF(FuelPrices_!AN177="","",FuelPrices_!AN177)</f>
        <v>7.0000000000000007E-2</v>
      </c>
      <c r="E172">
        <f>IFERROR(VLOOKUP(A172,FuelPrices_!$B$49:$G$53,6,FALSE),"")</f>
        <v>0.01</v>
      </c>
      <c r="F172">
        <f>IFERROR(VLOOKUP(A172,FuelPrices_!$B$61:$G$65,6,FALSE),"")</f>
        <v>0.05</v>
      </c>
      <c r="G172">
        <f t="shared" si="3"/>
        <v>0.13</v>
      </c>
    </row>
    <row r="173" spans="1:9" x14ac:dyDescent="0.25">
      <c r="A173" t="str">
        <f>IF(FuelPrices_!AK178="","",FuelPrices_!AK178)</f>
        <v>Electricity</v>
      </c>
      <c r="B173" t="str">
        <f>IF(FuelPrices_!AL178="","",FuelPrices_!AL178)</f>
        <v>High</v>
      </c>
      <c r="C173">
        <f>IF(FuelPrices_!AM178="","",FuelPrices_!AM178)</f>
        <v>2033</v>
      </c>
      <c r="D173">
        <f>IF(FuelPrices_!AN178="","",FuelPrices_!AN178)</f>
        <v>7.0000000000000007E-2</v>
      </c>
      <c r="E173">
        <f>IFERROR(VLOOKUP(A173,FuelPrices_!$B$49:$G$53,6,FALSE),"")</f>
        <v>0.01</v>
      </c>
      <c r="F173">
        <f>IFERROR(VLOOKUP(A173,FuelPrices_!$B$61:$G$65,6,FALSE),"")</f>
        <v>0.05</v>
      </c>
      <c r="G173">
        <f t="shared" si="3"/>
        <v>0.13</v>
      </c>
    </row>
    <row r="174" spans="1:9" x14ac:dyDescent="0.25">
      <c r="A174" t="str">
        <f>IF(FuelPrices_!AK179="","",FuelPrices_!AK179)</f>
        <v>Electricity</v>
      </c>
      <c r="B174" t="str">
        <f>IF(FuelPrices_!AL179="","",FuelPrices_!AL179)</f>
        <v>High</v>
      </c>
      <c r="C174">
        <f>IF(FuelPrices_!AM179="","",FuelPrices_!AM179)</f>
        <v>2034</v>
      </c>
      <c r="D174">
        <f>IF(FuelPrices_!AN179="","",FuelPrices_!AN179)</f>
        <v>7.0000000000000007E-2</v>
      </c>
      <c r="E174">
        <f>IFERROR(VLOOKUP(A174,FuelPrices_!$B$49:$G$53,6,FALSE),"")</f>
        <v>0.01</v>
      </c>
      <c r="F174">
        <f>IFERROR(VLOOKUP(A174,FuelPrices_!$B$61:$G$65,6,FALSE),"")</f>
        <v>0.05</v>
      </c>
      <c r="G174">
        <f t="shared" si="3"/>
        <v>0.13</v>
      </c>
    </row>
    <row r="175" spans="1:9" x14ac:dyDescent="0.25">
      <c r="A175" t="str">
        <f>IF(FuelPrices_!AK180="","",FuelPrices_!AK180)</f>
        <v>Electricity</v>
      </c>
      <c r="B175" t="str">
        <f>IF(FuelPrices_!AL180="","",FuelPrices_!AL180)</f>
        <v>High</v>
      </c>
      <c r="C175">
        <f>IF(FuelPrices_!AM180="","",FuelPrices_!AM180)</f>
        <v>2035</v>
      </c>
      <c r="D175">
        <f>IF(FuelPrices_!AN180="","",FuelPrices_!AN180)</f>
        <v>7.0000000000000007E-2</v>
      </c>
      <c r="E175">
        <f>IFERROR(VLOOKUP(A175,FuelPrices_!$B$49:$G$53,6,FALSE),"")</f>
        <v>0.01</v>
      </c>
      <c r="F175">
        <f>IFERROR(VLOOKUP(A175,FuelPrices_!$B$61:$G$65,6,FALSE),"")</f>
        <v>0.05</v>
      </c>
      <c r="G175">
        <f t="shared" si="3"/>
        <v>0.13</v>
      </c>
    </row>
    <row r="176" spans="1:9" x14ac:dyDescent="0.25">
      <c r="A176" t="str">
        <f>IF(FuelPrices_!AK181="","",FuelPrices_!AK181)</f>
        <v>Electricity</v>
      </c>
      <c r="B176" t="str">
        <f>IF(FuelPrices_!AL181="","",FuelPrices_!AL181)</f>
        <v>High</v>
      </c>
      <c r="C176">
        <f>IF(FuelPrices_!AM181="","",FuelPrices_!AM181)</f>
        <v>2036</v>
      </c>
      <c r="D176">
        <f>IF(FuelPrices_!AN181="","",FuelPrices_!AN181)</f>
        <v>7.0000000000000007E-2</v>
      </c>
      <c r="E176">
        <f>IFERROR(VLOOKUP(A176,FuelPrices_!$B$49:$G$53,6,FALSE),"")</f>
        <v>0.01</v>
      </c>
      <c r="F176">
        <f>IFERROR(VLOOKUP(A176,FuelPrices_!$B$61:$G$65,6,FALSE),"")</f>
        <v>0.05</v>
      </c>
      <c r="G176">
        <f t="shared" si="3"/>
        <v>0.13</v>
      </c>
    </row>
    <row r="177" spans="1:7" x14ac:dyDescent="0.25">
      <c r="A177" t="str">
        <f>IF(FuelPrices_!AK182="","",FuelPrices_!AK182)</f>
        <v>Electricity</v>
      </c>
      <c r="B177" t="str">
        <f>IF(FuelPrices_!AL182="","",FuelPrices_!AL182)</f>
        <v>High</v>
      </c>
      <c r="C177">
        <f>IF(FuelPrices_!AM182="","",FuelPrices_!AM182)</f>
        <v>2037</v>
      </c>
      <c r="D177">
        <f>IF(FuelPrices_!AN182="","",FuelPrices_!AN182)</f>
        <v>7.0000000000000007E-2</v>
      </c>
      <c r="E177">
        <f>IFERROR(VLOOKUP(A177,FuelPrices_!$B$49:$G$53,6,FALSE),"")</f>
        <v>0.01</v>
      </c>
      <c r="F177">
        <f>IFERROR(VLOOKUP(A177,FuelPrices_!$B$61:$G$65,6,FALSE),"")</f>
        <v>0.05</v>
      </c>
      <c r="G177">
        <f t="shared" si="3"/>
        <v>0.13</v>
      </c>
    </row>
    <row r="178" spans="1:7" x14ac:dyDescent="0.25">
      <c r="A178" t="str">
        <f>IF(FuelPrices_!AK183="","",FuelPrices_!AK183)</f>
        <v>Electricity</v>
      </c>
      <c r="B178" t="str">
        <f>IF(FuelPrices_!AL183="","",FuelPrices_!AL183)</f>
        <v>High</v>
      </c>
      <c r="C178">
        <f>IF(FuelPrices_!AM183="","",FuelPrices_!AM183)</f>
        <v>2038</v>
      </c>
      <c r="D178">
        <f>IF(FuelPrices_!AN183="","",FuelPrices_!AN183)</f>
        <v>7.0000000000000007E-2</v>
      </c>
      <c r="E178">
        <f>IFERROR(VLOOKUP(A178,FuelPrices_!$B$49:$G$53,6,FALSE),"")</f>
        <v>0.01</v>
      </c>
      <c r="F178">
        <f>IFERROR(VLOOKUP(A178,FuelPrices_!$B$61:$G$65,6,FALSE),"")</f>
        <v>0.05</v>
      </c>
      <c r="G178">
        <f t="shared" si="3"/>
        <v>0.13</v>
      </c>
    </row>
    <row r="179" spans="1:7" x14ac:dyDescent="0.25">
      <c r="A179" t="str">
        <f>IF(FuelPrices_!AK184="","",FuelPrices_!AK184)</f>
        <v>Electricity</v>
      </c>
      <c r="B179" t="str">
        <f>IF(FuelPrices_!AL184="","",FuelPrices_!AL184)</f>
        <v>High</v>
      </c>
      <c r="C179">
        <f>IF(FuelPrices_!AM184="","",FuelPrices_!AM184)</f>
        <v>2039</v>
      </c>
      <c r="D179">
        <f>IF(FuelPrices_!AN184="","",FuelPrices_!AN184)</f>
        <v>7.0000000000000007E-2</v>
      </c>
      <c r="E179">
        <f>IFERROR(VLOOKUP(A179,FuelPrices_!$B$49:$G$53,6,FALSE),"")</f>
        <v>0.01</v>
      </c>
      <c r="F179">
        <f>IFERROR(VLOOKUP(A179,FuelPrices_!$B$61:$G$65,6,FALSE),"")</f>
        <v>0.05</v>
      </c>
      <c r="G179">
        <f t="shared" si="3"/>
        <v>0.13</v>
      </c>
    </row>
    <row r="180" spans="1:7" x14ac:dyDescent="0.25">
      <c r="A180" t="str">
        <f>IF(FuelPrices_!AK185="","",FuelPrices_!AK185)</f>
        <v>Electricity</v>
      </c>
      <c r="B180" t="str">
        <f>IF(FuelPrices_!AL185="","",FuelPrices_!AL185)</f>
        <v>High</v>
      </c>
      <c r="C180">
        <f>IF(FuelPrices_!AM185="","",FuelPrices_!AM185)</f>
        <v>2040</v>
      </c>
      <c r="D180">
        <f>IF(FuelPrices_!AN185="","",FuelPrices_!AN185)</f>
        <v>7.0000000000000007E-2</v>
      </c>
      <c r="E180">
        <f>IFERROR(VLOOKUP(A180,FuelPrices_!$B$49:$G$53,6,FALSE),"")</f>
        <v>0.01</v>
      </c>
      <c r="F180">
        <f>IFERROR(VLOOKUP(A180,FuelPrices_!$B$61:$G$65,6,FALSE),"")</f>
        <v>0.05</v>
      </c>
      <c r="G180">
        <f t="shared" si="3"/>
        <v>0.13</v>
      </c>
    </row>
    <row r="181" spans="1:7" x14ac:dyDescent="0.25">
      <c r="A181" t="str">
        <f>IF(FuelPrices_!AK186="","",FuelPrices_!AK186)</f>
        <v>Electricity</v>
      </c>
      <c r="B181" t="str">
        <f>IF(FuelPrices_!AL186="","",FuelPrices_!AL186)</f>
        <v>High</v>
      </c>
      <c r="C181">
        <f>IF(FuelPrices_!AM186="","",FuelPrices_!AM186)</f>
        <v>2041</v>
      </c>
      <c r="D181">
        <f>IF(FuelPrices_!AN186="","",FuelPrices_!AN186)</f>
        <v>7.0000000000000007E-2</v>
      </c>
      <c r="E181">
        <f>IFERROR(VLOOKUP(A181,FuelPrices_!$B$49:$G$53,6,FALSE),"")</f>
        <v>0.01</v>
      </c>
      <c r="F181">
        <f>IFERROR(VLOOKUP(A181,FuelPrices_!$B$61:$G$65,6,FALSE),"")</f>
        <v>0.05</v>
      </c>
      <c r="G181">
        <f t="shared" si="3"/>
        <v>0.13</v>
      </c>
    </row>
    <row r="182" spans="1:7" x14ac:dyDescent="0.25">
      <c r="A182" t="str">
        <f>IF(FuelPrices_!AK187="","",FuelPrices_!AK187)</f>
        <v>Electricity</v>
      </c>
      <c r="B182" t="str">
        <f>IF(FuelPrices_!AL187="","",FuelPrices_!AL187)</f>
        <v>High</v>
      </c>
      <c r="C182">
        <f>IF(FuelPrices_!AM187="","",FuelPrices_!AM187)</f>
        <v>2042</v>
      </c>
      <c r="D182">
        <f>IF(FuelPrices_!AN187="","",FuelPrices_!AN187)</f>
        <v>7.0000000000000007E-2</v>
      </c>
      <c r="E182">
        <f>IFERROR(VLOOKUP(A182,FuelPrices_!$B$49:$G$53,6,FALSE),"")</f>
        <v>0.01</v>
      </c>
      <c r="F182">
        <f>IFERROR(VLOOKUP(A182,FuelPrices_!$B$61:$G$65,6,FALSE),"")</f>
        <v>0.05</v>
      </c>
      <c r="G182">
        <f t="shared" si="3"/>
        <v>0.13</v>
      </c>
    </row>
    <row r="183" spans="1:7" x14ac:dyDescent="0.25">
      <c r="A183" t="str">
        <f>IF(FuelPrices_!AK188="","",FuelPrices_!AK188)</f>
        <v>Electricity</v>
      </c>
      <c r="B183" t="str">
        <f>IF(FuelPrices_!AL188="","",FuelPrices_!AL188)</f>
        <v>High</v>
      </c>
      <c r="C183">
        <f>IF(FuelPrices_!AM188="","",FuelPrices_!AM188)</f>
        <v>2043</v>
      </c>
      <c r="D183">
        <f>IF(FuelPrices_!AN188="","",FuelPrices_!AN188)</f>
        <v>7.0000000000000007E-2</v>
      </c>
      <c r="E183">
        <f>IFERROR(VLOOKUP(A183,FuelPrices_!$B$49:$G$53,6,FALSE),"")</f>
        <v>0.01</v>
      </c>
      <c r="F183">
        <f>IFERROR(VLOOKUP(A183,FuelPrices_!$B$61:$G$65,6,FALSE),"")</f>
        <v>0.05</v>
      </c>
      <c r="G183">
        <f t="shared" si="3"/>
        <v>0.13</v>
      </c>
    </row>
    <row r="184" spans="1:7" x14ac:dyDescent="0.25">
      <c r="A184" t="str">
        <f>IF(FuelPrices_!AK189="","",FuelPrices_!AK189)</f>
        <v>Electricity</v>
      </c>
      <c r="B184" t="str">
        <f>IF(FuelPrices_!AL189="","",FuelPrices_!AL189)</f>
        <v>High</v>
      </c>
      <c r="C184">
        <f>IF(FuelPrices_!AM189="","",FuelPrices_!AM189)</f>
        <v>2044</v>
      </c>
      <c r="D184">
        <f>IF(FuelPrices_!AN189="","",FuelPrices_!AN189)</f>
        <v>7.0000000000000007E-2</v>
      </c>
      <c r="E184">
        <f>IFERROR(VLOOKUP(A184,FuelPrices_!$B$49:$G$53,6,FALSE),"")</f>
        <v>0.01</v>
      </c>
      <c r="F184">
        <f>IFERROR(VLOOKUP(A184,FuelPrices_!$B$61:$G$65,6,FALSE),"")</f>
        <v>0.05</v>
      </c>
      <c r="G184">
        <f t="shared" si="3"/>
        <v>0.13</v>
      </c>
    </row>
    <row r="185" spans="1:7" x14ac:dyDescent="0.25">
      <c r="A185" t="str">
        <f>IF(FuelPrices_!AK190="","",FuelPrices_!AK190)</f>
        <v>Electricity</v>
      </c>
      <c r="B185" t="str">
        <f>IF(FuelPrices_!AL190="","",FuelPrices_!AL190)</f>
        <v>High</v>
      </c>
      <c r="C185">
        <f>IF(FuelPrices_!AM190="","",FuelPrices_!AM190)</f>
        <v>2045</v>
      </c>
      <c r="D185">
        <f>IF(FuelPrices_!AN190="","",FuelPrices_!AN190)</f>
        <v>7.0000000000000007E-2</v>
      </c>
      <c r="E185">
        <f>IFERROR(VLOOKUP(A185,FuelPrices_!$B$49:$G$53,6,FALSE),"")</f>
        <v>0.01</v>
      </c>
      <c r="F185">
        <f>IFERROR(VLOOKUP(A185,FuelPrices_!$B$61:$G$65,6,FALSE),"")</f>
        <v>0.05</v>
      </c>
      <c r="G185">
        <f t="shared" si="3"/>
        <v>0.13</v>
      </c>
    </row>
    <row r="186" spans="1:7" x14ac:dyDescent="0.25">
      <c r="A186" t="str">
        <f>IF(FuelPrices_!AK191="","",FuelPrices_!AK191)</f>
        <v>Electricity</v>
      </c>
      <c r="B186" t="str">
        <f>IF(FuelPrices_!AL191="","",FuelPrices_!AL191)</f>
        <v>High</v>
      </c>
      <c r="C186">
        <f>IF(FuelPrices_!AM191="","",FuelPrices_!AM191)</f>
        <v>2046</v>
      </c>
      <c r="D186">
        <f>IF(FuelPrices_!AN191="","",FuelPrices_!AN191)</f>
        <v>7.0000000000000007E-2</v>
      </c>
      <c r="E186">
        <f>IFERROR(VLOOKUP(A186,FuelPrices_!$B$49:$G$53,6,FALSE),"")</f>
        <v>0.01</v>
      </c>
      <c r="F186">
        <f>IFERROR(VLOOKUP(A186,FuelPrices_!$B$61:$G$65,6,FALSE),"")</f>
        <v>0.05</v>
      </c>
      <c r="G186">
        <f t="shared" si="3"/>
        <v>0.13</v>
      </c>
    </row>
    <row r="187" spans="1:7" x14ac:dyDescent="0.25">
      <c r="A187" t="str">
        <f>IF(FuelPrices_!AK192="","",FuelPrices_!AK192)</f>
        <v>Electricity</v>
      </c>
      <c r="B187" t="str">
        <f>IF(FuelPrices_!AL192="","",FuelPrices_!AL192)</f>
        <v>High</v>
      </c>
      <c r="C187">
        <f>IF(FuelPrices_!AM192="","",FuelPrices_!AM192)</f>
        <v>2047</v>
      </c>
      <c r="D187">
        <f>IF(FuelPrices_!AN192="","",FuelPrices_!AN192)</f>
        <v>7.0000000000000007E-2</v>
      </c>
      <c r="E187">
        <f>IFERROR(VLOOKUP(A187,FuelPrices_!$B$49:$G$53,6,FALSE),"")</f>
        <v>0.01</v>
      </c>
      <c r="F187">
        <f>IFERROR(VLOOKUP(A187,FuelPrices_!$B$61:$G$65,6,FALSE),"")</f>
        <v>0.05</v>
      </c>
      <c r="G187">
        <f t="shared" si="3"/>
        <v>0.13</v>
      </c>
    </row>
    <row r="188" spans="1:7" x14ac:dyDescent="0.25">
      <c r="A188" t="str">
        <f>IF(FuelPrices_!AK193="","",FuelPrices_!AK193)</f>
        <v>Electricity</v>
      </c>
      <c r="B188" t="str">
        <f>IF(FuelPrices_!AL193="","",FuelPrices_!AL193)</f>
        <v>High</v>
      </c>
      <c r="C188">
        <f>IF(FuelPrices_!AM193="","",FuelPrices_!AM193)</f>
        <v>2048</v>
      </c>
      <c r="D188">
        <f>IF(FuelPrices_!AN193="","",FuelPrices_!AN193)</f>
        <v>7.0000000000000007E-2</v>
      </c>
      <c r="E188">
        <f>IFERROR(VLOOKUP(A188,FuelPrices_!$B$49:$G$53,6,FALSE),"")</f>
        <v>0.01</v>
      </c>
      <c r="F188">
        <f>IFERROR(VLOOKUP(A188,FuelPrices_!$B$61:$G$65,6,FALSE),"")</f>
        <v>0.05</v>
      </c>
      <c r="G188">
        <f t="shared" si="3"/>
        <v>0.13</v>
      </c>
    </row>
    <row r="189" spans="1:7" x14ac:dyDescent="0.25">
      <c r="A189" t="str">
        <f>IF(FuelPrices_!AK194="","",FuelPrices_!AK194)</f>
        <v>Electricity</v>
      </c>
      <c r="B189" t="str">
        <f>IF(FuelPrices_!AL194="","",FuelPrices_!AL194)</f>
        <v>High</v>
      </c>
      <c r="C189">
        <f>IF(FuelPrices_!AM194="","",FuelPrices_!AM194)</f>
        <v>2049</v>
      </c>
      <c r="D189">
        <f>IF(FuelPrices_!AN194="","",FuelPrices_!AN194)</f>
        <v>7.0000000000000007E-2</v>
      </c>
      <c r="E189">
        <f>IFERROR(VLOOKUP(A189,FuelPrices_!$B$49:$G$53,6,FALSE),"")</f>
        <v>0.01</v>
      </c>
      <c r="F189">
        <f>IFERROR(VLOOKUP(A189,FuelPrices_!$B$61:$G$65,6,FALSE),"")</f>
        <v>0.05</v>
      </c>
      <c r="G189">
        <f t="shared" si="3"/>
        <v>0.13</v>
      </c>
    </row>
    <row r="190" spans="1:7" x14ac:dyDescent="0.25">
      <c r="A190" t="str">
        <f>IF(FuelPrices_!AK195="","",FuelPrices_!AK195)</f>
        <v>Electricity</v>
      </c>
      <c r="B190" t="str">
        <f>IF(FuelPrices_!AL195="","",FuelPrices_!AL195)</f>
        <v>High</v>
      </c>
      <c r="C190">
        <f>IF(FuelPrices_!AM195="","",FuelPrices_!AM195)</f>
        <v>2050</v>
      </c>
      <c r="D190">
        <f>IF(FuelPrices_!AN195="","",FuelPrices_!AN195)</f>
        <v>7.0000000000000007E-2</v>
      </c>
      <c r="E190">
        <f>IFERROR(VLOOKUP(A190,FuelPrices_!$B$49:$G$53,6,FALSE),"")</f>
        <v>0.01</v>
      </c>
      <c r="F190">
        <f>IFERROR(VLOOKUP(A190,FuelPrices_!$B$61:$G$65,6,FALSE),"")</f>
        <v>0.05</v>
      </c>
      <c r="G190">
        <f t="shared" si="3"/>
        <v>0.13</v>
      </c>
    </row>
    <row r="191" spans="1:7" x14ac:dyDescent="0.25">
      <c r="A191" t="str">
        <f>IF(FuelPrices_!AK196="","",FuelPrices_!AK196)</f>
        <v>Electricity</v>
      </c>
      <c r="B191" t="str">
        <f>IF(FuelPrices_!AL196="","",FuelPrices_!AL196)</f>
        <v>Average</v>
      </c>
      <c r="C191">
        <f>IF(FuelPrices_!AM196="","",FuelPrices_!AM196)</f>
        <v>2024</v>
      </c>
      <c r="D191">
        <f>IF(FuelPrices_!AN196="","",FuelPrices_!AN196)</f>
        <v>0.127</v>
      </c>
      <c r="E191">
        <f>IFERROR(VLOOKUP(A191,FuelPrices_!$B$49:$G$53,6,FALSE),"")</f>
        <v>0.01</v>
      </c>
      <c r="F191">
        <f>IFERROR(VLOOKUP(A191,FuelPrices_!$B$61:$G$65,6,FALSE),"")</f>
        <v>0.05</v>
      </c>
      <c r="G191">
        <f t="shared" si="3"/>
        <v>0.187</v>
      </c>
    </row>
    <row r="192" spans="1:7" x14ac:dyDescent="0.25">
      <c r="A192" t="str">
        <f>IF(FuelPrices_!AK197="","",FuelPrices_!AK197)</f>
        <v>Electricity</v>
      </c>
      <c r="B192" t="str">
        <f>IF(FuelPrices_!AL197="","",FuelPrices_!AL197)</f>
        <v>Average</v>
      </c>
      <c r="C192">
        <f>IF(FuelPrices_!AM197="","",FuelPrices_!AM197)</f>
        <v>2025</v>
      </c>
      <c r="D192">
        <f>IF(FuelPrices_!AN197="","",FuelPrices_!AN197)</f>
        <v>0.14000000000000001</v>
      </c>
      <c r="E192">
        <f>IFERROR(VLOOKUP(A192,FuelPrices_!$B$49:$G$53,6,FALSE),"")</f>
        <v>0.01</v>
      </c>
      <c r="F192">
        <f>IFERROR(VLOOKUP(A192,FuelPrices_!$B$61:$G$65,6,FALSE),"")</f>
        <v>0.05</v>
      </c>
      <c r="G192">
        <f t="shared" si="3"/>
        <v>0.2</v>
      </c>
    </row>
    <row r="193" spans="1:7" x14ac:dyDescent="0.25">
      <c r="A193" t="str">
        <f>IF(FuelPrices_!AK198="","",FuelPrices_!AK198)</f>
        <v>Electricity</v>
      </c>
      <c r="B193" t="str">
        <f>IF(FuelPrices_!AL198="","",FuelPrices_!AL198)</f>
        <v>Average</v>
      </c>
      <c r="C193">
        <f>IF(FuelPrices_!AM198="","",FuelPrices_!AM198)</f>
        <v>2026</v>
      </c>
      <c r="D193">
        <f>IF(FuelPrices_!AN198="","",FuelPrices_!AN198)</f>
        <v>0.127</v>
      </c>
      <c r="E193">
        <f>IFERROR(VLOOKUP(A193,FuelPrices_!$B$49:$G$53,6,FALSE),"")</f>
        <v>0.01</v>
      </c>
      <c r="F193">
        <f>IFERROR(VLOOKUP(A193,FuelPrices_!$B$61:$G$65,6,FALSE),"")</f>
        <v>0.05</v>
      </c>
      <c r="G193">
        <f t="shared" si="3"/>
        <v>0.187</v>
      </c>
    </row>
    <row r="194" spans="1:7" x14ac:dyDescent="0.25">
      <c r="A194" t="str">
        <f>IF(FuelPrices_!AK199="","",FuelPrices_!AK199)</f>
        <v>Electricity</v>
      </c>
      <c r="B194" t="str">
        <f>IF(FuelPrices_!AL199="","",FuelPrices_!AL199)</f>
        <v>Average</v>
      </c>
      <c r="C194">
        <f>IF(FuelPrices_!AM199="","",FuelPrices_!AM199)</f>
        <v>2027</v>
      </c>
      <c r="D194">
        <f>IF(FuelPrices_!AN199="","",FuelPrices_!AN199)</f>
        <v>0.114</v>
      </c>
      <c r="E194">
        <f>IFERROR(VLOOKUP(A194,FuelPrices_!$B$49:$G$53,6,FALSE),"")</f>
        <v>0.01</v>
      </c>
      <c r="F194">
        <f>IFERROR(VLOOKUP(A194,FuelPrices_!$B$61:$G$65,6,FALSE),"")</f>
        <v>0.05</v>
      </c>
      <c r="G194">
        <f t="shared" si="3"/>
        <v>0.17399999999999999</v>
      </c>
    </row>
    <row r="195" spans="1:7" x14ac:dyDescent="0.25">
      <c r="A195" t="str">
        <f>IF(FuelPrices_!AK200="","",FuelPrices_!AK200)</f>
        <v>Electricity</v>
      </c>
      <c r="B195" t="str">
        <f>IF(FuelPrices_!AL200="","",FuelPrices_!AL200)</f>
        <v>Average</v>
      </c>
      <c r="C195">
        <f>IF(FuelPrices_!AM200="","",FuelPrices_!AM200)</f>
        <v>2028</v>
      </c>
      <c r="D195">
        <f>IF(FuelPrices_!AN200="","",FuelPrices_!AN200)</f>
        <v>0.10100000000000001</v>
      </c>
      <c r="E195">
        <f>IFERROR(VLOOKUP(A195,FuelPrices_!$B$49:$G$53,6,FALSE),"")</f>
        <v>0.01</v>
      </c>
      <c r="F195">
        <f>IFERROR(VLOOKUP(A195,FuelPrices_!$B$61:$G$65,6,FALSE),"")</f>
        <v>0.05</v>
      </c>
      <c r="G195">
        <f t="shared" ref="G195:G258" si="6">IFERROR(D195+E195+F195,"")</f>
        <v>0.161</v>
      </c>
    </row>
    <row r="196" spans="1:7" x14ac:dyDescent="0.25">
      <c r="A196" t="str">
        <f>IF(FuelPrices_!AK201="","",FuelPrices_!AK201)</f>
        <v>Electricity</v>
      </c>
      <c r="B196" t="str">
        <f>IF(FuelPrices_!AL201="","",FuelPrices_!AL201)</f>
        <v>Average</v>
      </c>
      <c r="C196">
        <f>IF(FuelPrices_!AM201="","",FuelPrices_!AM201)</f>
        <v>2029</v>
      </c>
      <c r="D196">
        <f>IF(FuelPrices_!AN201="","",FuelPrices_!AN201)</f>
        <v>8.7999999999999995E-2</v>
      </c>
      <c r="E196">
        <f>IFERROR(VLOOKUP(A196,FuelPrices_!$B$49:$G$53,6,FALSE),"")</f>
        <v>0.01</v>
      </c>
      <c r="F196">
        <f>IFERROR(VLOOKUP(A196,FuelPrices_!$B$61:$G$65,6,FALSE),"")</f>
        <v>0.05</v>
      </c>
      <c r="G196">
        <f t="shared" si="6"/>
        <v>0.14799999999999999</v>
      </c>
    </row>
    <row r="197" spans="1:7" x14ac:dyDescent="0.25">
      <c r="A197" t="str">
        <f>IF(FuelPrices_!AK202="","",FuelPrices_!AK202)</f>
        <v>Electricity</v>
      </c>
      <c r="B197" t="str">
        <f>IF(FuelPrices_!AL202="","",FuelPrices_!AL202)</f>
        <v>Average</v>
      </c>
      <c r="C197">
        <f>IF(FuelPrices_!AM202="","",FuelPrices_!AM202)</f>
        <v>2030</v>
      </c>
      <c r="D197">
        <f>IF(FuelPrices_!AN202="","",FuelPrices_!AN202)</f>
        <v>0.05</v>
      </c>
      <c r="E197">
        <f>IFERROR(VLOOKUP(A197,FuelPrices_!$B$49:$G$53,6,FALSE),"")</f>
        <v>0.01</v>
      </c>
      <c r="F197">
        <f>IFERROR(VLOOKUP(A197,FuelPrices_!$B$61:$G$65,6,FALSE),"")</f>
        <v>0.05</v>
      </c>
      <c r="G197">
        <f t="shared" si="6"/>
        <v>0.11000000000000001</v>
      </c>
    </row>
    <row r="198" spans="1:7" x14ac:dyDescent="0.25">
      <c r="A198" t="str">
        <f>IF(FuelPrices_!AK203="","",FuelPrices_!AK203)</f>
        <v>Electricity</v>
      </c>
      <c r="B198" t="str">
        <f>IF(FuelPrices_!AL203="","",FuelPrices_!AL203)</f>
        <v>Average</v>
      </c>
      <c r="C198">
        <f>IF(FuelPrices_!AM203="","",FuelPrices_!AM203)</f>
        <v>2031</v>
      </c>
      <c r="D198">
        <f>IF(FuelPrices_!AN203="","",FuelPrices_!AN203)</f>
        <v>0.05</v>
      </c>
      <c r="E198">
        <f>IFERROR(VLOOKUP(A198,FuelPrices_!$B$49:$G$53,6,FALSE),"")</f>
        <v>0.01</v>
      </c>
      <c r="F198">
        <f>IFERROR(VLOOKUP(A198,FuelPrices_!$B$61:$G$65,6,FALSE),"")</f>
        <v>0.05</v>
      </c>
      <c r="G198">
        <f t="shared" si="6"/>
        <v>0.11000000000000001</v>
      </c>
    </row>
    <row r="199" spans="1:7" x14ac:dyDescent="0.25">
      <c r="A199" t="str">
        <f>IF(FuelPrices_!AK204="","",FuelPrices_!AK204)</f>
        <v>Electricity</v>
      </c>
      <c r="B199" t="str">
        <f>IF(FuelPrices_!AL204="","",FuelPrices_!AL204)</f>
        <v>Average</v>
      </c>
      <c r="C199">
        <f>IF(FuelPrices_!AM204="","",FuelPrices_!AM204)</f>
        <v>2032</v>
      </c>
      <c r="D199">
        <f>IF(FuelPrices_!AN204="","",FuelPrices_!AN204)</f>
        <v>0.05</v>
      </c>
      <c r="E199">
        <f>IFERROR(VLOOKUP(A199,FuelPrices_!$B$49:$G$53,6,FALSE),"")</f>
        <v>0.01</v>
      </c>
      <c r="F199">
        <f>IFERROR(VLOOKUP(A199,FuelPrices_!$B$61:$G$65,6,FALSE),"")</f>
        <v>0.05</v>
      </c>
      <c r="G199">
        <f t="shared" si="6"/>
        <v>0.11000000000000001</v>
      </c>
    </row>
    <row r="200" spans="1:7" x14ac:dyDescent="0.25">
      <c r="A200" t="str">
        <f>IF(FuelPrices_!AK205="","",FuelPrices_!AK205)</f>
        <v>Electricity</v>
      </c>
      <c r="B200" t="str">
        <f>IF(FuelPrices_!AL205="","",FuelPrices_!AL205)</f>
        <v>Average</v>
      </c>
      <c r="C200">
        <f>IF(FuelPrices_!AM205="","",FuelPrices_!AM205)</f>
        <v>2033</v>
      </c>
      <c r="D200">
        <f>IF(FuelPrices_!AN205="","",FuelPrices_!AN205)</f>
        <v>0.05</v>
      </c>
      <c r="E200">
        <f>IFERROR(VLOOKUP(A200,FuelPrices_!$B$49:$G$53,6,FALSE),"")</f>
        <v>0.01</v>
      </c>
      <c r="F200">
        <f>IFERROR(VLOOKUP(A200,FuelPrices_!$B$61:$G$65,6,FALSE),"")</f>
        <v>0.05</v>
      </c>
      <c r="G200">
        <f t="shared" si="6"/>
        <v>0.11000000000000001</v>
      </c>
    </row>
    <row r="201" spans="1:7" x14ac:dyDescent="0.25">
      <c r="A201" t="str">
        <f>IF(FuelPrices_!AK206="","",FuelPrices_!AK206)</f>
        <v>Electricity</v>
      </c>
      <c r="B201" t="str">
        <f>IF(FuelPrices_!AL206="","",FuelPrices_!AL206)</f>
        <v>Average</v>
      </c>
      <c r="C201">
        <f>IF(FuelPrices_!AM206="","",FuelPrices_!AM206)</f>
        <v>2034</v>
      </c>
      <c r="D201">
        <f>IF(FuelPrices_!AN206="","",FuelPrices_!AN206)</f>
        <v>0.05</v>
      </c>
      <c r="E201">
        <f>IFERROR(VLOOKUP(A201,FuelPrices_!$B$49:$G$53,6,FALSE),"")</f>
        <v>0.01</v>
      </c>
      <c r="F201">
        <f>IFERROR(VLOOKUP(A201,FuelPrices_!$B$61:$G$65,6,FALSE),"")</f>
        <v>0.05</v>
      </c>
      <c r="G201">
        <f t="shared" si="6"/>
        <v>0.11000000000000001</v>
      </c>
    </row>
    <row r="202" spans="1:7" x14ac:dyDescent="0.25">
      <c r="A202" t="str">
        <f>IF(FuelPrices_!AK207="","",FuelPrices_!AK207)</f>
        <v>Electricity</v>
      </c>
      <c r="B202" t="str">
        <f>IF(FuelPrices_!AL207="","",FuelPrices_!AL207)</f>
        <v>Average</v>
      </c>
      <c r="C202">
        <f>IF(FuelPrices_!AM207="","",FuelPrices_!AM207)</f>
        <v>2035</v>
      </c>
      <c r="D202">
        <f>IF(FuelPrices_!AN207="","",FuelPrices_!AN207)</f>
        <v>0.05</v>
      </c>
      <c r="E202">
        <f>IFERROR(VLOOKUP(A202,FuelPrices_!$B$49:$G$53,6,FALSE),"")</f>
        <v>0.01</v>
      </c>
      <c r="F202">
        <f>IFERROR(VLOOKUP(A202,FuelPrices_!$B$61:$G$65,6,FALSE),"")</f>
        <v>0.05</v>
      </c>
      <c r="G202">
        <f t="shared" si="6"/>
        <v>0.11000000000000001</v>
      </c>
    </row>
    <row r="203" spans="1:7" x14ac:dyDescent="0.25">
      <c r="A203" t="str">
        <f>IF(FuelPrices_!AK208="","",FuelPrices_!AK208)</f>
        <v>Electricity</v>
      </c>
      <c r="B203" t="str">
        <f>IF(FuelPrices_!AL208="","",FuelPrices_!AL208)</f>
        <v>Average</v>
      </c>
      <c r="C203">
        <f>IF(FuelPrices_!AM208="","",FuelPrices_!AM208)</f>
        <v>2036</v>
      </c>
      <c r="D203">
        <f>IF(FuelPrices_!AN208="","",FuelPrices_!AN208)</f>
        <v>0.05</v>
      </c>
      <c r="E203">
        <f>IFERROR(VLOOKUP(A203,FuelPrices_!$B$49:$G$53,6,FALSE),"")</f>
        <v>0.01</v>
      </c>
      <c r="F203">
        <f>IFERROR(VLOOKUP(A203,FuelPrices_!$B$61:$G$65,6,FALSE),"")</f>
        <v>0.05</v>
      </c>
      <c r="G203">
        <f t="shared" si="6"/>
        <v>0.11000000000000001</v>
      </c>
    </row>
    <row r="204" spans="1:7" x14ac:dyDescent="0.25">
      <c r="A204" t="str">
        <f>IF(FuelPrices_!AK209="","",FuelPrices_!AK209)</f>
        <v>Electricity</v>
      </c>
      <c r="B204" t="str">
        <f>IF(FuelPrices_!AL209="","",FuelPrices_!AL209)</f>
        <v>Average</v>
      </c>
      <c r="C204">
        <f>IF(FuelPrices_!AM209="","",FuelPrices_!AM209)</f>
        <v>2037</v>
      </c>
      <c r="D204">
        <f>IF(FuelPrices_!AN209="","",FuelPrices_!AN209)</f>
        <v>0.05</v>
      </c>
      <c r="E204">
        <f>IFERROR(VLOOKUP(A204,FuelPrices_!$B$49:$G$53,6,FALSE),"")</f>
        <v>0.01</v>
      </c>
      <c r="F204">
        <f>IFERROR(VLOOKUP(A204,FuelPrices_!$B$61:$G$65,6,FALSE),"")</f>
        <v>0.05</v>
      </c>
      <c r="G204">
        <f t="shared" si="6"/>
        <v>0.11000000000000001</v>
      </c>
    </row>
    <row r="205" spans="1:7" x14ac:dyDescent="0.25">
      <c r="A205" t="str">
        <f>IF(FuelPrices_!AK210="","",FuelPrices_!AK210)</f>
        <v>Electricity</v>
      </c>
      <c r="B205" t="str">
        <f>IF(FuelPrices_!AL210="","",FuelPrices_!AL210)</f>
        <v>Average</v>
      </c>
      <c r="C205">
        <f>IF(FuelPrices_!AM210="","",FuelPrices_!AM210)</f>
        <v>2038</v>
      </c>
      <c r="D205">
        <f>IF(FuelPrices_!AN210="","",FuelPrices_!AN210)</f>
        <v>0.05</v>
      </c>
      <c r="E205">
        <f>IFERROR(VLOOKUP(A205,FuelPrices_!$B$49:$G$53,6,FALSE),"")</f>
        <v>0.01</v>
      </c>
      <c r="F205">
        <f>IFERROR(VLOOKUP(A205,FuelPrices_!$B$61:$G$65,6,FALSE),"")</f>
        <v>0.05</v>
      </c>
      <c r="G205">
        <f t="shared" si="6"/>
        <v>0.11000000000000001</v>
      </c>
    </row>
    <row r="206" spans="1:7" x14ac:dyDescent="0.25">
      <c r="A206" t="str">
        <f>IF(FuelPrices_!AK211="","",FuelPrices_!AK211)</f>
        <v>Electricity</v>
      </c>
      <c r="B206" t="str">
        <f>IF(FuelPrices_!AL211="","",FuelPrices_!AL211)</f>
        <v>Average</v>
      </c>
      <c r="C206">
        <f>IF(FuelPrices_!AM211="","",FuelPrices_!AM211)</f>
        <v>2039</v>
      </c>
      <c r="D206">
        <f>IF(FuelPrices_!AN211="","",FuelPrices_!AN211)</f>
        <v>0.05</v>
      </c>
      <c r="E206">
        <f>IFERROR(VLOOKUP(A206,FuelPrices_!$B$49:$G$53,6,FALSE),"")</f>
        <v>0.01</v>
      </c>
      <c r="F206">
        <f>IFERROR(VLOOKUP(A206,FuelPrices_!$B$61:$G$65,6,FALSE),"")</f>
        <v>0.05</v>
      </c>
      <c r="G206">
        <f t="shared" si="6"/>
        <v>0.11000000000000001</v>
      </c>
    </row>
    <row r="207" spans="1:7" x14ac:dyDescent="0.25">
      <c r="A207" t="str">
        <f>IF(FuelPrices_!AK212="","",FuelPrices_!AK212)</f>
        <v>Electricity</v>
      </c>
      <c r="B207" t="str">
        <f>IF(FuelPrices_!AL212="","",FuelPrices_!AL212)</f>
        <v>Average</v>
      </c>
      <c r="C207">
        <f>IF(FuelPrices_!AM212="","",FuelPrices_!AM212)</f>
        <v>2040</v>
      </c>
      <c r="D207">
        <f>IF(FuelPrices_!AN212="","",FuelPrices_!AN212)</f>
        <v>0.05</v>
      </c>
      <c r="E207">
        <f>IFERROR(VLOOKUP(A207,FuelPrices_!$B$49:$G$53,6,FALSE),"")</f>
        <v>0.01</v>
      </c>
      <c r="F207">
        <f>IFERROR(VLOOKUP(A207,FuelPrices_!$B$61:$G$65,6,FALSE),"")</f>
        <v>0.05</v>
      </c>
      <c r="G207">
        <f t="shared" si="6"/>
        <v>0.11000000000000001</v>
      </c>
    </row>
    <row r="208" spans="1:7" x14ac:dyDescent="0.25">
      <c r="A208" t="str">
        <f>IF(FuelPrices_!AK213="","",FuelPrices_!AK213)</f>
        <v>Electricity</v>
      </c>
      <c r="B208" t="str">
        <f>IF(FuelPrices_!AL213="","",FuelPrices_!AL213)</f>
        <v>Average</v>
      </c>
      <c r="C208">
        <f>IF(FuelPrices_!AM213="","",FuelPrices_!AM213)</f>
        <v>2041</v>
      </c>
      <c r="D208">
        <f>IF(FuelPrices_!AN213="","",FuelPrices_!AN213)</f>
        <v>0.05</v>
      </c>
      <c r="E208">
        <f>IFERROR(VLOOKUP(A208,FuelPrices_!$B$49:$G$53,6,FALSE),"")</f>
        <v>0.01</v>
      </c>
      <c r="F208">
        <f>IFERROR(VLOOKUP(A208,FuelPrices_!$B$61:$G$65,6,FALSE),"")</f>
        <v>0.05</v>
      </c>
      <c r="G208">
        <f t="shared" si="6"/>
        <v>0.11000000000000001</v>
      </c>
    </row>
    <row r="209" spans="1:7" x14ac:dyDescent="0.25">
      <c r="A209" t="str">
        <f>IF(FuelPrices_!AK214="","",FuelPrices_!AK214)</f>
        <v>Electricity</v>
      </c>
      <c r="B209" t="str">
        <f>IF(FuelPrices_!AL214="","",FuelPrices_!AL214)</f>
        <v>Average</v>
      </c>
      <c r="C209">
        <f>IF(FuelPrices_!AM214="","",FuelPrices_!AM214)</f>
        <v>2042</v>
      </c>
      <c r="D209">
        <f>IF(FuelPrices_!AN214="","",FuelPrices_!AN214)</f>
        <v>0.05</v>
      </c>
      <c r="E209">
        <f>IFERROR(VLOOKUP(A209,FuelPrices_!$B$49:$G$53,6,FALSE),"")</f>
        <v>0.01</v>
      </c>
      <c r="F209">
        <f>IFERROR(VLOOKUP(A209,FuelPrices_!$B$61:$G$65,6,FALSE),"")</f>
        <v>0.05</v>
      </c>
      <c r="G209">
        <f t="shared" si="6"/>
        <v>0.11000000000000001</v>
      </c>
    </row>
    <row r="210" spans="1:7" x14ac:dyDescent="0.25">
      <c r="A210" t="str">
        <f>IF(FuelPrices_!AK215="","",FuelPrices_!AK215)</f>
        <v>Electricity</v>
      </c>
      <c r="B210" t="str">
        <f>IF(FuelPrices_!AL215="","",FuelPrices_!AL215)</f>
        <v>Average</v>
      </c>
      <c r="C210">
        <f>IF(FuelPrices_!AM215="","",FuelPrices_!AM215)</f>
        <v>2043</v>
      </c>
      <c r="D210">
        <f>IF(FuelPrices_!AN215="","",FuelPrices_!AN215)</f>
        <v>0.05</v>
      </c>
      <c r="E210">
        <f>IFERROR(VLOOKUP(A210,FuelPrices_!$B$49:$G$53,6,FALSE),"")</f>
        <v>0.01</v>
      </c>
      <c r="F210">
        <f>IFERROR(VLOOKUP(A210,FuelPrices_!$B$61:$G$65,6,FALSE),"")</f>
        <v>0.05</v>
      </c>
      <c r="G210">
        <f t="shared" si="6"/>
        <v>0.11000000000000001</v>
      </c>
    </row>
    <row r="211" spans="1:7" x14ac:dyDescent="0.25">
      <c r="A211" t="str">
        <f>IF(FuelPrices_!AK216="","",FuelPrices_!AK216)</f>
        <v>Electricity</v>
      </c>
      <c r="B211" t="str">
        <f>IF(FuelPrices_!AL216="","",FuelPrices_!AL216)</f>
        <v>Average</v>
      </c>
      <c r="C211">
        <f>IF(FuelPrices_!AM216="","",FuelPrices_!AM216)</f>
        <v>2044</v>
      </c>
      <c r="D211">
        <f>IF(FuelPrices_!AN216="","",FuelPrices_!AN216)</f>
        <v>0.05</v>
      </c>
      <c r="E211">
        <f>IFERROR(VLOOKUP(A211,FuelPrices_!$B$49:$G$53,6,FALSE),"")</f>
        <v>0.01</v>
      </c>
      <c r="F211">
        <f>IFERROR(VLOOKUP(A211,FuelPrices_!$B$61:$G$65,6,FALSE),"")</f>
        <v>0.05</v>
      </c>
      <c r="G211">
        <f t="shared" si="6"/>
        <v>0.11000000000000001</v>
      </c>
    </row>
    <row r="212" spans="1:7" x14ac:dyDescent="0.25">
      <c r="A212" t="str">
        <f>IF(FuelPrices_!AK217="","",FuelPrices_!AK217)</f>
        <v>Electricity</v>
      </c>
      <c r="B212" t="str">
        <f>IF(FuelPrices_!AL217="","",FuelPrices_!AL217)</f>
        <v>Average</v>
      </c>
      <c r="C212">
        <f>IF(FuelPrices_!AM217="","",FuelPrices_!AM217)</f>
        <v>2045</v>
      </c>
      <c r="D212">
        <f>IF(FuelPrices_!AN217="","",FuelPrices_!AN217)</f>
        <v>0.05</v>
      </c>
      <c r="E212">
        <f>IFERROR(VLOOKUP(A212,FuelPrices_!$B$49:$G$53,6,FALSE),"")</f>
        <v>0.01</v>
      </c>
      <c r="F212">
        <f>IFERROR(VLOOKUP(A212,FuelPrices_!$B$61:$G$65,6,FALSE),"")</f>
        <v>0.05</v>
      </c>
      <c r="G212">
        <f t="shared" si="6"/>
        <v>0.11000000000000001</v>
      </c>
    </row>
    <row r="213" spans="1:7" x14ac:dyDescent="0.25">
      <c r="A213" t="str">
        <f>IF(FuelPrices_!AK218="","",FuelPrices_!AK218)</f>
        <v>Electricity</v>
      </c>
      <c r="B213" t="str">
        <f>IF(FuelPrices_!AL218="","",FuelPrices_!AL218)</f>
        <v>Average</v>
      </c>
      <c r="C213">
        <f>IF(FuelPrices_!AM218="","",FuelPrices_!AM218)</f>
        <v>2046</v>
      </c>
      <c r="D213">
        <f>IF(FuelPrices_!AN218="","",FuelPrices_!AN218)</f>
        <v>0.05</v>
      </c>
      <c r="E213">
        <f>IFERROR(VLOOKUP(A213,FuelPrices_!$B$49:$G$53,6,FALSE),"")</f>
        <v>0.01</v>
      </c>
      <c r="F213">
        <f>IFERROR(VLOOKUP(A213,FuelPrices_!$B$61:$G$65,6,FALSE),"")</f>
        <v>0.05</v>
      </c>
      <c r="G213">
        <f t="shared" si="6"/>
        <v>0.11000000000000001</v>
      </c>
    </row>
    <row r="214" spans="1:7" x14ac:dyDescent="0.25">
      <c r="A214" t="str">
        <f>IF(FuelPrices_!AK219="","",FuelPrices_!AK219)</f>
        <v>Electricity</v>
      </c>
      <c r="B214" t="str">
        <f>IF(FuelPrices_!AL219="","",FuelPrices_!AL219)</f>
        <v>Average</v>
      </c>
      <c r="C214">
        <f>IF(FuelPrices_!AM219="","",FuelPrices_!AM219)</f>
        <v>2047</v>
      </c>
      <c r="D214">
        <f>IF(FuelPrices_!AN219="","",FuelPrices_!AN219)</f>
        <v>0.05</v>
      </c>
      <c r="E214">
        <f>IFERROR(VLOOKUP(A214,FuelPrices_!$B$49:$G$53,6,FALSE),"")</f>
        <v>0.01</v>
      </c>
      <c r="F214">
        <f>IFERROR(VLOOKUP(A214,FuelPrices_!$B$61:$G$65,6,FALSE),"")</f>
        <v>0.05</v>
      </c>
      <c r="G214">
        <f t="shared" si="6"/>
        <v>0.11000000000000001</v>
      </c>
    </row>
    <row r="215" spans="1:7" x14ac:dyDescent="0.25">
      <c r="A215" t="str">
        <f>IF(FuelPrices_!AK220="","",FuelPrices_!AK220)</f>
        <v>Electricity</v>
      </c>
      <c r="B215" t="str">
        <f>IF(FuelPrices_!AL220="","",FuelPrices_!AL220)</f>
        <v>Average</v>
      </c>
      <c r="C215">
        <f>IF(FuelPrices_!AM220="","",FuelPrices_!AM220)</f>
        <v>2048</v>
      </c>
      <c r="D215">
        <f>IF(FuelPrices_!AN220="","",FuelPrices_!AN220)</f>
        <v>0.05</v>
      </c>
      <c r="E215">
        <f>IFERROR(VLOOKUP(A215,FuelPrices_!$B$49:$G$53,6,FALSE),"")</f>
        <v>0.01</v>
      </c>
      <c r="F215">
        <f>IFERROR(VLOOKUP(A215,FuelPrices_!$B$61:$G$65,6,FALSE),"")</f>
        <v>0.05</v>
      </c>
      <c r="G215">
        <f t="shared" si="6"/>
        <v>0.11000000000000001</v>
      </c>
    </row>
    <row r="216" spans="1:7" x14ac:dyDescent="0.25">
      <c r="A216" t="str">
        <f>IF(FuelPrices_!AK221="","",FuelPrices_!AK221)</f>
        <v>Electricity</v>
      </c>
      <c r="B216" t="str">
        <f>IF(FuelPrices_!AL221="","",FuelPrices_!AL221)</f>
        <v>Average</v>
      </c>
      <c r="C216">
        <f>IF(FuelPrices_!AM221="","",FuelPrices_!AM221)</f>
        <v>2049</v>
      </c>
      <c r="D216">
        <f>IF(FuelPrices_!AN221="","",FuelPrices_!AN221)</f>
        <v>0.05</v>
      </c>
      <c r="E216">
        <f>IFERROR(VLOOKUP(A216,FuelPrices_!$B$49:$G$53,6,FALSE),"")</f>
        <v>0.01</v>
      </c>
      <c r="F216">
        <f>IFERROR(VLOOKUP(A216,FuelPrices_!$B$61:$G$65,6,FALSE),"")</f>
        <v>0.05</v>
      </c>
      <c r="G216">
        <f t="shared" si="6"/>
        <v>0.11000000000000001</v>
      </c>
    </row>
    <row r="217" spans="1:7" x14ac:dyDescent="0.25">
      <c r="A217" t="str">
        <f>IF(FuelPrices_!AK222="","",FuelPrices_!AK222)</f>
        <v>Electricity</v>
      </c>
      <c r="B217" t="str">
        <f>IF(FuelPrices_!AL222="","",FuelPrices_!AL222)</f>
        <v>Average</v>
      </c>
      <c r="C217">
        <f>IF(FuelPrices_!AM222="","",FuelPrices_!AM222)</f>
        <v>2050</v>
      </c>
      <c r="D217">
        <f>IF(FuelPrices_!AN222="","",FuelPrices_!AN222)</f>
        <v>0.05</v>
      </c>
      <c r="E217">
        <f>IFERROR(VLOOKUP(A217,FuelPrices_!$B$49:$G$53,6,FALSE),"")</f>
        <v>0.01</v>
      </c>
      <c r="F217">
        <f>IFERROR(VLOOKUP(A217,FuelPrices_!$B$61:$G$65,6,FALSE),"")</f>
        <v>0.05</v>
      </c>
      <c r="G217">
        <f t="shared" si="6"/>
        <v>0.11000000000000001</v>
      </c>
    </row>
    <row r="218" spans="1:7" x14ac:dyDescent="0.25">
      <c r="A218" t="str">
        <f>IF(FuelPrices_!AK223="","",FuelPrices_!AK223)</f>
        <v>Electricity</v>
      </c>
      <c r="B218" t="str">
        <f>IF(FuelPrices_!AL223="","",FuelPrices_!AL223)</f>
        <v>Low</v>
      </c>
      <c r="C218">
        <f>IF(FuelPrices_!AM223="","",FuelPrices_!AM223)</f>
        <v>2024</v>
      </c>
      <c r="D218">
        <f>IF(FuelPrices_!AN223="","",FuelPrices_!AN223)</f>
        <v>0.112</v>
      </c>
      <c r="E218">
        <f>IFERROR(VLOOKUP(A218,FuelPrices_!$B$49:$G$53,6,FALSE),"")</f>
        <v>0.01</v>
      </c>
      <c r="F218">
        <f>IFERROR(VLOOKUP(A218,FuelPrices_!$B$61:$G$65,6,FALSE),"")</f>
        <v>0.05</v>
      </c>
      <c r="G218">
        <f t="shared" si="6"/>
        <v>0.17199999999999999</v>
      </c>
    </row>
    <row r="219" spans="1:7" x14ac:dyDescent="0.25">
      <c r="A219" t="str">
        <f>IF(FuelPrices_!AK224="","",FuelPrices_!AK224)</f>
        <v>Electricity</v>
      </c>
      <c r="B219" t="str">
        <f>IF(FuelPrices_!AL224="","",FuelPrices_!AL224)</f>
        <v>Low</v>
      </c>
      <c r="C219">
        <f>IF(FuelPrices_!AM224="","",FuelPrices_!AM224)</f>
        <v>2025</v>
      </c>
      <c r="D219">
        <f>IF(FuelPrices_!AN224="","",FuelPrices_!AN224)</f>
        <v>0.125</v>
      </c>
      <c r="E219">
        <f>IFERROR(VLOOKUP(A219,FuelPrices_!$B$49:$G$53,6,FALSE),"")</f>
        <v>0.01</v>
      </c>
      <c r="F219">
        <f>IFERROR(VLOOKUP(A219,FuelPrices_!$B$61:$G$65,6,FALSE),"")</f>
        <v>0.05</v>
      </c>
      <c r="G219">
        <f t="shared" si="6"/>
        <v>0.185</v>
      </c>
    </row>
    <row r="220" spans="1:7" x14ac:dyDescent="0.25">
      <c r="A220" t="str">
        <f>IF(FuelPrices_!AK225="","",FuelPrices_!AK225)</f>
        <v>Electricity</v>
      </c>
      <c r="B220" t="str">
        <f>IF(FuelPrices_!AL225="","",FuelPrices_!AL225)</f>
        <v>Low</v>
      </c>
      <c r="C220">
        <f>IF(FuelPrices_!AM225="","",FuelPrices_!AM225)</f>
        <v>2026</v>
      </c>
      <c r="D220">
        <f>IF(FuelPrices_!AN225="","",FuelPrices_!AN225)</f>
        <v>0.112</v>
      </c>
      <c r="E220">
        <f>IFERROR(VLOOKUP(A220,FuelPrices_!$B$49:$G$53,6,FALSE),"")</f>
        <v>0.01</v>
      </c>
      <c r="F220">
        <f>IFERROR(VLOOKUP(A220,FuelPrices_!$B$61:$G$65,6,FALSE),"")</f>
        <v>0.05</v>
      </c>
      <c r="G220">
        <f t="shared" si="6"/>
        <v>0.17199999999999999</v>
      </c>
    </row>
    <row r="221" spans="1:7" x14ac:dyDescent="0.25">
      <c r="A221" t="str">
        <f>IF(FuelPrices_!AK226="","",FuelPrices_!AK226)</f>
        <v>Electricity</v>
      </c>
      <c r="B221" t="str">
        <f>IF(FuelPrices_!AL226="","",FuelPrices_!AL226)</f>
        <v>Low</v>
      </c>
      <c r="C221">
        <f>IF(FuelPrices_!AM226="","",FuelPrices_!AM226)</f>
        <v>2027</v>
      </c>
      <c r="D221">
        <f>IF(FuelPrices_!AN226="","",FuelPrices_!AN226)</f>
        <v>9.9000000000000005E-2</v>
      </c>
      <c r="E221">
        <f>IFERROR(VLOOKUP(A221,FuelPrices_!$B$49:$G$53,6,FALSE),"")</f>
        <v>0.01</v>
      </c>
      <c r="F221">
        <f>IFERROR(VLOOKUP(A221,FuelPrices_!$B$61:$G$65,6,FALSE),"")</f>
        <v>0.05</v>
      </c>
      <c r="G221">
        <f t="shared" si="6"/>
        <v>0.159</v>
      </c>
    </row>
    <row r="222" spans="1:7" x14ac:dyDescent="0.25">
      <c r="A222" t="str">
        <f>IF(FuelPrices_!AK227="","",FuelPrices_!AK227)</f>
        <v>Electricity</v>
      </c>
      <c r="B222" t="str">
        <f>IF(FuelPrices_!AL227="","",FuelPrices_!AL227)</f>
        <v>Low</v>
      </c>
      <c r="C222">
        <f>IF(FuelPrices_!AM227="","",FuelPrices_!AM227)</f>
        <v>2028</v>
      </c>
      <c r="D222">
        <f>IF(FuelPrices_!AN227="","",FuelPrices_!AN227)</f>
        <v>8.5999999999999993E-2</v>
      </c>
      <c r="E222">
        <f>IFERROR(VLOOKUP(A222,FuelPrices_!$B$49:$G$53,6,FALSE),"")</f>
        <v>0.01</v>
      </c>
      <c r="F222">
        <f>IFERROR(VLOOKUP(A222,FuelPrices_!$B$61:$G$65,6,FALSE),"")</f>
        <v>0.05</v>
      </c>
      <c r="G222">
        <f t="shared" si="6"/>
        <v>0.14599999999999999</v>
      </c>
    </row>
    <row r="223" spans="1:7" x14ac:dyDescent="0.25">
      <c r="A223" t="str">
        <f>IF(FuelPrices_!AK228="","",FuelPrices_!AK228)</f>
        <v>Electricity</v>
      </c>
      <c r="B223" t="str">
        <f>IF(FuelPrices_!AL228="","",FuelPrices_!AL228)</f>
        <v>Low</v>
      </c>
      <c r="C223">
        <f>IF(FuelPrices_!AM228="","",FuelPrices_!AM228)</f>
        <v>2029</v>
      </c>
      <c r="D223">
        <f>IF(FuelPrices_!AN228="","",FuelPrices_!AN228)</f>
        <v>7.2999999999999995E-2</v>
      </c>
      <c r="E223">
        <f>IFERROR(VLOOKUP(A223,FuelPrices_!$B$49:$G$53,6,FALSE),"")</f>
        <v>0.01</v>
      </c>
      <c r="F223">
        <f>IFERROR(VLOOKUP(A223,FuelPrices_!$B$61:$G$65,6,FALSE),"")</f>
        <v>0.05</v>
      </c>
      <c r="G223">
        <f t="shared" si="6"/>
        <v>0.13300000000000001</v>
      </c>
    </row>
    <row r="224" spans="1:7" x14ac:dyDescent="0.25">
      <c r="A224" t="str">
        <f>IF(FuelPrices_!AK229="","",FuelPrices_!AK229)</f>
        <v>Electricity</v>
      </c>
      <c r="B224" t="str">
        <f>IF(FuelPrices_!AL229="","",FuelPrices_!AL229)</f>
        <v>Low</v>
      </c>
      <c r="C224">
        <f>IF(FuelPrices_!AM229="","",FuelPrices_!AM229)</f>
        <v>2030</v>
      </c>
      <c r="D224">
        <f>IF(FuelPrices_!AN229="","",FuelPrices_!AN229)</f>
        <v>0.04</v>
      </c>
      <c r="E224">
        <f>IFERROR(VLOOKUP(A224,FuelPrices_!$B$49:$G$53,6,FALSE),"")</f>
        <v>0.01</v>
      </c>
      <c r="F224">
        <f>IFERROR(VLOOKUP(A224,FuelPrices_!$B$61:$G$65,6,FALSE),"")</f>
        <v>0.05</v>
      </c>
      <c r="G224">
        <f t="shared" si="6"/>
        <v>0.1</v>
      </c>
    </row>
    <row r="225" spans="1:7" x14ac:dyDescent="0.25">
      <c r="A225" t="str">
        <f>IF(FuelPrices_!AK230="","",FuelPrices_!AK230)</f>
        <v>Electricity</v>
      </c>
      <c r="B225" t="str">
        <f>IF(FuelPrices_!AL230="","",FuelPrices_!AL230)</f>
        <v>Low</v>
      </c>
      <c r="C225">
        <f>IF(FuelPrices_!AM230="","",FuelPrices_!AM230)</f>
        <v>2031</v>
      </c>
      <c r="D225">
        <f>IF(FuelPrices_!AN230="","",FuelPrices_!AN230)</f>
        <v>0.04</v>
      </c>
      <c r="E225">
        <f>IFERROR(VLOOKUP(A225,FuelPrices_!$B$49:$G$53,6,FALSE),"")</f>
        <v>0.01</v>
      </c>
      <c r="F225">
        <f>IFERROR(VLOOKUP(A225,FuelPrices_!$B$61:$G$65,6,FALSE),"")</f>
        <v>0.05</v>
      </c>
      <c r="G225">
        <f t="shared" si="6"/>
        <v>0.1</v>
      </c>
    </row>
    <row r="226" spans="1:7" x14ac:dyDescent="0.25">
      <c r="A226" t="str">
        <f>IF(FuelPrices_!AK231="","",FuelPrices_!AK231)</f>
        <v>Electricity</v>
      </c>
      <c r="B226" t="str">
        <f>IF(FuelPrices_!AL231="","",FuelPrices_!AL231)</f>
        <v>Low</v>
      </c>
      <c r="C226">
        <f>IF(FuelPrices_!AM231="","",FuelPrices_!AM231)</f>
        <v>2032</v>
      </c>
      <c r="D226">
        <f>IF(FuelPrices_!AN231="","",FuelPrices_!AN231)</f>
        <v>0.04</v>
      </c>
      <c r="E226">
        <f>IFERROR(VLOOKUP(A226,FuelPrices_!$B$49:$G$53,6,FALSE),"")</f>
        <v>0.01</v>
      </c>
      <c r="F226">
        <f>IFERROR(VLOOKUP(A226,FuelPrices_!$B$61:$G$65,6,FALSE),"")</f>
        <v>0.05</v>
      </c>
      <c r="G226">
        <f t="shared" si="6"/>
        <v>0.1</v>
      </c>
    </row>
    <row r="227" spans="1:7" x14ac:dyDescent="0.25">
      <c r="A227" t="str">
        <f>IF(FuelPrices_!AK232="","",FuelPrices_!AK232)</f>
        <v>Electricity</v>
      </c>
      <c r="B227" t="str">
        <f>IF(FuelPrices_!AL232="","",FuelPrices_!AL232)</f>
        <v>Low</v>
      </c>
      <c r="C227">
        <f>IF(FuelPrices_!AM232="","",FuelPrices_!AM232)</f>
        <v>2033</v>
      </c>
      <c r="D227">
        <f>IF(FuelPrices_!AN232="","",FuelPrices_!AN232)</f>
        <v>0.04</v>
      </c>
      <c r="E227">
        <f>IFERROR(VLOOKUP(A227,FuelPrices_!$B$49:$G$53,6,FALSE),"")</f>
        <v>0.01</v>
      </c>
      <c r="F227">
        <f>IFERROR(VLOOKUP(A227,FuelPrices_!$B$61:$G$65,6,FALSE),"")</f>
        <v>0.05</v>
      </c>
      <c r="G227">
        <f t="shared" si="6"/>
        <v>0.1</v>
      </c>
    </row>
    <row r="228" spans="1:7" x14ac:dyDescent="0.25">
      <c r="A228" t="str">
        <f>IF(FuelPrices_!AK233="","",FuelPrices_!AK233)</f>
        <v>Electricity</v>
      </c>
      <c r="B228" t="str">
        <f>IF(FuelPrices_!AL233="","",FuelPrices_!AL233)</f>
        <v>Low</v>
      </c>
      <c r="C228">
        <f>IF(FuelPrices_!AM233="","",FuelPrices_!AM233)</f>
        <v>2034</v>
      </c>
      <c r="D228">
        <f>IF(FuelPrices_!AN233="","",FuelPrices_!AN233)</f>
        <v>0.04</v>
      </c>
      <c r="E228">
        <f>IFERROR(VLOOKUP(A228,FuelPrices_!$B$49:$G$53,6,FALSE),"")</f>
        <v>0.01</v>
      </c>
      <c r="F228">
        <f>IFERROR(VLOOKUP(A228,FuelPrices_!$B$61:$G$65,6,FALSE),"")</f>
        <v>0.05</v>
      </c>
      <c r="G228">
        <f t="shared" si="6"/>
        <v>0.1</v>
      </c>
    </row>
    <row r="229" spans="1:7" x14ac:dyDescent="0.25">
      <c r="A229" t="str">
        <f>IF(FuelPrices_!AK234="","",FuelPrices_!AK234)</f>
        <v>Electricity</v>
      </c>
      <c r="B229" t="str">
        <f>IF(FuelPrices_!AL234="","",FuelPrices_!AL234)</f>
        <v>Low</v>
      </c>
      <c r="C229">
        <f>IF(FuelPrices_!AM234="","",FuelPrices_!AM234)</f>
        <v>2035</v>
      </c>
      <c r="D229">
        <f>IF(FuelPrices_!AN234="","",FuelPrices_!AN234)</f>
        <v>0.04</v>
      </c>
      <c r="E229">
        <f>IFERROR(VLOOKUP(A229,FuelPrices_!$B$49:$G$53,6,FALSE),"")</f>
        <v>0.01</v>
      </c>
      <c r="F229">
        <f>IFERROR(VLOOKUP(A229,FuelPrices_!$B$61:$G$65,6,FALSE),"")</f>
        <v>0.05</v>
      </c>
      <c r="G229">
        <f t="shared" si="6"/>
        <v>0.1</v>
      </c>
    </row>
    <row r="230" spans="1:7" x14ac:dyDescent="0.25">
      <c r="A230" t="str">
        <f>IF(FuelPrices_!AK235="","",FuelPrices_!AK235)</f>
        <v>Electricity</v>
      </c>
      <c r="B230" t="str">
        <f>IF(FuelPrices_!AL235="","",FuelPrices_!AL235)</f>
        <v>Low</v>
      </c>
      <c r="C230">
        <f>IF(FuelPrices_!AM235="","",FuelPrices_!AM235)</f>
        <v>2036</v>
      </c>
      <c r="D230">
        <f>IF(FuelPrices_!AN235="","",FuelPrices_!AN235)</f>
        <v>0.04</v>
      </c>
      <c r="E230">
        <f>IFERROR(VLOOKUP(A230,FuelPrices_!$B$49:$G$53,6,FALSE),"")</f>
        <v>0.01</v>
      </c>
      <c r="F230">
        <f>IFERROR(VLOOKUP(A230,FuelPrices_!$B$61:$G$65,6,FALSE),"")</f>
        <v>0.05</v>
      </c>
      <c r="G230">
        <f t="shared" si="6"/>
        <v>0.1</v>
      </c>
    </row>
    <row r="231" spans="1:7" x14ac:dyDescent="0.25">
      <c r="A231" t="str">
        <f>IF(FuelPrices_!AK236="","",FuelPrices_!AK236)</f>
        <v>Electricity</v>
      </c>
      <c r="B231" t="str">
        <f>IF(FuelPrices_!AL236="","",FuelPrices_!AL236)</f>
        <v>Low</v>
      </c>
      <c r="C231">
        <f>IF(FuelPrices_!AM236="","",FuelPrices_!AM236)</f>
        <v>2037</v>
      </c>
      <c r="D231">
        <f>IF(FuelPrices_!AN236="","",FuelPrices_!AN236)</f>
        <v>0.04</v>
      </c>
      <c r="E231">
        <f>IFERROR(VLOOKUP(A231,FuelPrices_!$B$49:$G$53,6,FALSE),"")</f>
        <v>0.01</v>
      </c>
      <c r="F231">
        <f>IFERROR(VLOOKUP(A231,FuelPrices_!$B$61:$G$65,6,FALSE),"")</f>
        <v>0.05</v>
      </c>
      <c r="G231">
        <f t="shared" si="6"/>
        <v>0.1</v>
      </c>
    </row>
    <row r="232" spans="1:7" x14ac:dyDescent="0.25">
      <c r="A232" t="str">
        <f>IF(FuelPrices_!AK237="","",FuelPrices_!AK237)</f>
        <v>Electricity</v>
      </c>
      <c r="B232" t="str">
        <f>IF(FuelPrices_!AL237="","",FuelPrices_!AL237)</f>
        <v>Low</v>
      </c>
      <c r="C232">
        <f>IF(FuelPrices_!AM237="","",FuelPrices_!AM237)</f>
        <v>2038</v>
      </c>
      <c r="D232">
        <f>IF(FuelPrices_!AN237="","",FuelPrices_!AN237)</f>
        <v>0.04</v>
      </c>
      <c r="E232">
        <f>IFERROR(VLOOKUP(A232,FuelPrices_!$B$49:$G$53,6,FALSE),"")</f>
        <v>0.01</v>
      </c>
      <c r="F232">
        <f>IFERROR(VLOOKUP(A232,FuelPrices_!$B$61:$G$65,6,FALSE),"")</f>
        <v>0.05</v>
      </c>
      <c r="G232">
        <f t="shared" si="6"/>
        <v>0.1</v>
      </c>
    </row>
    <row r="233" spans="1:7" x14ac:dyDescent="0.25">
      <c r="A233" t="str">
        <f>IF(FuelPrices_!AK238="","",FuelPrices_!AK238)</f>
        <v>Electricity</v>
      </c>
      <c r="B233" t="str">
        <f>IF(FuelPrices_!AL238="","",FuelPrices_!AL238)</f>
        <v>Low</v>
      </c>
      <c r="C233">
        <f>IF(FuelPrices_!AM238="","",FuelPrices_!AM238)</f>
        <v>2039</v>
      </c>
      <c r="D233">
        <f>IF(FuelPrices_!AN238="","",FuelPrices_!AN238)</f>
        <v>0.04</v>
      </c>
      <c r="E233">
        <f>IFERROR(VLOOKUP(A233,FuelPrices_!$B$49:$G$53,6,FALSE),"")</f>
        <v>0.01</v>
      </c>
      <c r="F233">
        <f>IFERROR(VLOOKUP(A233,FuelPrices_!$B$61:$G$65,6,FALSE),"")</f>
        <v>0.05</v>
      </c>
      <c r="G233">
        <f t="shared" si="6"/>
        <v>0.1</v>
      </c>
    </row>
    <row r="234" spans="1:7" x14ac:dyDescent="0.25">
      <c r="A234" t="str">
        <f>IF(FuelPrices_!AK239="","",FuelPrices_!AK239)</f>
        <v>Electricity</v>
      </c>
      <c r="B234" t="str">
        <f>IF(FuelPrices_!AL239="","",FuelPrices_!AL239)</f>
        <v>Low</v>
      </c>
      <c r="C234">
        <f>IF(FuelPrices_!AM239="","",FuelPrices_!AM239)</f>
        <v>2040</v>
      </c>
      <c r="D234">
        <f>IF(FuelPrices_!AN239="","",FuelPrices_!AN239)</f>
        <v>0.04</v>
      </c>
      <c r="E234">
        <f>IFERROR(VLOOKUP(A234,FuelPrices_!$B$49:$G$53,6,FALSE),"")</f>
        <v>0.01</v>
      </c>
      <c r="F234">
        <f>IFERROR(VLOOKUP(A234,FuelPrices_!$B$61:$G$65,6,FALSE),"")</f>
        <v>0.05</v>
      </c>
      <c r="G234">
        <f t="shared" si="6"/>
        <v>0.1</v>
      </c>
    </row>
    <row r="235" spans="1:7" x14ac:dyDescent="0.25">
      <c r="A235" t="str">
        <f>IF(FuelPrices_!AK240="","",FuelPrices_!AK240)</f>
        <v>Electricity</v>
      </c>
      <c r="B235" t="str">
        <f>IF(FuelPrices_!AL240="","",FuelPrices_!AL240)</f>
        <v>Low</v>
      </c>
      <c r="C235">
        <f>IF(FuelPrices_!AM240="","",FuelPrices_!AM240)</f>
        <v>2041</v>
      </c>
      <c r="D235">
        <f>IF(FuelPrices_!AN240="","",FuelPrices_!AN240)</f>
        <v>0.04</v>
      </c>
      <c r="E235">
        <f>IFERROR(VLOOKUP(A235,FuelPrices_!$B$49:$G$53,6,FALSE),"")</f>
        <v>0.01</v>
      </c>
      <c r="F235">
        <f>IFERROR(VLOOKUP(A235,FuelPrices_!$B$61:$G$65,6,FALSE),"")</f>
        <v>0.05</v>
      </c>
      <c r="G235">
        <f t="shared" si="6"/>
        <v>0.1</v>
      </c>
    </row>
    <row r="236" spans="1:7" x14ac:dyDescent="0.25">
      <c r="A236" t="str">
        <f>IF(FuelPrices_!AK241="","",FuelPrices_!AK241)</f>
        <v>Electricity</v>
      </c>
      <c r="B236" t="str">
        <f>IF(FuelPrices_!AL241="","",FuelPrices_!AL241)</f>
        <v>Low</v>
      </c>
      <c r="C236">
        <f>IF(FuelPrices_!AM241="","",FuelPrices_!AM241)</f>
        <v>2042</v>
      </c>
      <c r="D236">
        <f>IF(FuelPrices_!AN241="","",FuelPrices_!AN241)</f>
        <v>0.04</v>
      </c>
      <c r="E236">
        <f>IFERROR(VLOOKUP(A236,FuelPrices_!$B$49:$G$53,6,FALSE),"")</f>
        <v>0.01</v>
      </c>
      <c r="F236">
        <f>IFERROR(VLOOKUP(A236,FuelPrices_!$B$61:$G$65,6,FALSE),"")</f>
        <v>0.05</v>
      </c>
      <c r="G236">
        <f t="shared" si="6"/>
        <v>0.1</v>
      </c>
    </row>
    <row r="237" spans="1:7" x14ac:dyDescent="0.25">
      <c r="A237" t="str">
        <f>IF(FuelPrices_!AK242="","",FuelPrices_!AK242)</f>
        <v>Electricity</v>
      </c>
      <c r="B237" t="str">
        <f>IF(FuelPrices_!AL242="","",FuelPrices_!AL242)</f>
        <v>Low</v>
      </c>
      <c r="C237">
        <f>IF(FuelPrices_!AM242="","",FuelPrices_!AM242)</f>
        <v>2043</v>
      </c>
      <c r="D237">
        <f>IF(FuelPrices_!AN242="","",FuelPrices_!AN242)</f>
        <v>0.04</v>
      </c>
      <c r="E237">
        <f>IFERROR(VLOOKUP(A237,FuelPrices_!$B$49:$G$53,6,FALSE),"")</f>
        <v>0.01</v>
      </c>
      <c r="F237">
        <f>IFERROR(VLOOKUP(A237,FuelPrices_!$B$61:$G$65,6,FALSE),"")</f>
        <v>0.05</v>
      </c>
      <c r="G237">
        <f t="shared" si="6"/>
        <v>0.1</v>
      </c>
    </row>
    <row r="238" spans="1:7" x14ac:dyDescent="0.25">
      <c r="A238" t="str">
        <f>IF(FuelPrices_!AK243="","",FuelPrices_!AK243)</f>
        <v>Electricity</v>
      </c>
      <c r="B238" t="str">
        <f>IF(FuelPrices_!AL243="","",FuelPrices_!AL243)</f>
        <v>Low</v>
      </c>
      <c r="C238">
        <f>IF(FuelPrices_!AM243="","",FuelPrices_!AM243)</f>
        <v>2044</v>
      </c>
      <c r="D238">
        <f>IF(FuelPrices_!AN243="","",FuelPrices_!AN243)</f>
        <v>0.04</v>
      </c>
      <c r="E238">
        <f>IFERROR(VLOOKUP(A238,FuelPrices_!$B$49:$G$53,6,FALSE),"")</f>
        <v>0.01</v>
      </c>
      <c r="F238">
        <f>IFERROR(VLOOKUP(A238,FuelPrices_!$B$61:$G$65,6,FALSE),"")</f>
        <v>0.05</v>
      </c>
      <c r="G238">
        <f t="shared" si="6"/>
        <v>0.1</v>
      </c>
    </row>
    <row r="239" spans="1:7" x14ac:dyDescent="0.25">
      <c r="A239" t="str">
        <f>IF(FuelPrices_!AK244="","",FuelPrices_!AK244)</f>
        <v>Electricity</v>
      </c>
      <c r="B239" t="str">
        <f>IF(FuelPrices_!AL244="","",FuelPrices_!AL244)</f>
        <v>Low</v>
      </c>
      <c r="C239">
        <f>IF(FuelPrices_!AM244="","",FuelPrices_!AM244)</f>
        <v>2045</v>
      </c>
      <c r="D239">
        <f>IF(FuelPrices_!AN244="","",FuelPrices_!AN244)</f>
        <v>0.04</v>
      </c>
      <c r="E239">
        <f>IFERROR(VLOOKUP(A239,FuelPrices_!$B$49:$G$53,6,FALSE),"")</f>
        <v>0.01</v>
      </c>
      <c r="F239">
        <f>IFERROR(VLOOKUP(A239,FuelPrices_!$B$61:$G$65,6,FALSE),"")</f>
        <v>0.05</v>
      </c>
      <c r="G239">
        <f t="shared" si="6"/>
        <v>0.1</v>
      </c>
    </row>
    <row r="240" spans="1:7" x14ac:dyDescent="0.25">
      <c r="A240" t="str">
        <f>IF(FuelPrices_!AK245="","",FuelPrices_!AK245)</f>
        <v>Electricity</v>
      </c>
      <c r="B240" t="str">
        <f>IF(FuelPrices_!AL245="","",FuelPrices_!AL245)</f>
        <v>Low</v>
      </c>
      <c r="C240">
        <f>IF(FuelPrices_!AM245="","",FuelPrices_!AM245)</f>
        <v>2046</v>
      </c>
      <c r="D240">
        <f>IF(FuelPrices_!AN245="","",FuelPrices_!AN245)</f>
        <v>0.04</v>
      </c>
      <c r="E240">
        <f>IFERROR(VLOOKUP(A240,FuelPrices_!$B$49:$G$53,6,FALSE),"")</f>
        <v>0.01</v>
      </c>
      <c r="F240">
        <f>IFERROR(VLOOKUP(A240,FuelPrices_!$B$61:$G$65,6,FALSE),"")</f>
        <v>0.05</v>
      </c>
      <c r="G240">
        <f t="shared" si="6"/>
        <v>0.1</v>
      </c>
    </row>
    <row r="241" spans="1:9" x14ac:dyDescent="0.25">
      <c r="A241" t="str">
        <f>IF(FuelPrices_!AK246="","",FuelPrices_!AK246)</f>
        <v>Electricity</v>
      </c>
      <c r="B241" t="str">
        <f>IF(FuelPrices_!AL246="","",FuelPrices_!AL246)</f>
        <v>Low</v>
      </c>
      <c r="C241">
        <f>IF(FuelPrices_!AM246="","",FuelPrices_!AM246)</f>
        <v>2047</v>
      </c>
      <c r="D241">
        <f>IF(FuelPrices_!AN246="","",FuelPrices_!AN246)</f>
        <v>0.04</v>
      </c>
      <c r="E241">
        <f>IFERROR(VLOOKUP(A241,FuelPrices_!$B$49:$G$53,6,FALSE),"")</f>
        <v>0.01</v>
      </c>
      <c r="F241">
        <f>IFERROR(VLOOKUP(A241,FuelPrices_!$B$61:$G$65,6,FALSE),"")</f>
        <v>0.05</v>
      </c>
      <c r="G241">
        <f t="shared" si="6"/>
        <v>0.1</v>
      </c>
    </row>
    <row r="242" spans="1:9" x14ac:dyDescent="0.25">
      <c r="A242" t="str">
        <f>IF(FuelPrices_!AK247="","",FuelPrices_!AK247)</f>
        <v>Electricity</v>
      </c>
      <c r="B242" t="str">
        <f>IF(FuelPrices_!AL247="","",FuelPrices_!AL247)</f>
        <v>Low</v>
      </c>
      <c r="C242">
        <f>IF(FuelPrices_!AM247="","",FuelPrices_!AM247)</f>
        <v>2048</v>
      </c>
      <c r="D242">
        <f>IF(FuelPrices_!AN247="","",FuelPrices_!AN247)</f>
        <v>0.04</v>
      </c>
      <c r="E242">
        <f>IFERROR(VLOOKUP(A242,FuelPrices_!$B$49:$G$53,6,FALSE),"")</f>
        <v>0.01</v>
      </c>
      <c r="F242">
        <f>IFERROR(VLOOKUP(A242,FuelPrices_!$B$61:$G$65,6,FALSE),"")</f>
        <v>0.05</v>
      </c>
      <c r="G242">
        <f t="shared" si="6"/>
        <v>0.1</v>
      </c>
    </row>
    <row r="243" spans="1:9" x14ac:dyDescent="0.25">
      <c r="A243" t="str">
        <f>IF(FuelPrices_!AK248="","",FuelPrices_!AK248)</f>
        <v>Electricity</v>
      </c>
      <c r="B243" t="str">
        <f>IF(FuelPrices_!AL248="","",FuelPrices_!AL248)</f>
        <v>Low</v>
      </c>
      <c r="C243">
        <f>IF(FuelPrices_!AM248="","",FuelPrices_!AM248)</f>
        <v>2049</v>
      </c>
      <c r="D243">
        <f>IF(FuelPrices_!AN248="","",FuelPrices_!AN248)</f>
        <v>0.04</v>
      </c>
      <c r="E243">
        <f>IFERROR(VLOOKUP(A243,FuelPrices_!$B$49:$G$53,6,FALSE),"")</f>
        <v>0.01</v>
      </c>
      <c r="F243">
        <f>IFERROR(VLOOKUP(A243,FuelPrices_!$B$61:$G$65,6,FALSE),"")</f>
        <v>0.05</v>
      </c>
      <c r="G243">
        <f t="shared" si="6"/>
        <v>0.1</v>
      </c>
    </row>
    <row r="244" spans="1:9" x14ac:dyDescent="0.25">
      <c r="A244" t="str">
        <f>IF(FuelPrices_!AK249="","",FuelPrices_!AK249)</f>
        <v>Electricity</v>
      </c>
      <c r="B244" t="str">
        <f>IF(FuelPrices_!AL249="","",FuelPrices_!AL249)</f>
        <v>Low</v>
      </c>
      <c r="C244">
        <f>IF(FuelPrices_!AM249="","",FuelPrices_!AM249)</f>
        <v>2050</v>
      </c>
      <c r="D244">
        <f>IF(FuelPrices_!AN249="","",FuelPrices_!AN249)</f>
        <v>0.04</v>
      </c>
      <c r="E244">
        <f>IFERROR(VLOOKUP(A244,FuelPrices_!$B$49:$G$53,6,FALSE),"")</f>
        <v>0.01</v>
      </c>
      <c r="F244">
        <f>IFERROR(VLOOKUP(A244,FuelPrices_!$B$61:$G$65,6,FALSE),"")</f>
        <v>0.05</v>
      </c>
      <c r="G244">
        <f t="shared" si="6"/>
        <v>0.1</v>
      </c>
    </row>
    <row r="245" spans="1:9" x14ac:dyDescent="0.25">
      <c r="A245" t="str">
        <f>IF(FuelPrices_!AK250="","",FuelPrices_!AK250)</f>
        <v>BG</v>
      </c>
      <c r="B245" t="str">
        <f>IF(FuelPrices_!AL250="","",FuelPrices_!AL250)</f>
        <v>High</v>
      </c>
      <c r="C245">
        <f>IF(FuelPrices_!AM250="","",FuelPrices_!AM250)</f>
        <v>2024</v>
      </c>
      <c r="D245">
        <f>IF(FuelPrices_!AN250="","",FuelPrices_!AN250)</f>
        <v>7.0000000000000007E-2</v>
      </c>
      <c r="E245">
        <f>IFERROR(VLOOKUP(A245,FuelPrices_!$B$49:$G$53,6,FALSE),"")</f>
        <v>5.4000000000000001E-4</v>
      </c>
      <c r="F245">
        <f>IFERROR(VLOOKUP(A245,FuelPrices_!$B$61:$G$65,6,FALSE),"")</f>
        <v>4.1269841269841276E-2</v>
      </c>
      <c r="G245">
        <f t="shared" si="6"/>
        <v>0.11180984126984128</v>
      </c>
      <c r="I245">
        <f>G245*15.75</f>
        <v>1.7610050000000002</v>
      </c>
    </row>
    <row r="246" spans="1:9" x14ac:dyDescent="0.25">
      <c r="A246" t="str">
        <f>IF(FuelPrices_!AK251="","",FuelPrices_!AK251)</f>
        <v>BG</v>
      </c>
      <c r="B246" t="str">
        <f>IF(FuelPrices_!AL251="","",FuelPrices_!AL251)</f>
        <v>High</v>
      </c>
      <c r="C246">
        <f>IF(FuelPrices_!AM251="","",FuelPrices_!AM251)</f>
        <v>2025</v>
      </c>
      <c r="D246">
        <f>IF(FuelPrices_!AN251="","",FuelPrices_!AN251)</f>
        <v>7.8333333333333324E-2</v>
      </c>
      <c r="E246">
        <f>IFERROR(VLOOKUP(A246,FuelPrices_!$B$49:$G$53,6,FALSE),"")</f>
        <v>5.4000000000000001E-4</v>
      </c>
      <c r="F246">
        <f>IFERROR(VLOOKUP(A246,FuelPrices_!$B$61:$G$65,6,FALSE),"")</f>
        <v>4.1269841269841276E-2</v>
      </c>
      <c r="G246">
        <f t="shared" si="6"/>
        <v>0.1201431746031746</v>
      </c>
      <c r="I246">
        <f t="shared" ref="I246:I309" si="7">G246*15.75</f>
        <v>1.892255</v>
      </c>
    </row>
    <row r="247" spans="1:9" x14ac:dyDescent="0.25">
      <c r="A247" t="str">
        <f>IF(FuelPrices_!AK252="","",FuelPrices_!AK252)</f>
        <v>BG</v>
      </c>
      <c r="B247" t="str">
        <f>IF(FuelPrices_!AL252="","",FuelPrices_!AL252)</f>
        <v>High</v>
      </c>
      <c r="C247">
        <f>IF(FuelPrices_!AM252="","",FuelPrices_!AM252)</f>
        <v>2026</v>
      </c>
      <c r="D247">
        <f>IF(FuelPrices_!AN252="","",FuelPrices_!AN252)</f>
        <v>8.6666666666666656E-2</v>
      </c>
      <c r="E247">
        <f>IFERROR(VLOOKUP(A247,FuelPrices_!$B$49:$G$53,6,FALSE),"")</f>
        <v>5.4000000000000001E-4</v>
      </c>
      <c r="F247">
        <f>IFERROR(VLOOKUP(A247,FuelPrices_!$B$61:$G$65,6,FALSE),"")</f>
        <v>4.1269841269841276E-2</v>
      </c>
      <c r="G247">
        <f t="shared" si="6"/>
        <v>0.12847650793650794</v>
      </c>
      <c r="I247">
        <f t="shared" si="7"/>
        <v>2.0235050000000001</v>
      </c>
    </row>
    <row r="248" spans="1:9" x14ac:dyDescent="0.25">
      <c r="A248" t="str">
        <f>IF(FuelPrices_!AK253="","",FuelPrices_!AK253)</f>
        <v>BG</v>
      </c>
      <c r="B248" t="str">
        <f>IF(FuelPrices_!AL253="","",FuelPrices_!AL253)</f>
        <v>High</v>
      </c>
      <c r="C248">
        <f>IF(FuelPrices_!AM253="","",FuelPrices_!AM253)</f>
        <v>2027</v>
      </c>
      <c r="D248">
        <f>IF(FuelPrices_!AN253="","",FuelPrices_!AN253)</f>
        <v>9.5000000000000001E-2</v>
      </c>
      <c r="E248">
        <f>IFERROR(VLOOKUP(A248,FuelPrices_!$B$49:$G$53,6,FALSE),"")</f>
        <v>5.4000000000000001E-4</v>
      </c>
      <c r="F248">
        <f>IFERROR(VLOOKUP(A248,FuelPrices_!$B$61:$G$65,6,FALSE),"")</f>
        <v>4.1269841269841276E-2</v>
      </c>
      <c r="G248">
        <f t="shared" si="6"/>
        <v>0.13680984126984128</v>
      </c>
      <c r="I248">
        <f t="shared" si="7"/>
        <v>2.1547550000000002</v>
      </c>
    </row>
    <row r="249" spans="1:9" x14ac:dyDescent="0.25">
      <c r="A249" t="str">
        <f>IF(FuelPrices_!AK254="","",FuelPrices_!AK254)</f>
        <v>BG</v>
      </c>
      <c r="B249" t="str">
        <f>IF(FuelPrices_!AL254="","",FuelPrices_!AL254)</f>
        <v>High</v>
      </c>
      <c r="C249">
        <f>IF(FuelPrices_!AM254="","",FuelPrices_!AM254)</f>
        <v>2028</v>
      </c>
      <c r="D249">
        <f>IF(FuelPrices_!AN254="","",FuelPrices_!AN254)</f>
        <v>0.10333333333333333</v>
      </c>
      <c r="E249">
        <f>IFERROR(VLOOKUP(A249,FuelPrices_!$B$49:$G$53,6,FALSE),"")</f>
        <v>5.4000000000000001E-4</v>
      </c>
      <c r="F249">
        <f>IFERROR(VLOOKUP(A249,FuelPrices_!$B$61:$G$65,6,FALSE),"")</f>
        <v>4.1269841269841276E-2</v>
      </c>
      <c r="G249">
        <f t="shared" si="6"/>
        <v>0.14514317460317461</v>
      </c>
      <c r="I249">
        <f t="shared" si="7"/>
        <v>2.2860050000000003</v>
      </c>
    </row>
    <row r="250" spans="1:9" x14ac:dyDescent="0.25">
      <c r="A250" t="str">
        <f>IF(FuelPrices_!AK255="","",FuelPrices_!AK255)</f>
        <v>BG</v>
      </c>
      <c r="B250" t="str">
        <f>IF(FuelPrices_!AL255="","",FuelPrices_!AL255)</f>
        <v>High</v>
      </c>
      <c r="C250">
        <f>IF(FuelPrices_!AM255="","",FuelPrices_!AM255)</f>
        <v>2029</v>
      </c>
      <c r="D250">
        <f>IF(FuelPrices_!AN255="","",FuelPrices_!AN255)</f>
        <v>0.11166666666666668</v>
      </c>
      <c r="E250">
        <f>IFERROR(VLOOKUP(A250,FuelPrices_!$B$49:$G$53,6,FALSE),"")</f>
        <v>5.4000000000000001E-4</v>
      </c>
      <c r="F250">
        <f>IFERROR(VLOOKUP(A250,FuelPrices_!$B$61:$G$65,6,FALSE),"")</f>
        <v>4.1269841269841276E-2</v>
      </c>
      <c r="G250">
        <f t="shared" si="6"/>
        <v>0.15347650793650797</v>
      </c>
      <c r="I250">
        <f t="shared" si="7"/>
        <v>2.4172550000000004</v>
      </c>
    </row>
    <row r="251" spans="1:9" x14ac:dyDescent="0.25">
      <c r="A251" t="str">
        <f>IF(FuelPrices_!AK256="","",FuelPrices_!AK256)</f>
        <v>BG</v>
      </c>
      <c r="B251" t="str">
        <f>IF(FuelPrices_!AL256="","",FuelPrices_!AL256)</f>
        <v>High</v>
      </c>
      <c r="C251">
        <f>IF(FuelPrices_!AM256="","",FuelPrices_!AM256)</f>
        <v>2030</v>
      </c>
      <c r="D251">
        <f>IF(FuelPrices_!AN256="","",FuelPrices_!AN256)</f>
        <v>0.12</v>
      </c>
      <c r="E251">
        <f>IFERROR(VLOOKUP(A251,FuelPrices_!$B$49:$G$53,6,FALSE),"")</f>
        <v>5.4000000000000001E-4</v>
      </c>
      <c r="F251">
        <f>IFERROR(VLOOKUP(A251,FuelPrices_!$B$61:$G$65,6,FALSE),"")</f>
        <v>4.1269841269841276E-2</v>
      </c>
      <c r="G251">
        <f t="shared" si="6"/>
        <v>0.16180984126984127</v>
      </c>
      <c r="I251">
        <f t="shared" si="7"/>
        <v>2.548505</v>
      </c>
    </row>
    <row r="252" spans="1:9" x14ac:dyDescent="0.25">
      <c r="A252" t="str">
        <f>IF(FuelPrices_!AK257="","",FuelPrices_!AK257)</f>
        <v>BG</v>
      </c>
      <c r="B252" t="str">
        <f>IF(FuelPrices_!AL257="","",FuelPrices_!AL257)</f>
        <v>High</v>
      </c>
      <c r="C252">
        <f>IF(FuelPrices_!AM257="","",FuelPrices_!AM257)</f>
        <v>2031</v>
      </c>
      <c r="D252">
        <f>IF(FuelPrices_!AN257="","",FuelPrices_!AN257)</f>
        <v>0.12</v>
      </c>
      <c r="E252">
        <f>IFERROR(VLOOKUP(A252,FuelPrices_!$B$49:$G$53,6,FALSE),"")</f>
        <v>5.4000000000000001E-4</v>
      </c>
      <c r="F252">
        <f>IFERROR(VLOOKUP(A252,FuelPrices_!$B$61:$G$65,6,FALSE),"")</f>
        <v>4.1269841269841276E-2</v>
      </c>
      <c r="G252">
        <f t="shared" si="6"/>
        <v>0.16180984126984127</v>
      </c>
      <c r="I252">
        <f t="shared" si="7"/>
        <v>2.548505</v>
      </c>
    </row>
    <row r="253" spans="1:9" x14ac:dyDescent="0.25">
      <c r="A253" t="str">
        <f>IF(FuelPrices_!AK258="","",FuelPrices_!AK258)</f>
        <v>BG</v>
      </c>
      <c r="B253" t="str">
        <f>IF(FuelPrices_!AL258="","",FuelPrices_!AL258)</f>
        <v>High</v>
      </c>
      <c r="C253">
        <f>IF(FuelPrices_!AM258="","",FuelPrices_!AM258)</f>
        <v>2032</v>
      </c>
      <c r="D253">
        <f>IF(FuelPrices_!AN258="","",FuelPrices_!AN258)</f>
        <v>0.12</v>
      </c>
      <c r="E253">
        <f>IFERROR(VLOOKUP(A253,FuelPrices_!$B$49:$G$53,6,FALSE),"")</f>
        <v>5.4000000000000001E-4</v>
      </c>
      <c r="F253">
        <f>IFERROR(VLOOKUP(A253,FuelPrices_!$B$61:$G$65,6,FALSE),"")</f>
        <v>4.1269841269841276E-2</v>
      </c>
      <c r="G253">
        <f t="shared" si="6"/>
        <v>0.16180984126984127</v>
      </c>
      <c r="I253">
        <f t="shared" si="7"/>
        <v>2.548505</v>
      </c>
    </row>
    <row r="254" spans="1:9" x14ac:dyDescent="0.25">
      <c r="A254" t="str">
        <f>IF(FuelPrices_!AK259="","",FuelPrices_!AK259)</f>
        <v>BG</v>
      </c>
      <c r="B254" t="str">
        <f>IF(FuelPrices_!AL259="","",FuelPrices_!AL259)</f>
        <v>High</v>
      </c>
      <c r="C254">
        <f>IF(FuelPrices_!AM259="","",FuelPrices_!AM259)</f>
        <v>2033</v>
      </c>
      <c r="D254">
        <f>IF(FuelPrices_!AN259="","",FuelPrices_!AN259)</f>
        <v>0.12</v>
      </c>
      <c r="E254">
        <f>IFERROR(VLOOKUP(A254,FuelPrices_!$B$49:$G$53,6,FALSE),"")</f>
        <v>5.4000000000000001E-4</v>
      </c>
      <c r="F254">
        <f>IFERROR(VLOOKUP(A254,FuelPrices_!$B$61:$G$65,6,FALSE),"")</f>
        <v>4.1269841269841276E-2</v>
      </c>
      <c r="G254">
        <f t="shared" si="6"/>
        <v>0.16180984126984127</v>
      </c>
      <c r="I254">
        <f t="shared" si="7"/>
        <v>2.548505</v>
      </c>
    </row>
    <row r="255" spans="1:9" x14ac:dyDescent="0.25">
      <c r="A255" t="str">
        <f>IF(FuelPrices_!AK260="","",FuelPrices_!AK260)</f>
        <v>BG</v>
      </c>
      <c r="B255" t="str">
        <f>IF(FuelPrices_!AL260="","",FuelPrices_!AL260)</f>
        <v>High</v>
      </c>
      <c r="C255">
        <f>IF(FuelPrices_!AM260="","",FuelPrices_!AM260)</f>
        <v>2034</v>
      </c>
      <c r="D255">
        <f>IF(FuelPrices_!AN260="","",FuelPrices_!AN260)</f>
        <v>0.12</v>
      </c>
      <c r="E255">
        <f>IFERROR(VLOOKUP(A255,FuelPrices_!$B$49:$G$53,6,FALSE),"")</f>
        <v>5.4000000000000001E-4</v>
      </c>
      <c r="F255">
        <f>IFERROR(VLOOKUP(A255,FuelPrices_!$B$61:$G$65,6,FALSE),"")</f>
        <v>4.1269841269841276E-2</v>
      </c>
      <c r="G255">
        <f t="shared" si="6"/>
        <v>0.16180984126984127</v>
      </c>
      <c r="I255">
        <f t="shared" si="7"/>
        <v>2.548505</v>
      </c>
    </row>
    <row r="256" spans="1:9" x14ac:dyDescent="0.25">
      <c r="A256" t="str">
        <f>IF(FuelPrices_!AK261="","",FuelPrices_!AK261)</f>
        <v>BG</v>
      </c>
      <c r="B256" t="str">
        <f>IF(FuelPrices_!AL261="","",FuelPrices_!AL261)</f>
        <v>High</v>
      </c>
      <c r="C256">
        <f>IF(FuelPrices_!AM261="","",FuelPrices_!AM261)</f>
        <v>2035</v>
      </c>
      <c r="D256">
        <f>IF(FuelPrices_!AN261="","",FuelPrices_!AN261)</f>
        <v>0.12</v>
      </c>
      <c r="E256">
        <f>IFERROR(VLOOKUP(A256,FuelPrices_!$B$49:$G$53,6,FALSE),"")</f>
        <v>5.4000000000000001E-4</v>
      </c>
      <c r="F256">
        <f>IFERROR(VLOOKUP(A256,FuelPrices_!$B$61:$G$65,6,FALSE),"")</f>
        <v>4.1269841269841276E-2</v>
      </c>
      <c r="G256">
        <f t="shared" si="6"/>
        <v>0.16180984126984127</v>
      </c>
      <c r="I256">
        <f t="shared" si="7"/>
        <v>2.548505</v>
      </c>
    </row>
    <row r="257" spans="1:9" x14ac:dyDescent="0.25">
      <c r="A257" t="str">
        <f>IF(FuelPrices_!AK262="","",FuelPrices_!AK262)</f>
        <v>BG</v>
      </c>
      <c r="B257" t="str">
        <f>IF(FuelPrices_!AL262="","",FuelPrices_!AL262)</f>
        <v>High</v>
      </c>
      <c r="C257">
        <f>IF(FuelPrices_!AM262="","",FuelPrices_!AM262)</f>
        <v>2036</v>
      </c>
      <c r="D257">
        <f>IF(FuelPrices_!AN262="","",FuelPrices_!AN262)</f>
        <v>0.12</v>
      </c>
      <c r="E257">
        <f>IFERROR(VLOOKUP(A257,FuelPrices_!$B$49:$G$53,6,FALSE),"")</f>
        <v>5.4000000000000001E-4</v>
      </c>
      <c r="F257">
        <f>IFERROR(VLOOKUP(A257,FuelPrices_!$B$61:$G$65,6,FALSE),"")</f>
        <v>4.1269841269841276E-2</v>
      </c>
      <c r="G257">
        <f t="shared" si="6"/>
        <v>0.16180984126984127</v>
      </c>
      <c r="I257">
        <f t="shared" si="7"/>
        <v>2.548505</v>
      </c>
    </row>
    <row r="258" spans="1:9" x14ac:dyDescent="0.25">
      <c r="A258" t="str">
        <f>IF(FuelPrices_!AK263="","",FuelPrices_!AK263)</f>
        <v>BG</v>
      </c>
      <c r="B258" t="str">
        <f>IF(FuelPrices_!AL263="","",FuelPrices_!AL263)</f>
        <v>High</v>
      </c>
      <c r="C258">
        <f>IF(FuelPrices_!AM263="","",FuelPrices_!AM263)</f>
        <v>2037</v>
      </c>
      <c r="D258">
        <f>IF(FuelPrices_!AN263="","",FuelPrices_!AN263)</f>
        <v>0.12</v>
      </c>
      <c r="E258">
        <f>IFERROR(VLOOKUP(A258,FuelPrices_!$B$49:$G$53,6,FALSE),"")</f>
        <v>5.4000000000000001E-4</v>
      </c>
      <c r="F258">
        <f>IFERROR(VLOOKUP(A258,FuelPrices_!$B$61:$G$65,6,FALSE),"")</f>
        <v>4.1269841269841276E-2</v>
      </c>
      <c r="G258">
        <f t="shared" si="6"/>
        <v>0.16180984126984127</v>
      </c>
      <c r="I258">
        <f t="shared" si="7"/>
        <v>2.548505</v>
      </c>
    </row>
    <row r="259" spans="1:9" x14ac:dyDescent="0.25">
      <c r="A259" t="str">
        <f>IF(FuelPrices_!AK264="","",FuelPrices_!AK264)</f>
        <v>BG</v>
      </c>
      <c r="B259" t="str">
        <f>IF(FuelPrices_!AL264="","",FuelPrices_!AL264)</f>
        <v>High</v>
      </c>
      <c r="C259">
        <f>IF(FuelPrices_!AM264="","",FuelPrices_!AM264)</f>
        <v>2038</v>
      </c>
      <c r="D259">
        <f>IF(FuelPrices_!AN264="","",FuelPrices_!AN264)</f>
        <v>0.12</v>
      </c>
      <c r="E259">
        <f>IFERROR(VLOOKUP(A259,FuelPrices_!$B$49:$G$53,6,FALSE),"")</f>
        <v>5.4000000000000001E-4</v>
      </c>
      <c r="F259">
        <f>IFERROR(VLOOKUP(A259,FuelPrices_!$B$61:$G$65,6,FALSE),"")</f>
        <v>4.1269841269841276E-2</v>
      </c>
      <c r="G259">
        <f t="shared" ref="G259:G322" si="8">IFERROR(D259+E259+F259,"")</f>
        <v>0.16180984126984127</v>
      </c>
      <c r="I259">
        <f t="shared" si="7"/>
        <v>2.548505</v>
      </c>
    </row>
    <row r="260" spans="1:9" x14ac:dyDescent="0.25">
      <c r="A260" t="str">
        <f>IF(FuelPrices_!AK265="","",FuelPrices_!AK265)</f>
        <v>BG</v>
      </c>
      <c r="B260" t="str">
        <f>IF(FuelPrices_!AL265="","",FuelPrices_!AL265)</f>
        <v>High</v>
      </c>
      <c r="C260">
        <f>IF(FuelPrices_!AM265="","",FuelPrices_!AM265)</f>
        <v>2039</v>
      </c>
      <c r="D260">
        <f>IF(FuelPrices_!AN265="","",FuelPrices_!AN265)</f>
        <v>0.12</v>
      </c>
      <c r="E260">
        <f>IFERROR(VLOOKUP(A260,FuelPrices_!$B$49:$G$53,6,FALSE),"")</f>
        <v>5.4000000000000001E-4</v>
      </c>
      <c r="F260">
        <f>IFERROR(VLOOKUP(A260,FuelPrices_!$B$61:$G$65,6,FALSE),"")</f>
        <v>4.1269841269841276E-2</v>
      </c>
      <c r="G260">
        <f t="shared" si="8"/>
        <v>0.16180984126984127</v>
      </c>
      <c r="I260">
        <f t="shared" si="7"/>
        <v>2.548505</v>
      </c>
    </row>
    <row r="261" spans="1:9" x14ac:dyDescent="0.25">
      <c r="A261" t="str">
        <f>IF(FuelPrices_!AK266="","",FuelPrices_!AK266)</f>
        <v>BG</v>
      </c>
      <c r="B261" t="str">
        <f>IF(FuelPrices_!AL266="","",FuelPrices_!AL266)</f>
        <v>High</v>
      </c>
      <c r="C261">
        <f>IF(FuelPrices_!AM266="","",FuelPrices_!AM266)</f>
        <v>2040</v>
      </c>
      <c r="D261">
        <f>IF(FuelPrices_!AN266="","",FuelPrices_!AN266)</f>
        <v>0.12</v>
      </c>
      <c r="E261">
        <f>IFERROR(VLOOKUP(A261,FuelPrices_!$B$49:$G$53,6,FALSE),"")</f>
        <v>5.4000000000000001E-4</v>
      </c>
      <c r="F261">
        <f>IFERROR(VLOOKUP(A261,FuelPrices_!$B$61:$G$65,6,FALSE),"")</f>
        <v>4.1269841269841276E-2</v>
      </c>
      <c r="G261">
        <f t="shared" si="8"/>
        <v>0.16180984126984127</v>
      </c>
      <c r="I261">
        <f t="shared" si="7"/>
        <v>2.548505</v>
      </c>
    </row>
    <row r="262" spans="1:9" x14ac:dyDescent="0.25">
      <c r="A262" t="str">
        <f>IF(FuelPrices_!AK267="","",FuelPrices_!AK267)</f>
        <v>BG</v>
      </c>
      <c r="B262" t="str">
        <f>IF(FuelPrices_!AL267="","",FuelPrices_!AL267)</f>
        <v>High</v>
      </c>
      <c r="C262">
        <f>IF(FuelPrices_!AM267="","",FuelPrices_!AM267)</f>
        <v>2041</v>
      </c>
      <c r="D262">
        <f>IF(FuelPrices_!AN267="","",FuelPrices_!AN267)</f>
        <v>0.12</v>
      </c>
      <c r="E262">
        <f>IFERROR(VLOOKUP(A262,FuelPrices_!$B$49:$G$53,6,FALSE),"")</f>
        <v>5.4000000000000001E-4</v>
      </c>
      <c r="F262">
        <f>IFERROR(VLOOKUP(A262,FuelPrices_!$B$61:$G$65,6,FALSE),"")</f>
        <v>4.1269841269841276E-2</v>
      </c>
      <c r="G262">
        <f t="shared" si="8"/>
        <v>0.16180984126984127</v>
      </c>
      <c r="I262">
        <f t="shared" si="7"/>
        <v>2.548505</v>
      </c>
    </row>
    <row r="263" spans="1:9" x14ac:dyDescent="0.25">
      <c r="A263" t="str">
        <f>IF(FuelPrices_!AK268="","",FuelPrices_!AK268)</f>
        <v>BG</v>
      </c>
      <c r="B263" t="str">
        <f>IF(FuelPrices_!AL268="","",FuelPrices_!AL268)</f>
        <v>High</v>
      </c>
      <c r="C263">
        <f>IF(FuelPrices_!AM268="","",FuelPrices_!AM268)</f>
        <v>2042</v>
      </c>
      <c r="D263">
        <f>IF(FuelPrices_!AN268="","",FuelPrices_!AN268)</f>
        <v>0.12</v>
      </c>
      <c r="E263">
        <f>IFERROR(VLOOKUP(A263,FuelPrices_!$B$49:$G$53,6,FALSE),"")</f>
        <v>5.4000000000000001E-4</v>
      </c>
      <c r="F263">
        <f>IFERROR(VLOOKUP(A263,FuelPrices_!$B$61:$G$65,6,FALSE),"")</f>
        <v>4.1269841269841276E-2</v>
      </c>
      <c r="G263">
        <f t="shared" si="8"/>
        <v>0.16180984126984127</v>
      </c>
      <c r="I263">
        <f>G263*15.75</f>
        <v>2.548505</v>
      </c>
    </row>
    <row r="264" spans="1:9" x14ac:dyDescent="0.25">
      <c r="A264" t="str">
        <f>IF(FuelPrices_!AK269="","",FuelPrices_!AK269)</f>
        <v>BG</v>
      </c>
      <c r="B264" t="str">
        <f>IF(FuelPrices_!AL269="","",FuelPrices_!AL269)</f>
        <v>High</v>
      </c>
      <c r="C264">
        <f>IF(FuelPrices_!AM269="","",FuelPrices_!AM269)</f>
        <v>2043</v>
      </c>
      <c r="D264">
        <f>IF(FuelPrices_!AN269="","",FuelPrices_!AN269)</f>
        <v>0.12</v>
      </c>
      <c r="E264">
        <f>IFERROR(VLOOKUP(A264,FuelPrices_!$B$49:$G$53,6,FALSE),"")</f>
        <v>5.4000000000000001E-4</v>
      </c>
      <c r="F264">
        <f>IFERROR(VLOOKUP(A264,FuelPrices_!$B$61:$G$65,6,FALSE),"")</f>
        <v>4.1269841269841276E-2</v>
      </c>
      <c r="G264">
        <f t="shared" si="8"/>
        <v>0.16180984126984127</v>
      </c>
      <c r="I264">
        <f t="shared" si="7"/>
        <v>2.548505</v>
      </c>
    </row>
    <row r="265" spans="1:9" x14ac:dyDescent="0.25">
      <c r="A265" t="str">
        <f>IF(FuelPrices_!AK270="","",FuelPrices_!AK270)</f>
        <v>BG</v>
      </c>
      <c r="B265" t="str">
        <f>IF(FuelPrices_!AL270="","",FuelPrices_!AL270)</f>
        <v>High</v>
      </c>
      <c r="C265">
        <f>IF(FuelPrices_!AM270="","",FuelPrices_!AM270)</f>
        <v>2044</v>
      </c>
      <c r="D265">
        <f>IF(FuelPrices_!AN270="","",FuelPrices_!AN270)</f>
        <v>0.12</v>
      </c>
      <c r="E265">
        <f>IFERROR(VLOOKUP(A265,FuelPrices_!$B$49:$G$53,6,FALSE),"")</f>
        <v>5.4000000000000001E-4</v>
      </c>
      <c r="F265">
        <f>IFERROR(VLOOKUP(A265,FuelPrices_!$B$61:$G$65,6,FALSE),"")</f>
        <v>4.1269841269841276E-2</v>
      </c>
      <c r="G265">
        <f t="shared" si="8"/>
        <v>0.16180984126984127</v>
      </c>
      <c r="I265">
        <f t="shared" si="7"/>
        <v>2.548505</v>
      </c>
    </row>
    <row r="266" spans="1:9" x14ac:dyDescent="0.25">
      <c r="A266" t="str">
        <f>IF(FuelPrices_!AK271="","",FuelPrices_!AK271)</f>
        <v>BG</v>
      </c>
      <c r="B266" t="str">
        <f>IF(FuelPrices_!AL271="","",FuelPrices_!AL271)</f>
        <v>High</v>
      </c>
      <c r="C266">
        <f>IF(FuelPrices_!AM271="","",FuelPrices_!AM271)</f>
        <v>2045</v>
      </c>
      <c r="D266">
        <f>IF(FuelPrices_!AN271="","",FuelPrices_!AN271)</f>
        <v>0.12</v>
      </c>
      <c r="E266">
        <f>IFERROR(VLOOKUP(A266,FuelPrices_!$B$49:$G$53,6,FALSE),"")</f>
        <v>5.4000000000000001E-4</v>
      </c>
      <c r="F266">
        <f>IFERROR(VLOOKUP(A266,FuelPrices_!$B$61:$G$65,6,FALSE),"")</f>
        <v>4.1269841269841276E-2</v>
      </c>
      <c r="G266">
        <f t="shared" si="8"/>
        <v>0.16180984126984127</v>
      </c>
      <c r="I266">
        <f t="shared" si="7"/>
        <v>2.548505</v>
      </c>
    </row>
    <row r="267" spans="1:9" x14ac:dyDescent="0.25">
      <c r="A267" t="str">
        <f>IF(FuelPrices_!AK272="","",FuelPrices_!AK272)</f>
        <v>BG</v>
      </c>
      <c r="B267" t="str">
        <f>IF(FuelPrices_!AL272="","",FuelPrices_!AL272)</f>
        <v>High</v>
      </c>
      <c r="C267">
        <f>IF(FuelPrices_!AM272="","",FuelPrices_!AM272)</f>
        <v>2046</v>
      </c>
      <c r="D267">
        <f>IF(FuelPrices_!AN272="","",FuelPrices_!AN272)</f>
        <v>0.12</v>
      </c>
      <c r="E267">
        <f>IFERROR(VLOOKUP(A267,FuelPrices_!$B$49:$G$53,6,FALSE),"")</f>
        <v>5.4000000000000001E-4</v>
      </c>
      <c r="F267">
        <f>IFERROR(VLOOKUP(A267,FuelPrices_!$B$61:$G$65,6,FALSE),"")</f>
        <v>4.1269841269841276E-2</v>
      </c>
      <c r="G267">
        <f t="shared" si="8"/>
        <v>0.16180984126984127</v>
      </c>
      <c r="I267">
        <f t="shared" si="7"/>
        <v>2.548505</v>
      </c>
    </row>
    <row r="268" spans="1:9" x14ac:dyDescent="0.25">
      <c r="A268" t="str">
        <f>IF(FuelPrices_!AK273="","",FuelPrices_!AK273)</f>
        <v>BG</v>
      </c>
      <c r="B268" t="str">
        <f>IF(FuelPrices_!AL273="","",FuelPrices_!AL273)</f>
        <v>High</v>
      </c>
      <c r="C268">
        <f>IF(FuelPrices_!AM273="","",FuelPrices_!AM273)</f>
        <v>2047</v>
      </c>
      <c r="D268">
        <f>IF(FuelPrices_!AN273="","",FuelPrices_!AN273)</f>
        <v>0.12</v>
      </c>
      <c r="E268">
        <f>IFERROR(VLOOKUP(A268,FuelPrices_!$B$49:$G$53,6,FALSE),"")</f>
        <v>5.4000000000000001E-4</v>
      </c>
      <c r="F268">
        <f>IFERROR(VLOOKUP(A268,FuelPrices_!$B$61:$G$65,6,FALSE),"")</f>
        <v>4.1269841269841276E-2</v>
      </c>
      <c r="G268">
        <f t="shared" si="8"/>
        <v>0.16180984126984127</v>
      </c>
      <c r="I268">
        <f t="shared" si="7"/>
        <v>2.548505</v>
      </c>
    </row>
    <row r="269" spans="1:9" x14ac:dyDescent="0.25">
      <c r="A269" t="str">
        <f>IF(FuelPrices_!AK274="","",FuelPrices_!AK274)</f>
        <v>BG</v>
      </c>
      <c r="B269" t="str">
        <f>IF(FuelPrices_!AL274="","",FuelPrices_!AL274)</f>
        <v>High</v>
      </c>
      <c r="C269">
        <f>IF(FuelPrices_!AM274="","",FuelPrices_!AM274)</f>
        <v>2048</v>
      </c>
      <c r="D269">
        <f>IF(FuelPrices_!AN274="","",FuelPrices_!AN274)</f>
        <v>0.12</v>
      </c>
      <c r="E269">
        <f>IFERROR(VLOOKUP(A269,FuelPrices_!$B$49:$G$53,6,FALSE),"")</f>
        <v>5.4000000000000001E-4</v>
      </c>
      <c r="F269">
        <f>IFERROR(VLOOKUP(A269,FuelPrices_!$B$61:$G$65,6,FALSE),"")</f>
        <v>4.1269841269841276E-2</v>
      </c>
      <c r="G269">
        <f t="shared" si="8"/>
        <v>0.16180984126984127</v>
      </c>
      <c r="I269">
        <f t="shared" si="7"/>
        <v>2.548505</v>
      </c>
    </row>
    <row r="270" spans="1:9" x14ac:dyDescent="0.25">
      <c r="A270" t="str">
        <f>IF(FuelPrices_!AK275="","",FuelPrices_!AK275)</f>
        <v>BG</v>
      </c>
      <c r="B270" t="str">
        <f>IF(FuelPrices_!AL275="","",FuelPrices_!AL275)</f>
        <v>High</v>
      </c>
      <c r="C270">
        <f>IF(FuelPrices_!AM275="","",FuelPrices_!AM275)</f>
        <v>2049</v>
      </c>
      <c r="D270">
        <f>IF(FuelPrices_!AN275="","",FuelPrices_!AN275)</f>
        <v>0.12</v>
      </c>
      <c r="E270">
        <f>IFERROR(VLOOKUP(A270,FuelPrices_!$B$49:$G$53,6,FALSE),"")</f>
        <v>5.4000000000000001E-4</v>
      </c>
      <c r="F270">
        <f>IFERROR(VLOOKUP(A270,FuelPrices_!$B$61:$G$65,6,FALSE),"")</f>
        <v>4.1269841269841276E-2</v>
      </c>
      <c r="G270">
        <f t="shared" si="8"/>
        <v>0.16180984126984127</v>
      </c>
      <c r="I270">
        <f t="shared" si="7"/>
        <v>2.548505</v>
      </c>
    </row>
    <row r="271" spans="1:9" x14ac:dyDescent="0.25">
      <c r="A271" t="str">
        <f>IF(FuelPrices_!AK276="","",FuelPrices_!AK276)</f>
        <v>BG</v>
      </c>
      <c r="B271" t="str">
        <f>IF(FuelPrices_!AL276="","",FuelPrices_!AL276)</f>
        <v>High</v>
      </c>
      <c r="C271">
        <f>IF(FuelPrices_!AM276="","",FuelPrices_!AM276)</f>
        <v>2050</v>
      </c>
      <c r="D271">
        <f>IF(FuelPrices_!AN276="","",FuelPrices_!AN276)</f>
        <v>0.12</v>
      </c>
      <c r="E271">
        <f>IFERROR(VLOOKUP(A271,FuelPrices_!$B$49:$G$53,6,FALSE),"")</f>
        <v>5.4000000000000001E-4</v>
      </c>
      <c r="F271">
        <f>IFERROR(VLOOKUP(A271,FuelPrices_!$B$61:$G$65,6,FALSE),"")</f>
        <v>4.1269841269841276E-2</v>
      </c>
      <c r="G271">
        <f t="shared" si="8"/>
        <v>0.16180984126984127</v>
      </c>
      <c r="I271">
        <f t="shared" si="7"/>
        <v>2.548505</v>
      </c>
    </row>
    <row r="272" spans="1:9" x14ac:dyDescent="0.25">
      <c r="A272" t="str">
        <f>IF(FuelPrices_!AK277="","",FuelPrices_!AK277)</f>
        <v>BG</v>
      </c>
      <c r="B272" t="str">
        <f>IF(FuelPrices_!AL277="","",FuelPrices_!AL277)</f>
        <v>Average</v>
      </c>
      <c r="C272">
        <f>IF(FuelPrices_!AM277="","",FuelPrices_!AM277)</f>
        <v>2024</v>
      </c>
      <c r="D272">
        <f>IF(FuelPrices_!AN277="","",FuelPrices_!AN277)</f>
        <v>7.0000000000000007E-2</v>
      </c>
      <c r="E272">
        <f>IFERROR(VLOOKUP(A272,FuelPrices_!$B$49:$G$53,6,FALSE),"")</f>
        <v>5.4000000000000001E-4</v>
      </c>
      <c r="F272">
        <f>IFERROR(VLOOKUP(A272,FuelPrices_!$B$61:$G$65,6,FALSE),"")</f>
        <v>4.1269841269841276E-2</v>
      </c>
      <c r="G272">
        <f t="shared" si="8"/>
        <v>0.11180984126984128</v>
      </c>
      <c r="I272">
        <f t="shared" si="7"/>
        <v>1.7610050000000002</v>
      </c>
    </row>
    <row r="273" spans="1:9" x14ac:dyDescent="0.25">
      <c r="A273" t="str">
        <f>IF(FuelPrices_!AK278="","",FuelPrices_!AK278)</f>
        <v>BG</v>
      </c>
      <c r="B273" t="str">
        <f>IF(FuelPrices_!AL278="","",FuelPrices_!AL278)</f>
        <v>Average</v>
      </c>
      <c r="C273">
        <f>IF(FuelPrices_!AM278="","",FuelPrices_!AM278)</f>
        <v>2025</v>
      </c>
      <c r="D273">
        <f>IF(FuelPrices_!AN278="","",FuelPrices_!AN278)</f>
        <v>7.3333333333333334E-2</v>
      </c>
      <c r="E273">
        <f>IFERROR(VLOOKUP(A273,FuelPrices_!$B$49:$G$53,6,FALSE),"")</f>
        <v>5.4000000000000001E-4</v>
      </c>
      <c r="F273">
        <f>IFERROR(VLOOKUP(A273,FuelPrices_!$B$61:$G$65,6,FALSE),"")</f>
        <v>4.1269841269841276E-2</v>
      </c>
      <c r="G273">
        <f t="shared" si="8"/>
        <v>0.11514317460317461</v>
      </c>
      <c r="I273">
        <f t="shared" si="7"/>
        <v>1.8135050000000001</v>
      </c>
    </row>
    <row r="274" spans="1:9" x14ac:dyDescent="0.25">
      <c r="A274" t="str">
        <f>IF(FuelPrices_!AK279="","",FuelPrices_!AK279)</f>
        <v>BG</v>
      </c>
      <c r="B274" t="str">
        <f>IF(FuelPrices_!AL279="","",FuelPrices_!AL279)</f>
        <v>Average</v>
      </c>
      <c r="C274">
        <f>IF(FuelPrices_!AM279="","",FuelPrices_!AM279)</f>
        <v>2026</v>
      </c>
      <c r="D274">
        <f>IF(FuelPrices_!AN279="","",FuelPrices_!AN279)</f>
        <v>7.6666666666666675E-2</v>
      </c>
      <c r="E274">
        <f>IFERROR(VLOOKUP(A274,FuelPrices_!$B$49:$G$53,6,FALSE),"")</f>
        <v>5.4000000000000001E-4</v>
      </c>
      <c r="F274">
        <f>IFERROR(VLOOKUP(A274,FuelPrices_!$B$61:$G$65,6,FALSE),"")</f>
        <v>4.1269841269841276E-2</v>
      </c>
      <c r="G274">
        <f t="shared" si="8"/>
        <v>0.11847650793650795</v>
      </c>
      <c r="I274">
        <f t="shared" si="7"/>
        <v>1.8660050000000001</v>
      </c>
    </row>
    <row r="275" spans="1:9" x14ac:dyDescent="0.25">
      <c r="A275" t="str">
        <f>IF(FuelPrices_!AK280="","",FuelPrices_!AK280)</f>
        <v>BG</v>
      </c>
      <c r="B275" t="str">
        <f>IF(FuelPrices_!AL280="","",FuelPrices_!AL280)</f>
        <v>Average</v>
      </c>
      <c r="C275">
        <f>IF(FuelPrices_!AM280="","",FuelPrices_!AM280)</f>
        <v>2027</v>
      </c>
      <c r="D275">
        <f>IF(FuelPrices_!AN280="","",FuelPrices_!AN280)</f>
        <v>0.08</v>
      </c>
      <c r="E275">
        <f>IFERROR(VLOOKUP(A275,FuelPrices_!$B$49:$G$53,6,FALSE),"")</f>
        <v>5.4000000000000001E-4</v>
      </c>
      <c r="F275">
        <f>IFERROR(VLOOKUP(A275,FuelPrices_!$B$61:$G$65,6,FALSE),"")</f>
        <v>4.1269841269841276E-2</v>
      </c>
      <c r="G275">
        <f t="shared" si="8"/>
        <v>0.12180984126984128</v>
      </c>
      <c r="I275">
        <f t="shared" si="7"/>
        <v>1.9185050000000001</v>
      </c>
    </row>
    <row r="276" spans="1:9" x14ac:dyDescent="0.25">
      <c r="A276" t="str">
        <f>IF(FuelPrices_!AK281="","",FuelPrices_!AK281)</f>
        <v>BG</v>
      </c>
      <c r="B276" t="str">
        <f>IF(FuelPrices_!AL281="","",FuelPrices_!AL281)</f>
        <v>Average</v>
      </c>
      <c r="C276">
        <f>IF(FuelPrices_!AM281="","",FuelPrices_!AM281)</f>
        <v>2028</v>
      </c>
      <c r="D276">
        <f>IF(FuelPrices_!AN281="","",FuelPrices_!AN281)</f>
        <v>8.3333333333333329E-2</v>
      </c>
      <c r="E276">
        <f>IFERROR(VLOOKUP(A276,FuelPrices_!$B$49:$G$53,6,FALSE),"")</f>
        <v>5.4000000000000001E-4</v>
      </c>
      <c r="F276">
        <f>IFERROR(VLOOKUP(A276,FuelPrices_!$B$61:$G$65,6,FALSE),"")</f>
        <v>4.1269841269841276E-2</v>
      </c>
      <c r="G276">
        <f t="shared" si="8"/>
        <v>0.12514317460317459</v>
      </c>
      <c r="I276">
        <f t="shared" si="7"/>
        <v>1.9710049999999999</v>
      </c>
    </row>
    <row r="277" spans="1:9" x14ac:dyDescent="0.25">
      <c r="A277" t="str">
        <f>IF(FuelPrices_!AK282="","",FuelPrices_!AK282)</f>
        <v>BG</v>
      </c>
      <c r="B277" t="str">
        <f>IF(FuelPrices_!AL282="","",FuelPrices_!AL282)</f>
        <v>Average</v>
      </c>
      <c r="C277">
        <f>IF(FuelPrices_!AM282="","",FuelPrices_!AM282)</f>
        <v>2029</v>
      </c>
      <c r="D277">
        <f>IF(FuelPrices_!AN282="","",FuelPrices_!AN282)</f>
        <v>8.666666666666667E-2</v>
      </c>
      <c r="E277">
        <f>IFERROR(VLOOKUP(A277,FuelPrices_!$B$49:$G$53,6,FALSE),"")</f>
        <v>5.4000000000000001E-4</v>
      </c>
      <c r="F277">
        <f>IFERROR(VLOOKUP(A277,FuelPrices_!$B$61:$G$65,6,FALSE),"")</f>
        <v>4.1269841269841276E-2</v>
      </c>
      <c r="G277">
        <f t="shared" si="8"/>
        <v>0.12847650793650794</v>
      </c>
      <c r="I277">
        <f t="shared" si="7"/>
        <v>2.0235050000000001</v>
      </c>
    </row>
    <row r="278" spans="1:9" x14ac:dyDescent="0.25">
      <c r="A278" t="str">
        <f>IF(FuelPrices_!AK283="","",FuelPrices_!AK283)</f>
        <v>BG</v>
      </c>
      <c r="B278" t="str">
        <f>IF(FuelPrices_!AL283="","",FuelPrices_!AL283)</f>
        <v>Average</v>
      </c>
      <c r="C278">
        <f>IF(FuelPrices_!AM283="","",FuelPrices_!AM283)</f>
        <v>2030</v>
      </c>
      <c r="D278">
        <f>IF(FuelPrices_!AN283="","",FuelPrices_!AN283)</f>
        <v>0.09</v>
      </c>
      <c r="E278">
        <f>IFERROR(VLOOKUP(A278,FuelPrices_!$B$49:$G$53,6,FALSE),"")</f>
        <v>5.4000000000000001E-4</v>
      </c>
      <c r="F278">
        <f>IFERROR(VLOOKUP(A278,FuelPrices_!$B$61:$G$65,6,FALSE),"")</f>
        <v>4.1269841269841276E-2</v>
      </c>
      <c r="G278">
        <f t="shared" si="8"/>
        <v>0.13180984126984127</v>
      </c>
      <c r="I278">
        <f t="shared" si="7"/>
        <v>2.0760049999999999</v>
      </c>
    </row>
    <row r="279" spans="1:9" x14ac:dyDescent="0.25">
      <c r="A279" t="str">
        <f>IF(FuelPrices_!AK284="","",FuelPrices_!AK284)</f>
        <v>BG</v>
      </c>
      <c r="B279" t="str">
        <f>IF(FuelPrices_!AL284="","",FuelPrices_!AL284)</f>
        <v>Average</v>
      </c>
      <c r="C279">
        <f>IF(FuelPrices_!AM284="","",FuelPrices_!AM284)</f>
        <v>2031</v>
      </c>
      <c r="D279">
        <f>IF(FuelPrices_!AN284="","",FuelPrices_!AN284)</f>
        <v>0.09</v>
      </c>
      <c r="E279">
        <f>IFERROR(VLOOKUP(A279,FuelPrices_!$B$49:$G$53,6,FALSE),"")</f>
        <v>5.4000000000000001E-4</v>
      </c>
      <c r="F279">
        <f>IFERROR(VLOOKUP(A279,FuelPrices_!$B$61:$G$65,6,FALSE),"")</f>
        <v>4.1269841269841276E-2</v>
      </c>
      <c r="G279">
        <f t="shared" si="8"/>
        <v>0.13180984126984127</v>
      </c>
      <c r="I279">
        <f t="shared" si="7"/>
        <v>2.0760049999999999</v>
      </c>
    </row>
    <row r="280" spans="1:9" x14ac:dyDescent="0.25">
      <c r="A280" t="str">
        <f>IF(FuelPrices_!AK285="","",FuelPrices_!AK285)</f>
        <v>BG</v>
      </c>
      <c r="B280" t="str">
        <f>IF(FuelPrices_!AL285="","",FuelPrices_!AL285)</f>
        <v>Average</v>
      </c>
      <c r="C280">
        <f>IF(FuelPrices_!AM285="","",FuelPrices_!AM285)</f>
        <v>2032</v>
      </c>
      <c r="D280">
        <f>IF(FuelPrices_!AN285="","",FuelPrices_!AN285)</f>
        <v>0.09</v>
      </c>
      <c r="E280">
        <f>IFERROR(VLOOKUP(A280,FuelPrices_!$B$49:$G$53,6,FALSE),"")</f>
        <v>5.4000000000000001E-4</v>
      </c>
      <c r="F280">
        <f>IFERROR(VLOOKUP(A280,FuelPrices_!$B$61:$G$65,6,FALSE),"")</f>
        <v>4.1269841269841276E-2</v>
      </c>
      <c r="G280">
        <f t="shared" si="8"/>
        <v>0.13180984126984127</v>
      </c>
      <c r="I280">
        <f>G280*15.75</f>
        <v>2.0760049999999999</v>
      </c>
    </row>
    <row r="281" spans="1:9" x14ac:dyDescent="0.25">
      <c r="A281" t="str">
        <f>IF(FuelPrices_!AK286="","",FuelPrices_!AK286)</f>
        <v>BG</v>
      </c>
      <c r="B281" t="str">
        <f>IF(FuelPrices_!AL286="","",FuelPrices_!AL286)</f>
        <v>Average</v>
      </c>
      <c r="C281">
        <f>IF(FuelPrices_!AM286="","",FuelPrices_!AM286)</f>
        <v>2033</v>
      </c>
      <c r="D281">
        <f>IF(FuelPrices_!AN286="","",FuelPrices_!AN286)</f>
        <v>0.09</v>
      </c>
      <c r="E281">
        <f>IFERROR(VLOOKUP(A281,FuelPrices_!$B$49:$G$53,6,FALSE),"")</f>
        <v>5.4000000000000001E-4</v>
      </c>
      <c r="F281">
        <f>IFERROR(VLOOKUP(A281,FuelPrices_!$B$61:$G$65,6,FALSE),"")</f>
        <v>4.1269841269841276E-2</v>
      </c>
      <c r="G281">
        <f t="shared" si="8"/>
        <v>0.13180984126984127</v>
      </c>
      <c r="I281">
        <f t="shared" si="7"/>
        <v>2.0760049999999999</v>
      </c>
    </row>
    <row r="282" spans="1:9" x14ac:dyDescent="0.25">
      <c r="A282" t="str">
        <f>IF(FuelPrices_!AK287="","",FuelPrices_!AK287)</f>
        <v>BG</v>
      </c>
      <c r="B282" t="str">
        <f>IF(FuelPrices_!AL287="","",FuelPrices_!AL287)</f>
        <v>Average</v>
      </c>
      <c r="C282">
        <f>IF(FuelPrices_!AM287="","",FuelPrices_!AM287)</f>
        <v>2034</v>
      </c>
      <c r="D282">
        <f>IF(FuelPrices_!AN287="","",FuelPrices_!AN287)</f>
        <v>0.09</v>
      </c>
      <c r="E282">
        <f>IFERROR(VLOOKUP(A282,FuelPrices_!$B$49:$G$53,6,FALSE),"")</f>
        <v>5.4000000000000001E-4</v>
      </c>
      <c r="F282">
        <f>IFERROR(VLOOKUP(A282,FuelPrices_!$B$61:$G$65,6,FALSE),"")</f>
        <v>4.1269841269841276E-2</v>
      </c>
      <c r="G282">
        <f t="shared" si="8"/>
        <v>0.13180984126984127</v>
      </c>
      <c r="I282">
        <f t="shared" si="7"/>
        <v>2.0760049999999999</v>
      </c>
    </row>
    <row r="283" spans="1:9" x14ac:dyDescent="0.25">
      <c r="A283" t="str">
        <f>IF(FuelPrices_!AK288="","",FuelPrices_!AK288)</f>
        <v>BG</v>
      </c>
      <c r="B283" t="str">
        <f>IF(FuelPrices_!AL288="","",FuelPrices_!AL288)</f>
        <v>Average</v>
      </c>
      <c r="C283">
        <f>IF(FuelPrices_!AM288="","",FuelPrices_!AM288)</f>
        <v>2035</v>
      </c>
      <c r="D283">
        <f>IF(FuelPrices_!AN288="","",FuelPrices_!AN288)</f>
        <v>0.09</v>
      </c>
      <c r="E283">
        <f>IFERROR(VLOOKUP(A283,FuelPrices_!$B$49:$G$53,6,FALSE),"")</f>
        <v>5.4000000000000001E-4</v>
      </c>
      <c r="F283">
        <f>IFERROR(VLOOKUP(A283,FuelPrices_!$B$61:$G$65,6,FALSE),"")</f>
        <v>4.1269841269841276E-2</v>
      </c>
      <c r="G283">
        <f t="shared" si="8"/>
        <v>0.13180984126984127</v>
      </c>
      <c r="I283">
        <f t="shared" si="7"/>
        <v>2.0760049999999999</v>
      </c>
    </row>
    <row r="284" spans="1:9" x14ac:dyDescent="0.25">
      <c r="A284" t="str">
        <f>IF(FuelPrices_!AK289="","",FuelPrices_!AK289)</f>
        <v>BG</v>
      </c>
      <c r="B284" t="str">
        <f>IF(FuelPrices_!AL289="","",FuelPrices_!AL289)</f>
        <v>Average</v>
      </c>
      <c r="C284">
        <f>IF(FuelPrices_!AM289="","",FuelPrices_!AM289)</f>
        <v>2036</v>
      </c>
      <c r="D284">
        <f>IF(FuelPrices_!AN289="","",FuelPrices_!AN289)</f>
        <v>0.09</v>
      </c>
      <c r="E284">
        <f>IFERROR(VLOOKUP(A284,FuelPrices_!$B$49:$G$53,6,FALSE),"")</f>
        <v>5.4000000000000001E-4</v>
      </c>
      <c r="F284">
        <f>IFERROR(VLOOKUP(A284,FuelPrices_!$B$61:$G$65,6,FALSE),"")</f>
        <v>4.1269841269841276E-2</v>
      </c>
      <c r="G284">
        <f t="shared" si="8"/>
        <v>0.13180984126984127</v>
      </c>
      <c r="I284">
        <f t="shared" si="7"/>
        <v>2.0760049999999999</v>
      </c>
    </row>
    <row r="285" spans="1:9" x14ac:dyDescent="0.25">
      <c r="A285" t="str">
        <f>IF(FuelPrices_!AK290="","",FuelPrices_!AK290)</f>
        <v>BG</v>
      </c>
      <c r="B285" t="str">
        <f>IF(FuelPrices_!AL290="","",FuelPrices_!AL290)</f>
        <v>Average</v>
      </c>
      <c r="C285">
        <f>IF(FuelPrices_!AM290="","",FuelPrices_!AM290)</f>
        <v>2037</v>
      </c>
      <c r="D285">
        <f>IF(FuelPrices_!AN290="","",FuelPrices_!AN290)</f>
        <v>0.09</v>
      </c>
      <c r="E285">
        <f>IFERROR(VLOOKUP(A285,FuelPrices_!$B$49:$G$53,6,FALSE),"")</f>
        <v>5.4000000000000001E-4</v>
      </c>
      <c r="F285">
        <f>IFERROR(VLOOKUP(A285,FuelPrices_!$B$61:$G$65,6,FALSE),"")</f>
        <v>4.1269841269841276E-2</v>
      </c>
      <c r="G285">
        <f t="shared" si="8"/>
        <v>0.13180984126984127</v>
      </c>
      <c r="I285">
        <f t="shared" si="7"/>
        <v>2.0760049999999999</v>
      </c>
    </row>
    <row r="286" spans="1:9" x14ac:dyDescent="0.25">
      <c r="A286" t="str">
        <f>IF(FuelPrices_!AK291="","",FuelPrices_!AK291)</f>
        <v>BG</v>
      </c>
      <c r="B286" t="str">
        <f>IF(FuelPrices_!AL291="","",FuelPrices_!AL291)</f>
        <v>Average</v>
      </c>
      <c r="C286">
        <f>IF(FuelPrices_!AM291="","",FuelPrices_!AM291)</f>
        <v>2038</v>
      </c>
      <c r="D286">
        <f>IF(FuelPrices_!AN291="","",FuelPrices_!AN291)</f>
        <v>0.09</v>
      </c>
      <c r="E286">
        <f>IFERROR(VLOOKUP(A286,FuelPrices_!$B$49:$G$53,6,FALSE),"")</f>
        <v>5.4000000000000001E-4</v>
      </c>
      <c r="F286">
        <f>IFERROR(VLOOKUP(A286,FuelPrices_!$B$61:$G$65,6,FALSE),"")</f>
        <v>4.1269841269841276E-2</v>
      </c>
      <c r="G286">
        <f t="shared" si="8"/>
        <v>0.13180984126984127</v>
      </c>
      <c r="I286">
        <f t="shared" si="7"/>
        <v>2.0760049999999999</v>
      </c>
    </row>
    <row r="287" spans="1:9" x14ac:dyDescent="0.25">
      <c r="A287" t="str">
        <f>IF(FuelPrices_!AK292="","",FuelPrices_!AK292)</f>
        <v>BG</v>
      </c>
      <c r="B287" t="str">
        <f>IF(FuelPrices_!AL292="","",FuelPrices_!AL292)</f>
        <v>Average</v>
      </c>
      <c r="C287">
        <f>IF(FuelPrices_!AM292="","",FuelPrices_!AM292)</f>
        <v>2039</v>
      </c>
      <c r="D287">
        <f>IF(FuelPrices_!AN292="","",FuelPrices_!AN292)</f>
        <v>0.09</v>
      </c>
      <c r="E287">
        <f>IFERROR(VLOOKUP(A287,FuelPrices_!$B$49:$G$53,6,FALSE),"")</f>
        <v>5.4000000000000001E-4</v>
      </c>
      <c r="F287">
        <f>IFERROR(VLOOKUP(A287,FuelPrices_!$B$61:$G$65,6,FALSE),"")</f>
        <v>4.1269841269841276E-2</v>
      </c>
      <c r="G287">
        <f t="shared" si="8"/>
        <v>0.13180984126984127</v>
      </c>
      <c r="I287">
        <f t="shared" si="7"/>
        <v>2.0760049999999999</v>
      </c>
    </row>
    <row r="288" spans="1:9" x14ac:dyDescent="0.25">
      <c r="A288" t="str">
        <f>IF(FuelPrices_!AK293="","",FuelPrices_!AK293)</f>
        <v>BG</v>
      </c>
      <c r="B288" t="str">
        <f>IF(FuelPrices_!AL293="","",FuelPrices_!AL293)</f>
        <v>Average</v>
      </c>
      <c r="C288">
        <f>IF(FuelPrices_!AM293="","",FuelPrices_!AM293)</f>
        <v>2040</v>
      </c>
      <c r="D288">
        <f>IF(FuelPrices_!AN293="","",FuelPrices_!AN293)</f>
        <v>0.09</v>
      </c>
      <c r="E288">
        <f>IFERROR(VLOOKUP(A288,FuelPrices_!$B$49:$G$53,6,FALSE),"")</f>
        <v>5.4000000000000001E-4</v>
      </c>
      <c r="F288">
        <f>IFERROR(VLOOKUP(A288,FuelPrices_!$B$61:$G$65,6,FALSE),"")</f>
        <v>4.1269841269841276E-2</v>
      </c>
      <c r="G288">
        <f t="shared" si="8"/>
        <v>0.13180984126984127</v>
      </c>
      <c r="I288">
        <f t="shared" si="7"/>
        <v>2.0760049999999999</v>
      </c>
    </row>
    <row r="289" spans="1:9" x14ac:dyDescent="0.25">
      <c r="A289" t="str">
        <f>IF(FuelPrices_!AK294="","",FuelPrices_!AK294)</f>
        <v>BG</v>
      </c>
      <c r="B289" t="str">
        <f>IF(FuelPrices_!AL294="","",FuelPrices_!AL294)</f>
        <v>Average</v>
      </c>
      <c r="C289">
        <f>IF(FuelPrices_!AM294="","",FuelPrices_!AM294)</f>
        <v>2041</v>
      </c>
      <c r="D289">
        <f>IF(FuelPrices_!AN294="","",FuelPrices_!AN294)</f>
        <v>0.09</v>
      </c>
      <c r="E289">
        <f>IFERROR(VLOOKUP(A289,FuelPrices_!$B$49:$G$53,6,FALSE),"")</f>
        <v>5.4000000000000001E-4</v>
      </c>
      <c r="F289">
        <f>IFERROR(VLOOKUP(A289,FuelPrices_!$B$61:$G$65,6,FALSE),"")</f>
        <v>4.1269841269841276E-2</v>
      </c>
      <c r="G289">
        <f t="shared" si="8"/>
        <v>0.13180984126984127</v>
      </c>
      <c r="I289">
        <f t="shared" si="7"/>
        <v>2.0760049999999999</v>
      </c>
    </row>
    <row r="290" spans="1:9" x14ac:dyDescent="0.25">
      <c r="A290" t="str">
        <f>IF(FuelPrices_!AK295="","",FuelPrices_!AK295)</f>
        <v>BG</v>
      </c>
      <c r="B290" t="str">
        <f>IF(FuelPrices_!AL295="","",FuelPrices_!AL295)</f>
        <v>Average</v>
      </c>
      <c r="C290">
        <f>IF(FuelPrices_!AM295="","",FuelPrices_!AM295)</f>
        <v>2042</v>
      </c>
      <c r="D290">
        <f>IF(FuelPrices_!AN295="","",FuelPrices_!AN295)</f>
        <v>0.09</v>
      </c>
      <c r="E290">
        <f>IFERROR(VLOOKUP(A290,FuelPrices_!$B$49:$G$53,6,FALSE),"")</f>
        <v>5.4000000000000001E-4</v>
      </c>
      <c r="F290">
        <f>IFERROR(VLOOKUP(A290,FuelPrices_!$B$61:$G$65,6,FALSE),"")</f>
        <v>4.1269841269841276E-2</v>
      </c>
      <c r="G290">
        <f t="shared" si="8"/>
        <v>0.13180984126984127</v>
      </c>
      <c r="I290">
        <f t="shared" si="7"/>
        <v>2.0760049999999999</v>
      </c>
    </row>
    <row r="291" spans="1:9" x14ac:dyDescent="0.25">
      <c r="A291" t="str">
        <f>IF(FuelPrices_!AK296="","",FuelPrices_!AK296)</f>
        <v>BG</v>
      </c>
      <c r="B291" t="str">
        <f>IF(FuelPrices_!AL296="","",FuelPrices_!AL296)</f>
        <v>Average</v>
      </c>
      <c r="C291">
        <f>IF(FuelPrices_!AM296="","",FuelPrices_!AM296)</f>
        <v>2043</v>
      </c>
      <c r="D291">
        <f>IF(FuelPrices_!AN296="","",FuelPrices_!AN296)</f>
        <v>0.09</v>
      </c>
      <c r="E291">
        <f>IFERROR(VLOOKUP(A291,FuelPrices_!$B$49:$G$53,6,FALSE),"")</f>
        <v>5.4000000000000001E-4</v>
      </c>
      <c r="F291">
        <f>IFERROR(VLOOKUP(A291,FuelPrices_!$B$61:$G$65,6,FALSE),"")</f>
        <v>4.1269841269841276E-2</v>
      </c>
      <c r="G291">
        <f t="shared" si="8"/>
        <v>0.13180984126984127</v>
      </c>
      <c r="I291">
        <f t="shared" si="7"/>
        <v>2.0760049999999999</v>
      </c>
    </row>
    <row r="292" spans="1:9" x14ac:dyDescent="0.25">
      <c r="A292" t="str">
        <f>IF(FuelPrices_!AK297="","",FuelPrices_!AK297)</f>
        <v>BG</v>
      </c>
      <c r="B292" t="str">
        <f>IF(FuelPrices_!AL297="","",FuelPrices_!AL297)</f>
        <v>Average</v>
      </c>
      <c r="C292">
        <f>IF(FuelPrices_!AM297="","",FuelPrices_!AM297)</f>
        <v>2044</v>
      </c>
      <c r="D292">
        <f>IF(FuelPrices_!AN297="","",FuelPrices_!AN297)</f>
        <v>0.09</v>
      </c>
      <c r="E292">
        <f>IFERROR(VLOOKUP(A292,FuelPrices_!$B$49:$G$53,6,FALSE),"")</f>
        <v>5.4000000000000001E-4</v>
      </c>
      <c r="F292">
        <f>IFERROR(VLOOKUP(A292,FuelPrices_!$B$61:$G$65,6,FALSE),"")</f>
        <v>4.1269841269841276E-2</v>
      </c>
      <c r="G292">
        <f t="shared" si="8"/>
        <v>0.13180984126984127</v>
      </c>
      <c r="I292">
        <f t="shared" si="7"/>
        <v>2.0760049999999999</v>
      </c>
    </row>
    <row r="293" spans="1:9" x14ac:dyDescent="0.25">
      <c r="A293" t="str">
        <f>IF(FuelPrices_!AK298="","",FuelPrices_!AK298)</f>
        <v>BG</v>
      </c>
      <c r="B293" t="str">
        <f>IF(FuelPrices_!AL298="","",FuelPrices_!AL298)</f>
        <v>Average</v>
      </c>
      <c r="C293">
        <f>IF(FuelPrices_!AM298="","",FuelPrices_!AM298)</f>
        <v>2045</v>
      </c>
      <c r="D293">
        <f>IF(FuelPrices_!AN298="","",FuelPrices_!AN298)</f>
        <v>0.09</v>
      </c>
      <c r="E293">
        <f>IFERROR(VLOOKUP(A293,FuelPrices_!$B$49:$G$53,6,FALSE),"")</f>
        <v>5.4000000000000001E-4</v>
      </c>
      <c r="F293">
        <f>IFERROR(VLOOKUP(A293,FuelPrices_!$B$61:$G$65,6,FALSE),"")</f>
        <v>4.1269841269841276E-2</v>
      </c>
      <c r="G293">
        <f t="shared" si="8"/>
        <v>0.13180984126984127</v>
      </c>
      <c r="I293">
        <f>G293*15.75</f>
        <v>2.0760049999999999</v>
      </c>
    </row>
    <row r="294" spans="1:9" x14ac:dyDescent="0.25">
      <c r="A294" t="str">
        <f>IF(FuelPrices_!AK299="","",FuelPrices_!AK299)</f>
        <v>BG</v>
      </c>
      <c r="B294" t="str">
        <f>IF(FuelPrices_!AL299="","",FuelPrices_!AL299)</f>
        <v>Average</v>
      </c>
      <c r="C294">
        <f>IF(FuelPrices_!AM299="","",FuelPrices_!AM299)</f>
        <v>2046</v>
      </c>
      <c r="D294">
        <f>IF(FuelPrices_!AN299="","",FuelPrices_!AN299)</f>
        <v>0.09</v>
      </c>
      <c r="E294">
        <f>IFERROR(VLOOKUP(A294,FuelPrices_!$B$49:$G$53,6,FALSE),"")</f>
        <v>5.4000000000000001E-4</v>
      </c>
      <c r="F294">
        <f>IFERROR(VLOOKUP(A294,FuelPrices_!$B$61:$G$65,6,FALSE),"")</f>
        <v>4.1269841269841276E-2</v>
      </c>
      <c r="G294">
        <f t="shared" si="8"/>
        <v>0.13180984126984127</v>
      </c>
      <c r="I294">
        <f t="shared" si="7"/>
        <v>2.0760049999999999</v>
      </c>
    </row>
    <row r="295" spans="1:9" x14ac:dyDescent="0.25">
      <c r="A295" t="str">
        <f>IF(FuelPrices_!AK300="","",FuelPrices_!AK300)</f>
        <v>BG</v>
      </c>
      <c r="B295" t="str">
        <f>IF(FuelPrices_!AL300="","",FuelPrices_!AL300)</f>
        <v>Average</v>
      </c>
      <c r="C295">
        <f>IF(FuelPrices_!AM300="","",FuelPrices_!AM300)</f>
        <v>2047</v>
      </c>
      <c r="D295">
        <f>IF(FuelPrices_!AN300="","",FuelPrices_!AN300)</f>
        <v>0.09</v>
      </c>
      <c r="E295">
        <f>IFERROR(VLOOKUP(A295,FuelPrices_!$B$49:$G$53,6,FALSE),"")</f>
        <v>5.4000000000000001E-4</v>
      </c>
      <c r="F295">
        <f>IFERROR(VLOOKUP(A295,FuelPrices_!$B$61:$G$65,6,FALSE),"")</f>
        <v>4.1269841269841276E-2</v>
      </c>
      <c r="G295">
        <f t="shared" si="8"/>
        <v>0.13180984126984127</v>
      </c>
      <c r="I295">
        <f t="shared" si="7"/>
        <v>2.0760049999999999</v>
      </c>
    </row>
    <row r="296" spans="1:9" x14ac:dyDescent="0.25">
      <c r="A296" t="str">
        <f>IF(FuelPrices_!AK301="","",FuelPrices_!AK301)</f>
        <v>BG</v>
      </c>
      <c r="B296" t="str">
        <f>IF(FuelPrices_!AL301="","",FuelPrices_!AL301)</f>
        <v>Average</v>
      </c>
      <c r="C296">
        <f>IF(FuelPrices_!AM301="","",FuelPrices_!AM301)</f>
        <v>2048</v>
      </c>
      <c r="D296">
        <f>IF(FuelPrices_!AN301="","",FuelPrices_!AN301)</f>
        <v>0.09</v>
      </c>
      <c r="E296">
        <f>IFERROR(VLOOKUP(A296,FuelPrices_!$B$49:$G$53,6,FALSE),"")</f>
        <v>5.4000000000000001E-4</v>
      </c>
      <c r="F296">
        <f>IFERROR(VLOOKUP(A296,FuelPrices_!$B$61:$G$65,6,FALSE),"")</f>
        <v>4.1269841269841276E-2</v>
      </c>
      <c r="G296">
        <f t="shared" si="8"/>
        <v>0.13180984126984127</v>
      </c>
      <c r="I296">
        <f t="shared" si="7"/>
        <v>2.0760049999999999</v>
      </c>
    </row>
    <row r="297" spans="1:9" x14ac:dyDescent="0.25">
      <c r="A297" t="str">
        <f>IF(FuelPrices_!AK302="","",FuelPrices_!AK302)</f>
        <v>BG</v>
      </c>
      <c r="B297" t="str">
        <f>IF(FuelPrices_!AL302="","",FuelPrices_!AL302)</f>
        <v>Average</v>
      </c>
      <c r="C297">
        <f>IF(FuelPrices_!AM302="","",FuelPrices_!AM302)</f>
        <v>2049</v>
      </c>
      <c r="D297">
        <f>IF(FuelPrices_!AN302="","",FuelPrices_!AN302)</f>
        <v>0.09</v>
      </c>
      <c r="E297">
        <f>IFERROR(VLOOKUP(A297,FuelPrices_!$B$49:$G$53,6,FALSE),"")</f>
        <v>5.4000000000000001E-4</v>
      </c>
      <c r="F297">
        <f>IFERROR(VLOOKUP(A297,FuelPrices_!$B$61:$G$65,6,FALSE),"")</f>
        <v>4.1269841269841276E-2</v>
      </c>
      <c r="G297">
        <f t="shared" si="8"/>
        <v>0.13180984126984127</v>
      </c>
      <c r="I297">
        <f t="shared" si="7"/>
        <v>2.0760049999999999</v>
      </c>
    </row>
    <row r="298" spans="1:9" x14ac:dyDescent="0.25">
      <c r="A298" t="str">
        <f>IF(FuelPrices_!AK303="","",FuelPrices_!AK303)</f>
        <v>BG</v>
      </c>
      <c r="B298" t="str">
        <f>IF(FuelPrices_!AL303="","",FuelPrices_!AL303)</f>
        <v>Average</v>
      </c>
      <c r="C298">
        <f>IF(FuelPrices_!AM303="","",FuelPrices_!AM303)</f>
        <v>2050</v>
      </c>
      <c r="D298">
        <f>IF(FuelPrices_!AN303="","",FuelPrices_!AN303)</f>
        <v>0.09</v>
      </c>
      <c r="E298">
        <f>IFERROR(VLOOKUP(A298,FuelPrices_!$B$49:$G$53,6,FALSE),"")</f>
        <v>5.4000000000000001E-4</v>
      </c>
      <c r="F298">
        <f>IFERROR(VLOOKUP(A298,FuelPrices_!$B$61:$G$65,6,FALSE),"")</f>
        <v>4.1269841269841276E-2</v>
      </c>
      <c r="G298">
        <f t="shared" si="8"/>
        <v>0.13180984126984127</v>
      </c>
      <c r="I298">
        <f t="shared" si="7"/>
        <v>2.0760049999999999</v>
      </c>
    </row>
    <row r="299" spans="1:9" x14ac:dyDescent="0.25">
      <c r="A299" t="str">
        <f>IF(FuelPrices_!AK304="","",FuelPrices_!AK304)</f>
        <v>BG</v>
      </c>
      <c r="B299" t="str">
        <f>IF(FuelPrices_!AL304="","",FuelPrices_!AL304)</f>
        <v>Low</v>
      </c>
      <c r="C299">
        <f>IF(FuelPrices_!AM304="","",FuelPrices_!AM304)</f>
        <v>2024</v>
      </c>
      <c r="D299">
        <f>IF(FuelPrices_!AN304="","",FuelPrices_!AN304)</f>
        <v>7.0000000000000007E-2</v>
      </c>
      <c r="E299">
        <f>IFERROR(VLOOKUP(A299,FuelPrices_!$B$49:$G$53,6,FALSE),"")</f>
        <v>5.4000000000000001E-4</v>
      </c>
      <c r="F299">
        <f>IFERROR(VLOOKUP(A299,FuelPrices_!$B$61:$G$65,6,FALSE),"")</f>
        <v>4.1269841269841276E-2</v>
      </c>
      <c r="G299">
        <f t="shared" si="8"/>
        <v>0.11180984126984128</v>
      </c>
      <c r="I299">
        <f t="shared" si="7"/>
        <v>1.7610050000000002</v>
      </c>
    </row>
    <row r="300" spans="1:9" x14ac:dyDescent="0.25">
      <c r="A300" t="str">
        <f>IF(FuelPrices_!AK305="","",FuelPrices_!AK305)</f>
        <v>BG</v>
      </c>
      <c r="B300" t="str">
        <f>IF(FuelPrices_!AL305="","",FuelPrices_!AL305)</f>
        <v>Low</v>
      </c>
      <c r="C300">
        <f>IF(FuelPrices_!AM305="","",FuelPrices_!AM305)</f>
        <v>2025</v>
      </c>
      <c r="D300">
        <f>IF(FuelPrices_!AN305="","",FuelPrices_!AN305)</f>
        <v>6.5000000000000002E-2</v>
      </c>
      <c r="E300">
        <f>IFERROR(VLOOKUP(A300,FuelPrices_!$B$49:$G$53,6,FALSE),"")</f>
        <v>5.4000000000000001E-4</v>
      </c>
      <c r="F300">
        <f>IFERROR(VLOOKUP(A300,FuelPrices_!$B$61:$G$65,6,FALSE),"")</f>
        <v>4.1269841269841276E-2</v>
      </c>
      <c r="G300">
        <f t="shared" si="8"/>
        <v>0.10680984126984128</v>
      </c>
      <c r="I300">
        <f t="shared" si="7"/>
        <v>1.6822550000000001</v>
      </c>
    </row>
    <row r="301" spans="1:9" x14ac:dyDescent="0.25">
      <c r="A301" t="str">
        <f>IF(FuelPrices_!AK306="","",FuelPrices_!AK306)</f>
        <v>BG</v>
      </c>
      <c r="B301" t="str">
        <f>IF(FuelPrices_!AL306="","",FuelPrices_!AL306)</f>
        <v>Low</v>
      </c>
      <c r="C301">
        <f>IF(FuelPrices_!AM306="","",FuelPrices_!AM306)</f>
        <v>2026</v>
      </c>
      <c r="D301">
        <f>IF(FuelPrices_!AN306="","",FuelPrices_!AN306)</f>
        <v>0.06</v>
      </c>
      <c r="E301">
        <f>IFERROR(VLOOKUP(A301,FuelPrices_!$B$49:$G$53,6,FALSE),"")</f>
        <v>5.4000000000000001E-4</v>
      </c>
      <c r="F301">
        <f>IFERROR(VLOOKUP(A301,FuelPrices_!$B$61:$G$65,6,FALSE),"")</f>
        <v>4.1269841269841276E-2</v>
      </c>
      <c r="G301">
        <f t="shared" si="8"/>
        <v>0.10180984126984127</v>
      </c>
      <c r="I301">
        <f t="shared" si="7"/>
        <v>1.603505</v>
      </c>
    </row>
    <row r="302" spans="1:9" x14ac:dyDescent="0.25">
      <c r="A302" t="str">
        <f>IF(FuelPrices_!AK307="","",FuelPrices_!AK307)</f>
        <v>BG</v>
      </c>
      <c r="B302" t="str">
        <f>IF(FuelPrices_!AL307="","",FuelPrices_!AL307)</f>
        <v>Low</v>
      </c>
      <c r="C302">
        <f>IF(FuelPrices_!AM307="","",FuelPrices_!AM307)</f>
        <v>2027</v>
      </c>
      <c r="D302">
        <f>IF(FuelPrices_!AN307="","",FuelPrices_!AN307)</f>
        <v>5.5E-2</v>
      </c>
      <c r="E302">
        <f>IFERROR(VLOOKUP(A302,FuelPrices_!$B$49:$G$53,6,FALSE),"")</f>
        <v>5.4000000000000001E-4</v>
      </c>
      <c r="F302">
        <f>IFERROR(VLOOKUP(A302,FuelPrices_!$B$61:$G$65,6,FALSE),"")</f>
        <v>4.1269841269841276E-2</v>
      </c>
      <c r="G302">
        <f t="shared" si="8"/>
        <v>9.6809841269841268E-2</v>
      </c>
      <c r="I302">
        <f t="shared" si="7"/>
        <v>1.5247549999999999</v>
      </c>
    </row>
    <row r="303" spans="1:9" x14ac:dyDescent="0.25">
      <c r="A303" t="str">
        <f>IF(FuelPrices_!AK308="","",FuelPrices_!AK308)</f>
        <v>BG</v>
      </c>
      <c r="B303" t="str">
        <f>IF(FuelPrices_!AL308="","",FuelPrices_!AL308)</f>
        <v>Low</v>
      </c>
      <c r="C303">
        <f>IF(FuelPrices_!AM308="","",FuelPrices_!AM308)</f>
        <v>2028</v>
      </c>
      <c r="D303">
        <f>IF(FuelPrices_!AN308="","",FuelPrices_!AN308)</f>
        <v>0.05</v>
      </c>
      <c r="E303">
        <f>IFERROR(VLOOKUP(A303,FuelPrices_!$B$49:$G$53,6,FALSE),"")</f>
        <v>5.4000000000000001E-4</v>
      </c>
      <c r="F303">
        <f>IFERROR(VLOOKUP(A303,FuelPrices_!$B$61:$G$65,6,FALSE),"")</f>
        <v>4.1269841269841276E-2</v>
      </c>
      <c r="G303">
        <f t="shared" si="8"/>
        <v>9.1809841269841277E-2</v>
      </c>
      <c r="I303">
        <f t="shared" si="7"/>
        <v>1.4460050000000002</v>
      </c>
    </row>
    <row r="304" spans="1:9" x14ac:dyDescent="0.25">
      <c r="A304" t="str">
        <f>IF(FuelPrices_!AK309="","",FuelPrices_!AK309)</f>
        <v>BG</v>
      </c>
      <c r="B304" t="str">
        <f>IF(FuelPrices_!AL309="","",FuelPrices_!AL309)</f>
        <v>Low</v>
      </c>
      <c r="C304">
        <f>IF(FuelPrices_!AM309="","",FuelPrices_!AM309)</f>
        <v>2029</v>
      </c>
      <c r="D304">
        <f>IF(FuelPrices_!AN309="","",FuelPrices_!AN309)</f>
        <v>4.4999999999999998E-2</v>
      </c>
      <c r="E304">
        <f>IFERROR(VLOOKUP(A304,FuelPrices_!$B$49:$G$53,6,FALSE),"")</f>
        <v>5.4000000000000001E-4</v>
      </c>
      <c r="F304">
        <f>IFERROR(VLOOKUP(A304,FuelPrices_!$B$61:$G$65,6,FALSE),"")</f>
        <v>4.1269841269841276E-2</v>
      </c>
      <c r="G304">
        <f t="shared" si="8"/>
        <v>8.6809841269841273E-2</v>
      </c>
      <c r="I304">
        <f t="shared" si="7"/>
        <v>1.3672550000000001</v>
      </c>
    </row>
    <row r="305" spans="1:9" x14ac:dyDescent="0.25">
      <c r="A305" t="str">
        <f>IF(FuelPrices_!AK310="","",FuelPrices_!AK310)</f>
        <v>BG</v>
      </c>
      <c r="B305" t="str">
        <f>IF(FuelPrices_!AL310="","",FuelPrices_!AL310)</f>
        <v>Low</v>
      </c>
      <c r="C305">
        <f>IF(FuelPrices_!AM310="","",FuelPrices_!AM310)</f>
        <v>2030</v>
      </c>
      <c r="D305">
        <f>IF(FuelPrices_!AN310="","",FuelPrices_!AN310)</f>
        <v>0.04</v>
      </c>
      <c r="E305">
        <f>IFERROR(VLOOKUP(A305,FuelPrices_!$B$49:$G$53,6,FALSE),"")</f>
        <v>5.4000000000000001E-4</v>
      </c>
      <c r="F305">
        <f>IFERROR(VLOOKUP(A305,FuelPrices_!$B$61:$G$65,6,FALSE),"")</f>
        <v>4.1269841269841276E-2</v>
      </c>
      <c r="G305">
        <f t="shared" si="8"/>
        <v>8.1809841269841282E-2</v>
      </c>
      <c r="I305">
        <f t="shared" si="7"/>
        <v>1.2885050000000002</v>
      </c>
    </row>
    <row r="306" spans="1:9" x14ac:dyDescent="0.25">
      <c r="A306" t="str">
        <f>IF(FuelPrices_!AK311="","",FuelPrices_!AK311)</f>
        <v>BG</v>
      </c>
      <c r="B306" t="str">
        <f>IF(FuelPrices_!AL311="","",FuelPrices_!AL311)</f>
        <v>Low</v>
      </c>
      <c r="C306">
        <f>IF(FuelPrices_!AM311="","",FuelPrices_!AM311)</f>
        <v>2031</v>
      </c>
      <c r="D306">
        <f>IF(FuelPrices_!AN311="","",FuelPrices_!AN311)</f>
        <v>0.04</v>
      </c>
      <c r="E306">
        <f>IFERROR(VLOOKUP(A306,FuelPrices_!$B$49:$G$53,6,FALSE),"")</f>
        <v>5.4000000000000001E-4</v>
      </c>
      <c r="F306">
        <f>IFERROR(VLOOKUP(A306,FuelPrices_!$B$61:$G$65,6,FALSE),"")</f>
        <v>4.1269841269841276E-2</v>
      </c>
      <c r="G306">
        <f t="shared" si="8"/>
        <v>8.1809841269841282E-2</v>
      </c>
      <c r="I306">
        <f t="shared" si="7"/>
        <v>1.2885050000000002</v>
      </c>
    </row>
    <row r="307" spans="1:9" x14ac:dyDescent="0.25">
      <c r="A307" t="str">
        <f>IF(FuelPrices_!AK312="","",FuelPrices_!AK312)</f>
        <v>BG</v>
      </c>
      <c r="B307" t="str">
        <f>IF(FuelPrices_!AL312="","",FuelPrices_!AL312)</f>
        <v>Low</v>
      </c>
      <c r="C307">
        <f>IF(FuelPrices_!AM312="","",FuelPrices_!AM312)</f>
        <v>2032</v>
      </c>
      <c r="D307">
        <f>IF(FuelPrices_!AN312="","",FuelPrices_!AN312)</f>
        <v>0.04</v>
      </c>
      <c r="E307">
        <f>IFERROR(VLOOKUP(A307,FuelPrices_!$B$49:$G$53,6,FALSE),"")</f>
        <v>5.4000000000000001E-4</v>
      </c>
      <c r="F307">
        <f>IFERROR(VLOOKUP(A307,FuelPrices_!$B$61:$G$65,6,FALSE),"")</f>
        <v>4.1269841269841276E-2</v>
      </c>
      <c r="G307">
        <f t="shared" si="8"/>
        <v>8.1809841269841282E-2</v>
      </c>
      <c r="I307">
        <f t="shared" si="7"/>
        <v>1.2885050000000002</v>
      </c>
    </row>
    <row r="308" spans="1:9" x14ac:dyDescent="0.25">
      <c r="A308" t="str">
        <f>IF(FuelPrices_!AK313="","",FuelPrices_!AK313)</f>
        <v>BG</v>
      </c>
      <c r="B308" t="str">
        <f>IF(FuelPrices_!AL313="","",FuelPrices_!AL313)</f>
        <v>Low</v>
      </c>
      <c r="C308">
        <f>IF(FuelPrices_!AM313="","",FuelPrices_!AM313)</f>
        <v>2033</v>
      </c>
      <c r="D308">
        <f>IF(FuelPrices_!AN313="","",FuelPrices_!AN313)</f>
        <v>0.04</v>
      </c>
      <c r="E308">
        <f>IFERROR(VLOOKUP(A308,FuelPrices_!$B$49:$G$53,6,FALSE),"")</f>
        <v>5.4000000000000001E-4</v>
      </c>
      <c r="F308">
        <f>IFERROR(VLOOKUP(A308,FuelPrices_!$B$61:$G$65,6,FALSE),"")</f>
        <v>4.1269841269841276E-2</v>
      </c>
      <c r="G308">
        <f t="shared" si="8"/>
        <v>8.1809841269841282E-2</v>
      </c>
      <c r="I308">
        <f t="shared" si="7"/>
        <v>1.2885050000000002</v>
      </c>
    </row>
    <row r="309" spans="1:9" x14ac:dyDescent="0.25">
      <c r="A309" t="str">
        <f>IF(FuelPrices_!AK314="","",FuelPrices_!AK314)</f>
        <v>BG</v>
      </c>
      <c r="B309" t="str">
        <f>IF(FuelPrices_!AL314="","",FuelPrices_!AL314)</f>
        <v>Low</v>
      </c>
      <c r="C309">
        <f>IF(FuelPrices_!AM314="","",FuelPrices_!AM314)</f>
        <v>2034</v>
      </c>
      <c r="D309">
        <f>IF(FuelPrices_!AN314="","",FuelPrices_!AN314)</f>
        <v>0.04</v>
      </c>
      <c r="E309">
        <f>IFERROR(VLOOKUP(A309,FuelPrices_!$B$49:$G$53,6,FALSE),"")</f>
        <v>5.4000000000000001E-4</v>
      </c>
      <c r="F309">
        <f>IFERROR(VLOOKUP(A309,FuelPrices_!$B$61:$G$65,6,FALSE),"")</f>
        <v>4.1269841269841276E-2</v>
      </c>
      <c r="G309">
        <f t="shared" si="8"/>
        <v>8.1809841269841282E-2</v>
      </c>
      <c r="I309">
        <f t="shared" si="7"/>
        <v>1.2885050000000002</v>
      </c>
    </row>
    <row r="310" spans="1:9" x14ac:dyDescent="0.25">
      <c r="A310" t="str">
        <f>IF(FuelPrices_!AK315="","",FuelPrices_!AK315)</f>
        <v>BG</v>
      </c>
      <c r="B310" t="str">
        <f>IF(FuelPrices_!AL315="","",FuelPrices_!AL315)</f>
        <v>Low</v>
      </c>
      <c r="C310">
        <f>IF(FuelPrices_!AM315="","",FuelPrices_!AM315)</f>
        <v>2035</v>
      </c>
      <c r="D310">
        <f>IF(FuelPrices_!AN315="","",FuelPrices_!AN315)</f>
        <v>0.04</v>
      </c>
      <c r="E310">
        <f>IFERROR(VLOOKUP(A310,FuelPrices_!$B$49:$G$53,6,FALSE),"")</f>
        <v>5.4000000000000001E-4</v>
      </c>
      <c r="F310">
        <f>IFERROR(VLOOKUP(A310,FuelPrices_!$B$61:$G$65,6,FALSE),"")</f>
        <v>4.1269841269841276E-2</v>
      </c>
      <c r="G310">
        <f t="shared" si="8"/>
        <v>8.1809841269841282E-2</v>
      </c>
      <c r="I310">
        <f t="shared" ref="I310" si="9">G310*15.75</f>
        <v>1.2885050000000002</v>
      </c>
    </row>
    <row r="311" spans="1:9" x14ac:dyDescent="0.25">
      <c r="A311" t="str">
        <f>IF(FuelPrices_!AK316="","",FuelPrices_!AK316)</f>
        <v>BG</v>
      </c>
      <c r="B311" t="str">
        <f>IF(FuelPrices_!AL316="","",FuelPrices_!AL316)</f>
        <v>Low</v>
      </c>
      <c r="C311">
        <f>IF(FuelPrices_!AM316="","",FuelPrices_!AM316)</f>
        <v>2036</v>
      </c>
      <c r="D311">
        <f>IF(FuelPrices_!AN316="","",FuelPrices_!AN316)</f>
        <v>0.04</v>
      </c>
      <c r="E311">
        <f>IFERROR(VLOOKUP(A311,FuelPrices_!$B$49:$G$53,6,FALSE),"")</f>
        <v>5.4000000000000001E-4</v>
      </c>
      <c r="F311">
        <f>IFERROR(VLOOKUP(A311,FuelPrices_!$B$61:$G$65,6,FALSE),"")</f>
        <v>4.1269841269841276E-2</v>
      </c>
      <c r="G311">
        <f t="shared" si="8"/>
        <v>8.1809841269841282E-2</v>
      </c>
      <c r="I311">
        <f>G311*15.75</f>
        <v>1.2885050000000002</v>
      </c>
    </row>
    <row r="312" spans="1:9" x14ac:dyDescent="0.25">
      <c r="A312" t="str">
        <f>IF(FuelPrices_!AK317="","",FuelPrices_!AK317)</f>
        <v>BG</v>
      </c>
      <c r="B312" t="str">
        <f>IF(FuelPrices_!AL317="","",FuelPrices_!AL317)</f>
        <v>Low</v>
      </c>
      <c r="C312">
        <f>IF(FuelPrices_!AM317="","",FuelPrices_!AM317)</f>
        <v>2037</v>
      </c>
      <c r="D312">
        <f>IF(FuelPrices_!AN317="","",FuelPrices_!AN317)</f>
        <v>0.04</v>
      </c>
      <c r="E312">
        <f>IFERROR(VLOOKUP(A312,FuelPrices_!$B$49:$G$53,6,FALSE),"")</f>
        <v>5.4000000000000001E-4</v>
      </c>
      <c r="F312">
        <f>IFERROR(VLOOKUP(A312,FuelPrices_!$B$61:$G$65,6,FALSE),"")</f>
        <v>4.1269841269841276E-2</v>
      </c>
      <c r="G312">
        <f t="shared" si="8"/>
        <v>8.1809841269841282E-2</v>
      </c>
      <c r="I312">
        <f>G312*15.75</f>
        <v>1.2885050000000002</v>
      </c>
    </row>
    <row r="313" spans="1:9" x14ac:dyDescent="0.25">
      <c r="A313" t="str">
        <f>IF(FuelPrices_!AK318="","",FuelPrices_!AK318)</f>
        <v>BG</v>
      </c>
      <c r="B313" t="str">
        <f>IF(FuelPrices_!AL318="","",FuelPrices_!AL318)</f>
        <v>Low</v>
      </c>
      <c r="C313">
        <f>IF(FuelPrices_!AM318="","",FuelPrices_!AM318)</f>
        <v>2038</v>
      </c>
      <c r="D313">
        <f>IF(FuelPrices_!AN318="","",FuelPrices_!AN318)</f>
        <v>0.04</v>
      </c>
      <c r="E313">
        <f>IFERROR(VLOOKUP(A313,FuelPrices_!$B$49:$G$53,6,FALSE),"")</f>
        <v>5.4000000000000001E-4</v>
      </c>
      <c r="F313">
        <f>IFERROR(VLOOKUP(A313,FuelPrices_!$B$61:$G$65,6,FALSE),"")</f>
        <v>4.1269841269841276E-2</v>
      </c>
      <c r="G313">
        <f t="shared" si="8"/>
        <v>8.1809841269841282E-2</v>
      </c>
      <c r="I313">
        <f t="shared" ref="I313:I324" si="10">G313*15.75</f>
        <v>1.2885050000000002</v>
      </c>
    </row>
    <row r="314" spans="1:9" x14ac:dyDescent="0.25">
      <c r="A314" t="str">
        <f>IF(FuelPrices_!AK319="","",FuelPrices_!AK319)</f>
        <v>BG</v>
      </c>
      <c r="B314" t="str">
        <f>IF(FuelPrices_!AL319="","",FuelPrices_!AL319)</f>
        <v>Low</v>
      </c>
      <c r="C314">
        <f>IF(FuelPrices_!AM319="","",FuelPrices_!AM319)</f>
        <v>2039</v>
      </c>
      <c r="D314">
        <f>IF(FuelPrices_!AN319="","",FuelPrices_!AN319)</f>
        <v>0.04</v>
      </c>
      <c r="E314">
        <f>IFERROR(VLOOKUP(A314,FuelPrices_!$B$49:$G$53,6,FALSE),"")</f>
        <v>5.4000000000000001E-4</v>
      </c>
      <c r="F314">
        <f>IFERROR(VLOOKUP(A314,FuelPrices_!$B$61:$G$65,6,FALSE),"")</f>
        <v>4.1269841269841276E-2</v>
      </c>
      <c r="G314">
        <f t="shared" si="8"/>
        <v>8.1809841269841282E-2</v>
      </c>
      <c r="I314">
        <f t="shared" si="10"/>
        <v>1.2885050000000002</v>
      </c>
    </row>
    <row r="315" spans="1:9" x14ac:dyDescent="0.25">
      <c r="A315" t="str">
        <f>IF(FuelPrices_!AK320="","",FuelPrices_!AK320)</f>
        <v>BG</v>
      </c>
      <c r="B315" t="str">
        <f>IF(FuelPrices_!AL320="","",FuelPrices_!AL320)</f>
        <v>Low</v>
      </c>
      <c r="C315">
        <f>IF(FuelPrices_!AM320="","",FuelPrices_!AM320)</f>
        <v>2040</v>
      </c>
      <c r="D315">
        <f>IF(FuelPrices_!AN320="","",FuelPrices_!AN320)</f>
        <v>0.04</v>
      </c>
      <c r="E315">
        <f>IFERROR(VLOOKUP(A315,FuelPrices_!$B$49:$G$53,6,FALSE),"")</f>
        <v>5.4000000000000001E-4</v>
      </c>
      <c r="F315">
        <f>IFERROR(VLOOKUP(A315,FuelPrices_!$B$61:$G$65,6,FALSE),"")</f>
        <v>4.1269841269841276E-2</v>
      </c>
      <c r="G315">
        <f t="shared" si="8"/>
        <v>8.1809841269841282E-2</v>
      </c>
      <c r="I315">
        <f t="shared" si="10"/>
        <v>1.2885050000000002</v>
      </c>
    </row>
    <row r="316" spans="1:9" x14ac:dyDescent="0.25">
      <c r="A316" t="str">
        <f>IF(FuelPrices_!AK321="","",FuelPrices_!AK321)</f>
        <v>BG</v>
      </c>
      <c r="B316" t="str">
        <f>IF(FuelPrices_!AL321="","",FuelPrices_!AL321)</f>
        <v>Low</v>
      </c>
      <c r="C316">
        <f>IF(FuelPrices_!AM321="","",FuelPrices_!AM321)</f>
        <v>2041</v>
      </c>
      <c r="D316">
        <f>IF(FuelPrices_!AN321="","",FuelPrices_!AN321)</f>
        <v>0.04</v>
      </c>
      <c r="E316">
        <f>IFERROR(VLOOKUP(A316,FuelPrices_!$B$49:$G$53,6,FALSE),"")</f>
        <v>5.4000000000000001E-4</v>
      </c>
      <c r="F316">
        <f>IFERROR(VLOOKUP(A316,FuelPrices_!$B$61:$G$65,6,FALSE),"")</f>
        <v>4.1269841269841276E-2</v>
      </c>
      <c r="G316">
        <f t="shared" si="8"/>
        <v>8.1809841269841282E-2</v>
      </c>
      <c r="I316">
        <f t="shared" si="10"/>
        <v>1.2885050000000002</v>
      </c>
    </row>
    <row r="317" spans="1:9" x14ac:dyDescent="0.25">
      <c r="A317" t="str">
        <f>IF(FuelPrices_!AK322="","",FuelPrices_!AK322)</f>
        <v>BG</v>
      </c>
      <c r="B317" t="str">
        <f>IF(FuelPrices_!AL322="","",FuelPrices_!AL322)</f>
        <v>Low</v>
      </c>
      <c r="C317">
        <f>IF(FuelPrices_!AM322="","",FuelPrices_!AM322)</f>
        <v>2042</v>
      </c>
      <c r="D317">
        <f>IF(FuelPrices_!AN322="","",FuelPrices_!AN322)</f>
        <v>0.04</v>
      </c>
      <c r="E317">
        <f>IFERROR(VLOOKUP(A317,FuelPrices_!$B$49:$G$53,6,FALSE),"")</f>
        <v>5.4000000000000001E-4</v>
      </c>
      <c r="F317">
        <f>IFERROR(VLOOKUP(A317,FuelPrices_!$B$61:$G$65,6,FALSE),"")</f>
        <v>4.1269841269841276E-2</v>
      </c>
      <c r="G317">
        <f t="shared" si="8"/>
        <v>8.1809841269841282E-2</v>
      </c>
      <c r="I317">
        <f t="shared" si="10"/>
        <v>1.2885050000000002</v>
      </c>
    </row>
    <row r="318" spans="1:9" x14ac:dyDescent="0.25">
      <c r="A318" t="str">
        <f>IF(FuelPrices_!AK323="","",FuelPrices_!AK323)</f>
        <v>BG</v>
      </c>
      <c r="B318" t="str">
        <f>IF(FuelPrices_!AL323="","",FuelPrices_!AL323)</f>
        <v>Low</v>
      </c>
      <c r="C318">
        <f>IF(FuelPrices_!AM323="","",FuelPrices_!AM323)</f>
        <v>2043</v>
      </c>
      <c r="D318">
        <f>IF(FuelPrices_!AN323="","",FuelPrices_!AN323)</f>
        <v>0.04</v>
      </c>
      <c r="E318">
        <f>IFERROR(VLOOKUP(A318,FuelPrices_!$B$49:$G$53,6,FALSE),"")</f>
        <v>5.4000000000000001E-4</v>
      </c>
      <c r="F318">
        <f>IFERROR(VLOOKUP(A318,FuelPrices_!$B$61:$G$65,6,FALSE),"")</f>
        <v>4.1269841269841276E-2</v>
      </c>
      <c r="G318">
        <f t="shared" si="8"/>
        <v>8.1809841269841282E-2</v>
      </c>
      <c r="I318">
        <f t="shared" si="10"/>
        <v>1.2885050000000002</v>
      </c>
    </row>
    <row r="319" spans="1:9" x14ac:dyDescent="0.25">
      <c r="A319" t="str">
        <f>IF(FuelPrices_!AK324="","",FuelPrices_!AK324)</f>
        <v>BG</v>
      </c>
      <c r="B319" t="str">
        <f>IF(FuelPrices_!AL324="","",FuelPrices_!AL324)</f>
        <v>Low</v>
      </c>
      <c r="C319">
        <f>IF(FuelPrices_!AM324="","",FuelPrices_!AM324)</f>
        <v>2044</v>
      </c>
      <c r="D319">
        <f>IF(FuelPrices_!AN324="","",FuelPrices_!AN324)</f>
        <v>0.04</v>
      </c>
      <c r="E319">
        <f>IFERROR(VLOOKUP(A319,FuelPrices_!$B$49:$G$53,6,FALSE),"")</f>
        <v>5.4000000000000001E-4</v>
      </c>
      <c r="F319">
        <f>IFERROR(VLOOKUP(A319,FuelPrices_!$B$61:$G$65,6,FALSE),"")</f>
        <v>4.1269841269841276E-2</v>
      </c>
      <c r="G319">
        <f t="shared" si="8"/>
        <v>8.1809841269841282E-2</v>
      </c>
      <c r="I319">
        <f t="shared" si="10"/>
        <v>1.2885050000000002</v>
      </c>
    </row>
    <row r="320" spans="1:9" x14ac:dyDescent="0.25">
      <c r="A320" t="str">
        <f>IF(FuelPrices_!AK325="","",FuelPrices_!AK325)</f>
        <v>BG</v>
      </c>
      <c r="B320" t="str">
        <f>IF(FuelPrices_!AL325="","",FuelPrices_!AL325)</f>
        <v>Low</v>
      </c>
      <c r="C320">
        <f>IF(FuelPrices_!AM325="","",FuelPrices_!AM325)</f>
        <v>2045</v>
      </c>
      <c r="D320">
        <f>IF(FuelPrices_!AN325="","",FuelPrices_!AN325)</f>
        <v>0.04</v>
      </c>
      <c r="E320">
        <f>IFERROR(VLOOKUP(A320,FuelPrices_!$B$49:$G$53,6,FALSE),"")</f>
        <v>5.4000000000000001E-4</v>
      </c>
      <c r="F320">
        <f>IFERROR(VLOOKUP(A320,FuelPrices_!$B$61:$G$65,6,FALSE),"")</f>
        <v>4.1269841269841276E-2</v>
      </c>
      <c r="G320">
        <f t="shared" si="8"/>
        <v>8.1809841269841282E-2</v>
      </c>
      <c r="I320">
        <f t="shared" si="10"/>
        <v>1.2885050000000002</v>
      </c>
    </row>
    <row r="321" spans="1:9" x14ac:dyDescent="0.25">
      <c r="A321" t="str">
        <f>IF(FuelPrices_!AK326="","",FuelPrices_!AK326)</f>
        <v>BG</v>
      </c>
      <c r="B321" t="str">
        <f>IF(FuelPrices_!AL326="","",FuelPrices_!AL326)</f>
        <v>Low</v>
      </c>
      <c r="C321">
        <f>IF(FuelPrices_!AM326="","",FuelPrices_!AM326)</f>
        <v>2046</v>
      </c>
      <c r="D321">
        <f>IF(FuelPrices_!AN326="","",FuelPrices_!AN326)</f>
        <v>0.04</v>
      </c>
      <c r="E321">
        <f>IFERROR(VLOOKUP(A321,FuelPrices_!$B$49:$G$53,6,FALSE),"")</f>
        <v>5.4000000000000001E-4</v>
      </c>
      <c r="F321">
        <f>IFERROR(VLOOKUP(A321,FuelPrices_!$B$61:$G$65,6,FALSE),"")</f>
        <v>4.1269841269841276E-2</v>
      </c>
      <c r="G321">
        <f t="shared" si="8"/>
        <v>8.1809841269841282E-2</v>
      </c>
      <c r="I321">
        <f t="shared" si="10"/>
        <v>1.2885050000000002</v>
      </c>
    </row>
    <row r="322" spans="1:9" x14ac:dyDescent="0.25">
      <c r="A322" t="str">
        <f>IF(FuelPrices_!AK327="","",FuelPrices_!AK327)</f>
        <v>BG</v>
      </c>
      <c r="B322" t="str">
        <f>IF(FuelPrices_!AL327="","",FuelPrices_!AL327)</f>
        <v>Low</v>
      </c>
      <c r="C322">
        <f>IF(FuelPrices_!AM327="","",FuelPrices_!AM327)</f>
        <v>2047</v>
      </c>
      <c r="D322">
        <f>IF(FuelPrices_!AN327="","",FuelPrices_!AN327)</f>
        <v>0.04</v>
      </c>
      <c r="E322">
        <f>IFERROR(VLOOKUP(A322,FuelPrices_!$B$49:$G$53,6,FALSE),"")</f>
        <v>5.4000000000000001E-4</v>
      </c>
      <c r="F322">
        <f>IFERROR(VLOOKUP(A322,FuelPrices_!$B$61:$G$65,6,FALSE),"")</f>
        <v>4.1269841269841276E-2</v>
      </c>
      <c r="G322">
        <f t="shared" si="8"/>
        <v>8.1809841269841282E-2</v>
      </c>
      <c r="I322">
        <f t="shared" si="10"/>
        <v>1.2885050000000002</v>
      </c>
    </row>
    <row r="323" spans="1:9" x14ac:dyDescent="0.25">
      <c r="A323" t="str">
        <f>IF(FuelPrices_!AK328="","",FuelPrices_!AK328)</f>
        <v>BG</v>
      </c>
      <c r="B323" t="str">
        <f>IF(FuelPrices_!AL328="","",FuelPrices_!AL328)</f>
        <v>Low</v>
      </c>
      <c r="C323">
        <f>IF(FuelPrices_!AM328="","",FuelPrices_!AM328)</f>
        <v>2048</v>
      </c>
      <c r="D323">
        <f>IF(FuelPrices_!AN328="","",FuelPrices_!AN328)</f>
        <v>0.04</v>
      </c>
      <c r="E323">
        <f>IFERROR(VLOOKUP(A323,FuelPrices_!$B$49:$G$53,6,FALSE),"")</f>
        <v>5.4000000000000001E-4</v>
      </c>
      <c r="F323">
        <f>IFERROR(VLOOKUP(A323,FuelPrices_!$B$61:$G$65,6,FALSE),"")</f>
        <v>4.1269841269841276E-2</v>
      </c>
      <c r="G323">
        <f t="shared" ref="G323:G386" si="11">IFERROR(D323+E323+F323,"")</f>
        <v>8.1809841269841282E-2</v>
      </c>
      <c r="I323">
        <f t="shared" si="10"/>
        <v>1.2885050000000002</v>
      </c>
    </row>
    <row r="324" spans="1:9" x14ac:dyDescent="0.25">
      <c r="A324" t="str">
        <f>IF(FuelPrices_!AK329="","",FuelPrices_!AK329)</f>
        <v>BG</v>
      </c>
      <c r="B324" t="str">
        <f>IF(FuelPrices_!AL329="","",FuelPrices_!AL329)</f>
        <v>Low</v>
      </c>
      <c r="C324">
        <f>IF(FuelPrices_!AM329="","",FuelPrices_!AM329)</f>
        <v>2049</v>
      </c>
      <c r="D324">
        <f>IF(FuelPrices_!AN329="","",FuelPrices_!AN329)</f>
        <v>0.04</v>
      </c>
      <c r="E324">
        <f>IFERROR(VLOOKUP(A324,FuelPrices_!$B$49:$G$53,6,FALSE),"")</f>
        <v>5.4000000000000001E-4</v>
      </c>
      <c r="F324">
        <f>IFERROR(VLOOKUP(A324,FuelPrices_!$B$61:$G$65,6,FALSE),"")</f>
        <v>4.1269841269841276E-2</v>
      </c>
      <c r="G324">
        <f t="shared" si="11"/>
        <v>8.1809841269841282E-2</v>
      </c>
      <c r="I324">
        <f t="shared" si="10"/>
        <v>1.2885050000000002</v>
      </c>
    </row>
    <row r="325" spans="1:9" x14ac:dyDescent="0.25">
      <c r="A325" t="str">
        <f>IF(FuelPrices_!AK330="","",FuelPrices_!AK330)</f>
        <v>BG</v>
      </c>
      <c r="B325" t="str">
        <f>IF(FuelPrices_!AL330="","",FuelPrices_!AL330)</f>
        <v>Low</v>
      </c>
      <c r="C325">
        <f>IF(FuelPrices_!AM330="","",FuelPrices_!AM330)</f>
        <v>2050</v>
      </c>
      <c r="D325">
        <f>IF(FuelPrices_!AN330="","",FuelPrices_!AN330)</f>
        <v>0.04</v>
      </c>
      <c r="E325">
        <f>IFERROR(VLOOKUP(A325,FuelPrices_!$B$49:$G$53,6,FALSE),"")</f>
        <v>5.4000000000000001E-4</v>
      </c>
      <c r="F325">
        <f>IFERROR(VLOOKUP(A325,FuelPrices_!$B$61:$G$65,6,FALSE),"")</f>
        <v>4.1269841269841276E-2</v>
      </c>
      <c r="G325">
        <f t="shared" si="11"/>
        <v>8.1809841269841282E-2</v>
      </c>
    </row>
    <row r="326" spans="1:9" x14ac:dyDescent="0.25">
      <c r="A326" t="str">
        <f>IF(FuelPrices_!AK331="","",FuelPrices_!AK331)</f>
        <v>HVO</v>
      </c>
      <c r="B326" t="s">
        <v>75</v>
      </c>
      <c r="C326">
        <f>IF(FuelPrices_!AM331="","",FuelPrices_!AM331)</f>
        <v>2024</v>
      </c>
      <c r="D326">
        <f>IF(FuelPrices_!AN331="","",FuelPrices_!AN331)</f>
        <v>7.8E-2</v>
      </c>
      <c r="E326">
        <f>IFERROR(VLOOKUP(A326,FuelPrices_!$B$49:$G$53,6,FALSE),"")</f>
        <v>5.4000000000000001E-4</v>
      </c>
      <c r="F326">
        <f>IFERROR(VLOOKUP(A326,FuelPrices_!$B$61:$G$65,6,FALSE),"")</f>
        <v>1.4999999999999999E-2</v>
      </c>
      <c r="G326">
        <f t="shared" si="11"/>
        <v>9.3539999999999998E-2</v>
      </c>
    </row>
    <row r="327" spans="1:9" x14ac:dyDescent="0.25">
      <c r="A327" t="str">
        <f>IF(FuelPrices_!AK332="","",FuelPrices_!AK332)</f>
        <v>HVO</v>
      </c>
      <c r="B327" t="s">
        <v>75</v>
      </c>
      <c r="C327">
        <f>IF(FuelPrices_!AM332="","",FuelPrices_!AM332)</f>
        <v>2025</v>
      </c>
      <c r="D327">
        <f>IF(FuelPrices_!AN332="","",FuelPrices_!AN332)</f>
        <v>7.3499999999999996E-2</v>
      </c>
      <c r="E327">
        <f>IFERROR(VLOOKUP(A327,FuelPrices_!$B$49:$G$53,6,FALSE),"")</f>
        <v>5.4000000000000001E-4</v>
      </c>
      <c r="F327">
        <f>IFERROR(VLOOKUP(A327,FuelPrices_!$B$61:$G$65,6,FALSE),"")</f>
        <v>1.4999999999999999E-2</v>
      </c>
      <c r="G327">
        <f t="shared" si="11"/>
        <v>8.9039999999999994E-2</v>
      </c>
    </row>
    <row r="328" spans="1:9" x14ac:dyDescent="0.25">
      <c r="A328" t="str">
        <f>IF(FuelPrices_!AK333="","",FuelPrices_!AK333)</f>
        <v>HVO</v>
      </c>
      <c r="B328" t="s">
        <v>75</v>
      </c>
      <c r="C328">
        <f>IF(FuelPrices_!AM333="","",FuelPrices_!AM333)</f>
        <v>2026</v>
      </c>
      <c r="D328">
        <f>IF(FuelPrices_!AN333="","",FuelPrices_!AN333)</f>
        <v>6.9000000000000006E-2</v>
      </c>
      <c r="E328">
        <f>IFERROR(VLOOKUP(A328,FuelPrices_!$B$49:$G$53,6,FALSE),"")</f>
        <v>5.4000000000000001E-4</v>
      </c>
      <c r="F328">
        <f>IFERROR(VLOOKUP(A328,FuelPrices_!$B$61:$G$65,6,FALSE),"")</f>
        <v>1.4999999999999999E-2</v>
      </c>
      <c r="G328">
        <f t="shared" si="11"/>
        <v>8.4540000000000004E-2</v>
      </c>
    </row>
    <row r="329" spans="1:9" x14ac:dyDescent="0.25">
      <c r="A329" t="str">
        <f>IF(FuelPrices_!AK334="","",FuelPrices_!AK334)</f>
        <v>HVO</v>
      </c>
      <c r="B329" t="s">
        <v>75</v>
      </c>
      <c r="C329">
        <f>IF(FuelPrices_!AM334="","",FuelPrices_!AM334)</f>
        <v>2027</v>
      </c>
      <c r="D329">
        <f>IF(FuelPrices_!AN334="","",FuelPrices_!AN334)</f>
        <v>6.4500000000000002E-2</v>
      </c>
      <c r="E329">
        <f>IFERROR(VLOOKUP(A329,FuelPrices_!$B$49:$G$53,6,FALSE),"")</f>
        <v>5.4000000000000001E-4</v>
      </c>
      <c r="F329">
        <f>IFERROR(VLOOKUP(A329,FuelPrices_!$B$61:$G$65,6,FALSE),"")</f>
        <v>1.4999999999999999E-2</v>
      </c>
      <c r="G329">
        <f t="shared" si="11"/>
        <v>8.004E-2</v>
      </c>
    </row>
    <row r="330" spans="1:9" x14ac:dyDescent="0.25">
      <c r="A330" t="str">
        <f>IF(FuelPrices_!AK335="","",FuelPrices_!AK335)</f>
        <v>HVO</v>
      </c>
      <c r="B330" t="s">
        <v>75</v>
      </c>
      <c r="C330">
        <f>IF(FuelPrices_!AM335="","",FuelPrices_!AM335)</f>
        <v>2028</v>
      </c>
      <c r="D330">
        <f>IF(FuelPrices_!AN335="","",FuelPrices_!AN335)</f>
        <v>0.06</v>
      </c>
      <c r="E330">
        <f>IFERROR(VLOOKUP(A330,FuelPrices_!$B$49:$G$53,6,FALSE),"")</f>
        <v>5.4000000000000001E-4</v>
      </c>
      <c r="F330">
        <f>IFERROR(VLOOKUP(A330,FuelPrices_!$B$61:$G$65,6,FALSE),"")</f>
        <v>1.4999999999999999E-2</v>
      </c>
      <c r="G330">
        <f t="shared" si="11"/>
        <v>7.5539999999999996E-2</v>
      </c>
    </row>
    <row r="331" spans="1:9" x14ac:dyDescent="0.25">
      <c r="A331" t="str">
        <f>IF(FuelPrices_!AK336="","",FuelPrices_!AK336)</f>
        <v>HVO</v>
      </c>
      <c r="B331" t="s">
        <v>75</v>
      </c>
      <c r="C331">
        <f>IF(FuelPrices_!AM336="","",FuelPrices_!AM336)</f>
        <v>2029</v>
      </c>
      <c r="D331">
        <f>IF(FuelPrices_!AN336="","",FuelPrices_!AN336)</f>
        <v>5.5500000000000001E-2</v>
      </c>
      <c r="E331">
        <f>IFERROR(VLOOKUP(A331,FuelPrices_!$B$49:$G$53,6,FALSE),"")</f>
        <v>5.4000000000000001E-4</v>
      </c>
      <c r="F331">
        <f>IFERROR(VLOOKUP(A331,FuelPrices_!$B$61:$G$65,6,FALSE),"")</f>
        <v>1.4999999999999999E-2</v>
      </c>
      <c r="G331">
        <f t="shared" si="11"/>
        <v>7.1039999999999992E-2</v>
      </c>
    </row>
    <row r="332" spans="1:9" x14ac:dyDescent="0.25">
      <c r="A332" t="str">
        <f>IF(FuelPrices_!AK337="","",FuelPrices_!AK337)</f>
        <v>HVO</v>
      </c>
      <c r="B332" t="s">
        <v>75</v>
      </c>
      <c r="C332">
        <f>IF(FuelPrices_!AM337="","",FuelPrices_!AM337)</f>
        <v>2030</v>
      </c>
      <c r="D332">
        <f>IF(FuelPrices_!AN337="","",FuelPrices_!AN337)</f>
        <v>5.0999999999999997E-2</v>
      </c>
      <c r="E332">
        <f>IFERROR(VLOOKUP(A332,FuelPrices_!$B$49:$G$53,6,FALSE),"")</f>
        <v>5.4000000000000001E-4</v>
      </c>
      <c r="F332">
        <f>IFERROR(VLOOKUP(A332,FuelPrices_!$B$61:$G$65,6,FALSE),"")</f>
        <v>1.4999999999999999E-2</v>
      </c>
      <c r="G332">
        <f t="shared" si="11"/>
        <v>6.6539999999999988E-2</v>
      </c>
    </row>
    <row r="333" spans="1:9" x14ac:dyDescent="0.25">
      <c r="A333" t="str">
        <f>IF(FuelPrices_!AK338="","",FuelPrices_!AK338)</f>
        <v>HVO</v>
      </c>
      <c r="B333" t="s">
        <v>75</v>
      </c>
      <c r="C333">
        <f>IF(FuelPrices_!AM338="","",FuelPrices_!AM338)</f>
        <v>2031</v>
      </c>
      <c r="D333">
        <f>IF(FuelPrices_!AN338="","",FuelPrices_!AN338)</f>
        <v>5.0999999999999997E-2</v>
      </c>
      <c r="E333">
        <f>IFERROR(VLOOKUP(A333,FuelPrices_!$B$49:$G$53,6,FALSE),"")</f>
        <v>5.4000000000000001E-4</v>
      </c>
      <c r="F333">
        <f>IFERROR(VLOOKUP(A333,FuelPrices_!$B$61:$G$65,6,FALSE),"")</f>
        <v>1.4999999999999999E-2</v>
      </c>
      <c r="G333">
        <f t="shared" si="11"/>
        <v>6.6539999999999988E-2</v>
      </c>
    </row>
    <row r="334" spans="1:9" x14ac:dyDescent="0.25">
      <c r="A334" t="str">
        <f>IF(FuelPrices_!AK339="","",FuelPrices_!AK339)</f>
        <v>HVO</v>
      </c>
      <c r="B334" t="s">
        <v>75</v>
      </c>
      <c r="C334">
        <f>IF(FuelPrices_!AM339="","",FuelPrices_!AM339)</f>
        <v>2032</v>
      </c>
      <c r="D334">
        <f>IF(FuelPrices_!AN339="","",FuelPrices_!AN339)</f>
        <v>5.0999999999999997E-2</v>
      </c>
      <c r="E334">
        <f>IFERROR(VLOOKUP(A334,FuelPrices_!$B$49:$G$53,6,FALSE),"")</f>
        <v>5.4000000000000001E-4</v>
      </c>
      <c r="F334">
        <f>IFERROR(VLOOKUP(A334,FuelPrices_!$B$61:$G$65,6,FALSE),"")</f>
        <v>1.4999999999999999E-2</v>
      </c>
      <c r="G334">
        <f t="shared" si="11"/>
        <v>6.6539999999999988E-2</v>
      </c>
    </row>
    <row r="335" spans="1:9" x14ac:dyDescent="0.25">
      <c r="A335" t="str">
        <f>IF(FuelPrices_!AK340="","",FuelPrices_!AK340)</f>
        <v>HVO</v>
      </c>
      <c r="B335" t="s">
        <v>75</v>
      </c>
      <c r="C335">
        <f>IF(FuelPrices_!AM340="","",FuelPrices_!AM340)</f>
        <v>2033</v>
      </c>
      <c r="D335">
        <f>IF(FuelPrices_!AN340="","",FuelPrices_!AN340)</f>
        <v>5.0999999999999997E-2</v>
      </c>
      <c r="E335">
        <f>IFERROR(VLOOKUP(A335,FuelPrices_!$B$49:$G$53,6,FALSE),"")</f>
        <v>5.4000000000000001E-4</v>
      </c>
      <c r="F335">
        <f>IFERROR(VLOOKUP(A335,FuelPrices_!$B$61:$G$65,6,FALSE),"")</f>
        <v>1.4999999999999999E-2</v>
      </c>
      <c r="G335">
        <f t="shared" si="11"/>
        <v>6.6539999999999988E-2</v>
      </c>
    </row>
    <row r="336" spans="1:9" x14ac:dyDescent="0.25">
      <c r="A336" t="str">
        <f>IF(FuelPrices_!AK341="","",FuelPrices_!AK341)</f>
        <v>HVO</v>
      </c>
      <c r="B336" t="s">
        <v>75</v>
      </c>
      <c r="C336">
        <f>IF(FuelPrices_!AM341="","",FuelPrices_!AM341)</f>
        <v>2034</v>
      </c>
      <c r="D336">
        <f>IF(FuelPrices_!AN341="","",FuelPrices_!AN341)</f>
        <v>5.0999999999999997E-2</v>
      </c>
      <c r="E336">
        <f>IFERROR(VLOOKUP(A336,FuelPrices_!$B$49:$G$53,6,FALSE),"")</f>
        <v>5.4000000000000001E-4</v>
      </c>
      <c r="F336">
        <f>IFERROR(VLOOKUP(A336,FuelPrices_!$B$61:$G$65,6,FALSE),"")</f>
        <v>1.4999999999999999E-2</v>
      </c>
      <c r="G336">
        <f t="shared" si="11"/>
        <v>6.6539999999999988E-2</v>
      </c>
    </row>
    <row r="337" spans="1:7" x14ac:dyDescent="0.25">
      <c r="A337" t="str">
        <f>IF(FuelPrices_!AK342="","",FuelPrices_!AK342)</f>
        <v>HVO</v>
      </c>
      <c r="B337" t="s">
        <v>75</v>
      </c>
      <c r="C337">
        <f>IF(FuelPrices_!AM342="","",FuelPrices_!AM342)</f>
        <v>2035</v>
      </c>
      <c r="D337">
        <f>IF(FuelPrices_!AN342="","",FuelPrices_!AN342)</f>
        <v>5.0999999999999997E-2</v>
      </c>
      <c r="E337">
        <f>IFERROR(VLOOKUP(A337,FuelPrices_!$B$49:$G$53,6,FALSE),"")</f>
        <v>5.4000000000000001E-4</v>
      </c>
      <c r="F337">
        <f>IFERROR(VLOOKUP(A337,FuelPrices_!$B$61:$G$65,6,FALSE),"")</f>
        <v>1.4999999999999999E-2</v>
      </c>
      <c r="G337">
        <f t="shared" si="11"/>
        <v>6.6539999999999988E-2</v>
      </c>
    </row>
    <row r="338" spans="1:7" x14ac:dyDescent="0.25">
      <c r="A338" t="str">
        <f>IF(FuelPrices_!AK343="","",FuelPrices_!AK343)</f>
        <v>HVO</v>
      </c>
      <c r="B338" t="s">
        <v>75</v>
      </c>
      <c r="C338">
        <f>IF(FuelPrices_!AM343="","",FuelPrices_!AM343)</f>
        <v>2036</v>
      </c>
      <c r="D338">
        <f>IF(FuelPrices_!AN343="","",FuelPrices_!AN343)</f>
        <v>5.0999999999999997E-2</v>
      </c>
      <c r="E338">
        <f>IFERROR(VLOOKUP(A338,FuelPrices_!$B$49:$G$53,6,FALSE),"")</f>
        <v>5.4000000000000001E-4</v>
      </c>
      <c r="F338">
        <f>IFERROR(VLOOKUP(A338,FuelPrices_!$B$61:$G$65,6,FALSE),"")</f>
        <v>1.4999999999999999E-2</v>
      </c>
      <c r="G338">
        <f t="shared" si="11"/>
        <v>6.6539999999999988E-2</v>
      </c>
    </row>
    <row r="339" spans="1:7" x14ac:dyDescent="0.25">
      <c r="A339" t="str">
        <f>IF(FuelPrices_!AK344="","",FuelPrices_!AK344)</f>
        <v>HVO</v>
      </c>
      <c r="B339" t="s">
        <v>75</v>
      </c>
      <c r="C339">
        <f>IF(FuelPrices_!AM344="","",FuelPrices_!AM344)</f>
        <v>2037</v>
      </c>
      <c r="D339">
        <f>IF(FuelPrices_!AN344="","",FuelPrices_!AN344)</f>
        <v>5.0999999999999997E-2</v>
      </c>
      <c r="E339">
        <f>IFERROR(VLOOKUP(A339,FuelPrices_!$B$49:$G$53,6,FALSE),"")</f>
        <v>5.4000000000000001E-4</v>
      </c>
      <c r="F339">
        <f>IFERROR(VLOOKUP(A339,FuelPrices_!$B$61:$G$65,6,FALSE),"")</f>
        <v>1.4999999999999999E-2</v>
      </c>
      <c r="G339">
        <f t="shared" si="11"/>
        <v>6.6539999999999988E-2</v>
      </c>
    </row>
    <row r="340" spans="1:7" x14ac:dyDescent="0.25">
      <c r="A340" t="str">
        <f>IF(FuelPrices_!AK345="","",FuelPrices_!AK345)</f>
        <v>HVO</v>
      </c>
      <c r="B340" t="s">
        <v>75</v>
      </c>
      <c r="C340">
        <f>IF(FuelPrices_!AM345="","",FuelPrices_!AM345)</f>
        <v>2038</v>
      </c>
      <c r="D340">
        <f>IF(FuelPrices_!AN345="","",FuelPrices_!AN345)</f>
        <v>5.0999999999999997E-2</v>
      </c>
      <c r="E340">
        <f>IFERROR(VLOOKUP(A340,FuelPrices_!$B$49:$G$53,6,FALSE),"")</f>
        <v>5.4000000000000001E-4</v>
      </c>
      <c r="F340">
        <f>IFERROR(VLOOKUP(A340,FuelPrices_!$B$61:$G$65,6,FALSE),"")</f>
        <v>1.4999999999999999E-2</v>
      </c>
      <c r="G340">
        <f t="shared" si="11"/>
        <v>6.6539999999999988E-2</v>
      </c>
    </row>
    <row r="341" spans="1:7" x14ac:dyDescent="0.25">
      <c r="A341" t="str">
        <f>IF(FuelPrices_!AK346="","",FuelPrices_!AK346)</f>
        <v>HVO</v>
      </c>
      <c r="B341" t="s">
        <v>75</v>
      </c>
      <c r="C341">
        <f>IF(FuelPrices_!AM346="","",FuelPrices_!AM346)</f>
        <v>2039</v>
      </c>
      <c r="D341">
        <f>IF(FuelPrices_!AN346="","",FuelPrices_!AN346)</f>
        <v>5.0999999999999997E-2</v>
      </c>
      <c r="E341">
        <f>IFERROR(VLOOKUP(A341,FuelPrices_!$B$49:$G$53,6,FALSE),"")</f>
        <v>5.4000000000000001E-4</v>
      </c>
      <c r="F341">
        <f>IFERROR(VLOOKUP(A341,FuelPrices_!$B$61:$G$65,6,FALSE),"")</f>
        <v>1.4999999999999999E-2</v>
      </c>
      <c r="G341">
        <f t="shared" si="11"/>
        <v>6.6539999999999988E-2</v>
      </c>
    </row>
    <row r="342" spans="1:7" x14ac:dyDescent="0.25">
      <c r="A342" t="str">
        <f>IF(FuelPrices_!AK347="","",FuelPrices_!AK347)</f>
        <v>HVO</v>
      </c>
      <c r="B342" t="s">
        <v>75</v>
      </c>
      <c r="C342">
        <f>IF(FuelPrices_!AM347="","",FuelPrices_!AM347)</f>
        <v>2040</v>
      </c>
      <c r="D342">
        <f>IF(FuelPrices_!AN347="","",FuelPrices_!AN347)</f>
        <v>5.0999999999999997E-2</v>
      </c>
      <c r="E342">
        <f>IFERROR(VLOOKUP(A342,FuelPrices_!$B$49:$G$53,6,FALSE),"")</f>
        <v>5.4000000000000001E-4</v>
      </c>
      <c r="F342">
        <f>IFERROR(VLOOKUP(A342,FuelPrices_!$B$61:$G$65,6,FALSE),"")</f>
        <v>1.4999999999999999E-2</v>
      </c>
      <c r="G342">
        <f t="shared" si="11"/>
        <v>6.6539999999999988E-2</v>
      </c>
    </row>
    <row r="343" spans="1:7" x14ac:dyDescent="0.25">
      <c r="A343" t="str">
        <f>IF(FuelPrices_!AK348="","",FuelPrices_!AK348)</f>
        <v>HVO</v>
      </c>
      <c r="B343" t="s">
        <v>75</v>
      </c>
      <c r="C343">
        <f>IF(FuelPrices_!AM348="","",FuelPrices_!AM348)</f>
        <v>2041</v>
      </c>
      <c r="D343">
        <f>IF(FuelPrices_!AN348="","",FuelPrices_!AN348)</f>
        <v>5.0999999999999997E-2</v>
      </c>
      <c r="E343">
        <f>IFERROR(VLOOKUP(A343,FuelPrices_!$B$49:$G$53,6,FALSE),"")</f>
        <v>5.4000000000000001E-4</v>
      </c>
      <c r="F343">
        <f>IFERROR(VLOOKUP(A343,FuelPrices_!$B$61:$G$65,6,FALSE),"")</f>
        <v>1.4999999999999999E-2</v>
      </c>
      <c r="G343">
        <f t="shared" si="11"/>
        <v>6.6539999999999988E-2</v>
      </c>
    </row>
    <row r="344" spans="1:7" x14ac:dyDescent="0.25">
      <c r="A344" t="str">
        <f>IF(FuelPrices_!AK349="","",FuelPrices_!AK349)</f>
        <v>HVO</v>
      </c>
      <c r="B344" t="s">
        <v>75</v>
      </c>
      <c r="C344">
        <f>IF(FuelPrices_!AM349="","",FuelPrices_!AM349)</f>
        <v>2042</v>
      </c>
      <c r="D344">
        <f>IF(FuelPrices_!AN349="","",FuelPrices_!AN349)</f>
        <v>5.0999999999999997E-2</v>
      </c>
      <c r="E344">
        <f>IFERROR(VLOOKUP(A344,FuelPrices_!$B$49:$G$53,6,FALSE),"")</f>
        <v>5.4000000000000001E-4</v>
      </c>
      <c r="F344">
        <f>IFERROR(VLOOKUP(A344,FuelPrices_!$B$61:$G$65,6,FALSE),"")</f>
        <v>1.4999999999999999E-2</v>
      </c>
      <c r="G344">
        <f t="shared" si="11"/>
        <v>6.6539999999999988E-2</v>
      </c>
    </row>
    <row r="345" spans="1:7" x14ac:dyDescent="0.25">
      <c r="A345" t="str">
        <f>IF(FuelPrices_!AK350="","",FuelPrices_!AK350)</f>
        <v>HVO</v>
      </c>
      <c r="B345" t="s">
        <v>75</v>
      </c>
      <c r="C345">
        <f>IF(FuelPrices_!AM350="","",FuelPrices_!AM350)</f>
        <v>2043</v>
      </c>
      <c r="D345">
        <f>IF(FuelPrices_!AN350="","",FuelPrices_!AN350)</f>
        <v>5.0999999999999997E-2</v>
      </c>
      <c r="E345">
        <f>IFERROR(VLOOKUP(A345,FuelPrices_!$B$49:$G$53,6,FALSE),"")</f>
        <v>5.4000000000000001E-4</v>
      </c>
      <c r="F345">
        <f>IFERROR(VLOOKUP(A345,FuelPrices_!$B$61:$G$65,6,FALSE),"")</f>
        <v>1.4999999999999999E-2</v>
      </c>
      <c r="G345">
        <f t="shared" si="11"/>
        <v>6.6539999999999988E-2</v>
      </c>
    </row>
    <row r="346" spans="1:7" x14ac:dyDescent="0.25">
      <c r="A346" t="str">
        <f>IF(FuelPrices_!AK351="","",FuelPrices_!AK351)</f>
        <v>HVO</v>
      </c>
      <c r="B346" t="s">
        <v>75</v>
      </c>
      <c r="C346">
        <f>IF(FuelPrices_!AM351="","",FuelPrices_!AM351)</f>
        <v>2044</v>
      </c>
      <c r="D346">
        <f>IF(FuelPrices_!AN351="","",FuelPrices_!AN351)</f>
        <v>5.0999999999999997E-2</v>
      </c>
      <c r="E346">
        <f>IFERROR(VLOOKUP(A346,FuelPrices_!$B$49:$G$53,6,FALSE),"")</f>
        <v>5.4000000000000001E-4</v>
      </c>
      <c r="F346">
        <f>IFERROR(VLOOKUP(A346,FuelPrices_!$B$61:$G$65,6,FALSE),"")</f>
        <v>1.4999999999999999E-2</v>
      </c>
      <c r="G346">
        <f t="shared" si="11"/>
        <v>6.6539999999999988E-2</v>
      </c>
    </row>
    <row r="347" spans="1:7" x14ac:dyDescent="0.25">
      <c r="A347" t="str">
        <f>IF(FuelPrices_!AK352="","",FuelPrices_!AK352)</f>
        <v>HVO</v>
      </c>
      <c r="B347" t="s">
        <v>75</v>
      </c>
      <c r="C347">
        <f>IF(FuelPrices_!AM352="","",FuelPrices_!AM352)</f>
        <v>2045</v>
      </c>
      <c r="D347">
        <f>IF(FuelPrices_!AN352="","",FuelPrices_!AN352)</f>
        <v>5.0999999999999997E-2</v>
      </c>
      <c r="E347">
        <f>IFERROR(VLOOKUP(A347,FuelPrices_!$B$49:$G$53,6,FALSE),"")</f>
        <v>5.4000000000000001E-4</v>
      </c>
      <c r="F347">
        <f>IFERROR(VLOOKUP(A347,FuelPrices_!$B$61:$G$65,6,FALSE),"")</f>
        <v>1.4999999999999999E-2</v>
      </c>
      <c r="G347">
        <f t="shared" si="11"/>
        <v>6.6539999999999988E-2</v>
      </c>
    </row>
    <row r="348" spans="1:7" x14ac:dyDescent="0.25">
      <c r="A348" t="str">
        <f>IF(FuelPrices_!AK353="","",FuelPrices_!AK353)</f>
        <v>HVO</v>
      </c>
      <c r="B348" t="s">
        <v>75</v>
      </c>
      <c r="C348">
        <f>IF(FuelPrices_!AM353="","",FuelPrices_!AM353)</f>
        <v>2046</v>
      </c>
      <c r="D348">
        <f>IF(FuelPrices_!AN353="","",FuelPrices_!AN353)</f>
        <v>5.0999999999999997E-2</v>
      </c>
      <c r="E348">
        <f>IFERROR(VLOOKUP(A348,FuelPrices_!$B$49:$G$53,6,FALSE),"")</f>
        <v>5.4000000000000001E-4</v>
      </c>
      <c r="F348">
        <f>IFERROR(VLOOKUP(A348,FuelPrices_!$B$61:$G$65,6,FALSE),"")</f>
        <v>1.4999999999999999E-2</v>
      </c>
      <c r="G348">
        <f t="shared" si="11"/>
        <v>6.6539999999999988E-2</v>
      </c>
    </row>
    <row r="349" spans="1:7" x14ac:dyDescent="0.25">
      <c r="A349" t="str">
        <f>IF(FuelPrices_!AK354="","",FuelPrices_!AK354)</f>
        <v>HVO</v>
      </c>
      <c r="B349" t="s">
        <v>75</v>
      </c>
      <c r="C349">
        <f>IF(FuelPrices_!AM354="","",FuelPrices_!AM354)</f>
        <v>2047</v>
      </c>
      <c r="D349">
        <f>IF(FuelPrices_!AN354="","",FuelPrices_!AN354)</f>
        <v>5.0999999999999997E-2</v>
      </c>
      <c r="E349">
        <f>IFERROR(VLOOKUP(A349,FuelPrices_!$B$49:$G$53,6,FALSE),"")</f>
        <v>5.4000000000000001E-4</v>
      </c>
      <c r="F349">
        <f>IFERROR(VLOOKUP(A349,FuelPrices_!$B$61:$G$65,6,FALSE),"")</f>
        <v>1.4999999999999999E-2</v>
      </c>
      <c r="G349">
        <f t="shared" si="11"/>
        <v>6.6539999999999988E-2</v>
      </c>
    </row>
    <row r="350" spans="1:7" x14ac:dyDescent="0.25">
      <c r="A350" t="str">
        <f>IF(FuelPrices_!AK355="","",FuelPrices_!AK355)</f>
        <v>HVO</v>
      </c>
      <c r="B350" t="s">
        <v>75</v>
      </c>
      <c r="C350">
        <f>IF(FuelPrices_!AM355="","",FuelPrices_!AM355)</f>
        <v>2048</v>
      </c>
      <c r="D350">
        <f>IF(FuelPrices_!AN355="","",FuelPrices_!AN355)</f>
        <v>5.0999999999999997E-2</v>
      </c>
      <c r="E350">
        <f>IFERROR(VLOOKUP(A350,FuelPrices_!$B$49:$G$53,6,FALSE),"")</f>
        <v>5.4000000000000001E-4</v>
      </c>
      <c r="F350">
        <f>IFERROR(VLOOKUP(A350,FuelPrices_!$B$61:$G$65,6,FALSE),"")</f>
        <v>1.4999999999999999E-2</v>
      </c>
      <c r="G350">
        <f t="shared" si="11"/>
        <v>6.6539999999999988E-2</v>
      </c>
    </row>
    <row r="351" spans="1:7" x14ac:dyDescent="0.25">
      <c r="A351" t="str">
        <f>IF(FuelPrices_!AK356="","",FuelPrices_!AK356)</f>
        <v>HVO</v>
      </c>
      <c r="B351" t="s">
        <v>75</v>
      </c>
      <c r="C351">
        <f>IF(FuelPrices_!AM356="","",FuelPrices_!AM356)</f>
        <v>2049</v>
      </c>
      <c r="D351">
        <f>IF(FuelPrices_!AN356="","",FuelPrices_!AN356)</f>
        <v>5.0999999999999997E-2</v>
      </c>
      <c r="E351">
        <f>IFERROR(VLOOKUP(A351,FuelPrices_!$B$49:$G$53,6,FALSE),"")</f>
        <v>5.4000000000000001E-4</v>
      </c>
      <c r="F351">
        <f>IFERROR(VLOOKUP(A351,FuelPrices_!$B$61:$G$65,6,FALSE),"")</f>
        <v>1.4999999999999999E-2</v>
      </c>
      <c r="G351">
        <f t="shared" si="11"/>
        <v>6.6539999999999988E-2</v>
      </c>
    </row>
    <row r="352" spans="1:7" x14ac:dyDescent="0.25">
      <c r="A352" t="str">
        <f>IF(FuelPrices_!AK357="","",FuelPrices_!AK357)</f>
        <v>HVO</v>
      </c>
      <c r="B352" t="s">
        <v>75</v>
      </c>
      <c r="C352">
        <f>IF(FuelPrices_!AM357="","",FuelPrices_!AM357)</f>
        <v>2050</v>
      </c>
      <c r="D352">
        <f>IF(FuelPrices_!AN357="","",FuelPrices_!AN357)</f>
        <v>5.0999999999999997E-2</v>
      </c>
      <c r="E352">
        <f>IFERROR(VLOOKUP(A352,FuelPrices_!$B$49:$G$53,6,FALSE),"")</f>
        <v>5.4000000000000001E-4</v>
      </c>
      <c r="F352">
        <f>IFERROR(VLOOKUP(A352,FuelPrices_!$B$61:$G$65,6,FALSE),"")</f>
        <v>1.4999999999999999E-2</v>
      </c>
      <c r="G352">
        <f t="shared" si="11"/>
        <v>6.6539999999999988E-2</v>
      </c>
    </row>
    <row r="353" spans="1:7" x14ac:dyDescent="0.25">
      <c r="A353" t="str">
        <f>IF(FuelPrices_!AK358="","",FuelPrices_!AK358)</f>
        <v>HVO</v>
      </c>
      <c r="B353" t="str">
        <f>IF(FuelPrices_!AL358="","",FuelPrices_!AL358)</f>
        <v>Average</v>
      </c>
      <c r="C353">
        <f>IF(FuelPrices_!AM358="","",FuelPrices_!AM358)</f>
        <v>2024</v>
      </c>
      <c r="D353">
        <f>IF(FuelPrices_!AN358="","",FuelPrices_!AN358)</f>
        <v>7.8E-2</v>
      </c>
      <c r="E353">
        <f>IFERROR(VLOOKUP(A353,FuelPrices_!$B$49:$G$53,6,FALSE),"")</f>
        <v>5.4000000000000001E-4</v>
      </c>
      <c r="F353">
        <f>IFERROR(VLOOKUP(A353,FuelPrices_!$B$61:$G$65,6,FALSE),"")</f>
        <v>1.4999999999999999E-2</v>
      </c>
      <c r="G353">
        <f t="shared" si="11"/>
        <v>9.3539999999999998E-2</v>
      </c>
    </row>
    <row r="354" spans="1:7" x14ac:dyDescent="0.25">
      <c r="A354" t="str">
        <f>IF(FuelPrices_!AK359="","",FuelPrices_!AK359)</f>
        <v>HVO</v>
      </c>
      <c r="B354" t="str">
        <f>IF(FuelPrices_!AL359="","",FuelPrices_!AL359)</f>
        <v>Average</v>
      </c>
      <c r="C354">
        <f>IF(FuelPrices_!AM359="","",FuelPrices_!AM359)</f>
        <v>2025</v>
      </c>
      <c r="D354">
        <f>IF(FuelPrices_!AN359="","",FuelPrices_!AN359)</f>
        <v>7.8E-2</v>
      </c>
      <c r="E354">
        <f>IFERROR(VLOOKUP(A354,FuelPrices_!$B$49:$G$53,6,FALSE),"")</f>
        <v>5.4000000000000001E-4</v>
      </c>
      <c r="F354">
        <f>IFERROR(VLOOKUP(A354,FuelPrices_!$B$61:$G$65,6,FALSE),"")</f>
        <v>1.4999999999999999E-2</v>
      </c>
      <c r="G354">
        <f t="shared" si="11"/>
        <v>9.3539999999999998E-2</v>
      </c>
    </row>
    <row r="355" spans="1:7" x14ac:dyDescent="0.25">
      <c r="A355" t="str">
        <f>IF(FuelPrices_!AK360="","",FuelPrices_!AK360)</f>
        <v>HVO</v>
      </c>
      <c r="B355" t="str">
        <f>IF(FuelPrices_!AL360="","",FuelPrices_!AL360)</f>
        <v>Average</v>
      </c>
      <c r="C355">
        <f>IF(FuelPrices_!AM360="","",FuelPrices_!AM360)</f>
        <v>2026</v>
      </c>
      <c r="D355">
        <f>IF(FuelPrices_!AN360="","",FuelPrices_!AN360)</f>
        <v>7.8E-2</v>
      </c>
      <c r="E355">
        <f>IFERROR(VLOOKUP(A355,FuelPrices_!$B$49:$G$53,6,FALSE),"")</f>
        <v>5.4000000000000001E-4</v>
      </c>
      <c r="F355">
        <f>IFERROR(VLOOKUP(A355,FuelPrices_!$B$61:$G$65,6,FALSE),"")</f>
        <v>1.4999999999999999E-2</v>
      </c>
      <c r="G355">
        <f t="shared" si="11"/>
        <v>9.3539999999999998E-2</v>
      </c>
    </row>
    <row r="356" spans="1:7" x14ac:dyDescent="0.25">
      <c r="A356" t="str">
        <f>IF(FuelPrices_!AK361="","",FuelPrices_!AK361)</f>
        <v>HVO</v>
      </c>
      <c r="B356" t="str">
        <f>IF(FuelPrices_!AL361="","",FuelPrices_!AL361)</f>
        <v>Average</v>
      </c>
      <c r="C356">
        <f>IF(FuelPrices_!AM361="","",FuelPrices_!AM361)</f>
        <v>2027</v>
      </c>
      <c r="D356">
        <f>IF(FuelPrices_!AN361="","",FuelPrices_!AN361)</f>
        <v>7.8E-2</v>
      </c>
      <c r="E356">
        <f>IFERROR(VLOOKUP(A356,FuelPrices_!$B$49:$G$53,6,FALSE),"")</f>
        <v>5.4000000000000001E-4</v>
      </c>
      <c r="F356">
        <f>IFERROR(VLOOKUP(A356,FuelPrices_!$B$61:$G$65,6,FALSE),"")</f>
        <v>1.4999999999999999E-2</v>
      </c>
      <c r="G356">
        <f t="shared" si="11"/>
        <v>9.3539999999999998E-2</v>
      </c>
    </row>
    <row r="357" spans="1:7" x14ac:dyDescent="0.25">
      <c r="A357" t="str">
        <f>IF(FuelPrices_!AK362="","",FuelPrices_!AK362)</f>
        <v>HVO</v>
      </c>
      <c r="B357" t="str">
        <f>IF(FuelPrices_!AL362="","",FuelPrices_!AL362)</f>
        <v>Average</v>
      </c>
      <c r="C357">
        <f>IF(FuelPrices_!AM362="","",FuelPrices_!AM362)</f>
        <v>2028</v>
      </c>
      <c r="D357">
        <f>IF(FuelPrices_!AN362="","",FuelPrices_!AN362)</f>
        <v>7.8E-2</v>
      </c>
      <c r="E357">
        <f>IFERROR(VLOOKUP(A357,FuelPrices_!$B$49:$G$53,6,FALSE),"")</f>
        <v>5.4000000000000001E-4</v>
      </c>
      <c r="F357">
        <f>IFERROR(VLOOKUP(A357,FuelPrices_!$B$61:$G$65,6,FALSE),"")</f>
        <v>1.4999999999999999E-2</v>
      </c>
      <c r="G357">
        <f t="shared" si="11"/>
        <v>9.3539999999999998E-2</v>
      </c>
    </row>
    <row r="358" spans="1:7" x14ac:dyDescent="0.25">
      <c r="A358" t="str">
        <f>IF(FuelPrices_!AK363="","",FuelPrices_!AK363)</f>
        <v>HVO</v>
      </c>
      <c r="B358" t="str">
        <f>IF(FuelPrices_!AL363="","",FuelPrices_!AL363)</f>
        <v>Average</v>
      </c>
      <c r="C358">
        <f>IF(FuelPrices_!AM363="","",FuelPrices_!AM363)</f>
        <v>2029</v>
      </c>
      <c r="D358">
        <f>IF(FuelPrices_!AN363="","",FuelPrices_!AN363)</f>
        <v>7.8E-2</v>
      </c>
      <c r="E358">
        <f>IFERROR(VLOOKUP(A358,FuelPrices_!$B$49:$G$53,6,FALSE),"")</f>
        <v>5.4000000000000001E-4</v>
      </c>
      <c r="F358">
        <f>IFERROR(VLOOKUP(A358,FuelPrices_!$B$61:$G$65,6,FALSE),"")</f>
        <v>1.4999999999999999E-2</v>
      </c>
      <c r="G358">
        <f t="shared" si="11"/>
        <v>9.3539999999999998E-2</v>
      </c>
    </row>
    <row r="359" spans="1:7" x14ac:dyDescent="0.25">
      <c r="A359" t="str">
        <f>IF(FuelPrices_!AK364="","",FuelPrices_!AK364)</f>
        <v>HVO</v>
      </c>
      <c r="B359" t="str">
        <f>IF(FuelPrices_!AL364="","",FuelPrices_!AL364)</f>
        <v>Average</v>
      </c>
      <c r="C359">
        <f>IF(FuelPrices_!AM364="","",FuelPrices_!AM364)</f>
        <v>2030</v>
      </c>
      <c r="D359">
        <f>IF(FuelPrices_!AN364="","",FuelPrices_!AN364)</f>
        <v>7.8E-2</v>
      </c>
      <c r="E359">
        <f>IFERROR(VLOOKUP(A359,FuelPrices_!$B$49:$G$53,6,FALSE),"")</f>
        <v>5.4000000000000001E-4</v>
      </c>
      <c r="F359">
        <f>IFERROR(VLOOKUP(A359,FuelPrices_!$B$61:$G$65,6,FALSE),"")</f>
        <v>1.4999999999999999E-2</v>
      </c>
      <c r="G359">
        <f t="shared" si="11"/>
        <v>9.3539999999999998E-2</v>
      </c>
    </row>
    <row r="360" spans="1:7" x14ac:dyDescent="0.25">
      <c r="A360" t="str">
        <f>IF(FuelPrices_!AK365="","",FuelPrices_!AK365)</f>
        <v>HVO</v>
      </c>
      <c r="B360" t="str">
        <f>IF(FuelPrices_!AL365="","",FuelPrices_!AL365)</f>
        <v>Average</v>
      </c>
      <c r="C360">
        <f>IF(FuelPrices_!AM365="","",FuelPrices_!AM365)</f>
        <v>2031</v>
      </c>
      <c r="D360">
        <f>IF(FuelPrices_!AN365="","",FuelPrices_!AN365)</f>
        <v>7.8E-2</v>
      </c>
      <c r="E360">
        <f>IFERROR(VLOOKUP(A360,FuelPrices_!$B$49:$G$53,6,FALSE),"")</f>
        <v>5.4000000000000001E-4</v>
      </c>
      <c r="F360">
        <f>IFERROR(VLOOKUP(A360,FuelPrices_!$B$61:$G$65,6,FALSE),"")</f>
        <v>1.4999999999999999E-2</v>
      </c>
      <c r="G360">
        <f t="shared" si="11"/>
        <v>9.3539999999999998E-2</v>
      </c>
    </row>
    <row r="361" spans="1:7" x14ac:dyDescent="0.25">
      <c r="A361" t="str">
        <f>IF(FuelPrices_!AK366="","",FuelPrices_!AK366)</f>
        <v>HVO</v>
      </c>
      <c r="B361" t="str">
        <f>IF(FuelPrices_!AL366="","",FuelPrices_!AL366)</f>
        <v>Average</v>
      </c>
      <c r="C361">
        <f>IF(FuelPrices_!AM366="","",FuelPrices_!AM366)</f>
        <v>2032</v>
      </c>
      <c r="D361">
        <f>IF(FuelPrices_!AN366="","",FuelPrices_!AN366)</f>
        <v>7.8E-2</v>
      </c>
      <c r="E361">
        <f>IFERROR(VLOOKUP(A361,FuelPrices_!$B$49:$G$53,6,FALSE),"")</f>
        <v>5.4000000000000001E-4</v>
      </c>
      <c r="F361">
        <f>IFERROR(VLOOKUP(A361,FuelPrices_!$B$61:$G$65,6,FALSE),"")</f>
        <v>1.4999999999999999E-2</v>
      </c>
      <c r="G361">
        <f t="shared" si="11"/>
        <v>9.3539999999999998E-2</v>
      </c>
    </row>
    <row r="362" spans="1:7" x14ac:dyDescent="0.25">
      <c r="A362" t="str">
        <f>IF(FuelPrices_!AK367="","",FuelPrices_!AK367)</f>
        <v>HVO</v>
      </c>
      <c r="B362" t="str">
        <f>IF(FuelPrices_!AL367="","",FuelPrices_!AL367)</f>
        <v>Average</v>
      </c>
      <c r="C362">
        <f>IF(FuelPrices_!AM367="","",FuelPrices_!AM367)</f>
        <v>2033</v>
      </c>
      <c r="D362">
        <f>IF(FuelPrices_!AN367="","",FuelPrices_!AN367)</f>
        <v>7.8E-2</v>
      </c>
      <c r="E362">
        <f>IFERROR(VLOOKUP(A362,FuelPrices_!$B$49:$G$53,6,FALSE),"")</f>
        <v>5.4000000000000001E-4</v>
      </c>
      <c r="F362">
        <f>IFERROR(VLOOKUP(A362,FuelPrices_!$B$61:$G$65,6,FALSE),"")</f>
        <v>1.4999999999999999E-2</v>
      </c>
      <c r="G362">
        <f t="shared" si="11"/>
        <v>9.3539999999999998E-2</v>
      </c>
    </row>
    <row r="363" spans="1:7" x14ac:dyDescent="0.25">
      <c r="A363" t="str">
        <f>IF(FuelPrices_!AK368="","",FuelPrices_!AK368)</f>
        <v>HVO</v>
      </c>
      <c r="B363" t="str">
        <f>IF(FuelPrices_!AL368="","",FuelPrices_!AL368)</f>
        <v>Average</v>
      </c>
      <c r="C363">
        <f>IF(FuelPrices_!AM368="","",FuelPrices_!AM368)</f>
        <v>2034</v>
      </c>
      <c r="D363">
        <f>IF(FuelPrices_!AN368="","",FuelPrices_!AN368)</f>
        <v>7.8E-2</v>
      </c>
      <c r="E363">
        <f>IFERROR(VLOOKUP(A363,FuelPrices_!$B$49:$G$53,6,FALSE),"")</f>
        <v>5.4000000000000001E-4</v>
      </c>
      <c r="F363">
        <f>IFERROR(VLOOKUP(A363,FuelPrices_!$B$61:$G$65,6,FALSE),"")</f>
        <v>1.4999999999999999E-2</v>
      </c>
      <c r="G363">
        <f t="shared" si="11"/>
        <v>9.3539999999999998E-2</v>
      </c>
    </row>
    <row r="364" spans="1:7" x14ac:dyDescent="0.25">
      <c r="A364" t="str">
        <f>IF(FuelPrices_!AK369="","",FuelPrices_!AK369)</f>
        <v>HVO</v>
      </c>
      <c r="B364" t="str">
        <f>IF(FuelPrices_!AL369="","",FuelPrices_!AL369)</f>
        <v>Average</v>
      </c>
      <c r="C364">
        <f>IF(FuelPrices_!AM369="","",FuelPrices_!AM369)</f>
        <v>2035</v>
      </c>
      <c r="D364">
        <f>IF(FuelPrices_!AN369="","",FuelPrices_!AN369)</f>
        <v>7.8E-2</v>
      </c>
      <c r="E364">
        <f>IFERROR(VLOOKUP(A364,FuelPrices_!$B$49:$G$53,6,FALSE),"")</f>
        <v>5.4000000000000001E-4</v>
      </c>
      <c r="F364">
        <f>IFERROR(VLOOKUP(A364,FuelPrices_!$B$61:$G$65,6,FALSE),"")</f>
        <v>1.4999999999999999E-2</v>
      </c>
      <c r="G364">
        <f t="shared" si="11"/>
        <v>9.3539999999999998E-2</v>
      </c>
    </row>
    <row r="365" spans="1:7" x14ac:dyDescent="0.25">
      <c r="A365" t="str">
        <f>IF(FuelPrices_!AK370="","",FuelPrices_!AK370)</f>
        <v>HVO</v>
      </c>
      <c r="B365" t="str">
        <f>IF(FuelPrices_!AL370="","",FuelPrices_!AL370)</f>
        <v>Average</v>
      </c>
      <c r="C365">
        <f>IF(FuelPrices_!AM370="","",FuelPrices_!AM370)</f>
        <v>2036</v>
      </c>
      <c r="D365">
        <f>IF(FuelPrices_!AN370="","",FuelPrices_!AN370)</f>
        <v>7.8E-2</v>
      </c>
      <c r="E365">
        <f>IFERROR(VLOOKUP(A365,FuelPrices_!$B$49:$G$53,6,FALSE),"")</f>
        <v>5.4000000000000001E-4</v>
      </c>
      <c r="F365">
        <f>IFERROR(VLOOKUP(A365,FuelPrices_!$B$61:$G$65,6,FALSE),"")</f>
        <v>1.4999999999999999E-2</v>
      </c>
      <c r="G365">
        <f t="shared" si="11"/>
        <v>9.3539999999999998E-2</v>
      </c>
    </row>
    <row r="366" spans="1:7" x14ac:dyDescent="0.25">
      <c r="A366" t="str">
        <f>IF(FuelPrices_!AK371="","",FuelPrices_!AK371)</f>
        <v>HVO</v>
      </c>
      <c r="B366" t="str">
        <f>IF(FuelPrices_!AL371="","",FuelPrices_!AL371)</f>
        <v>Average</v>
      </c>
      <c r="C366">
        <f>IF(FuelPrices_!AM371="","",FuelPrices_!AM371)</f>
        <v>2037</v>
      </c>
      <c r="D366">
        <f>IF(FuelPrices_!AN371="","",FuelPrices_!AN371)</f>
        <v>7.8E-2</v>
      </c>
      <c r="E366">
        <f>IFERROR(VLOOKUP(A366,FuelPrices_!$B$49:$G$53,6,FALSE),"")</f>
        <v>5.4000000000000001E-4</v>
      </c>
      <c r="F366">
        <f>IFERROR(VLOOKUP(A366,FuelPrices_!$B$61:$G$65,6,FALSE),"")</f>
        <v>1.4999999999999999E-2</v>
      </c>
      <c r="G366">
        <f t="shared" si="11"/>
        <v>9.3539999999999998E-2</v>
      </c>
    </row>
    <row r="367" spans="1:7" x14ac:dyDescent="0.25">
      <c r="A367" t="str">
        <f>IF(FuelPrices_!AK372="","",FuelPrices_!AK372)</f>
        <v>HVO</v>
      </c>
      <c r="B367" t="str">
        <f>IF(FuelPrices_!AL372="","",FuelPrices_!AL372)</f>
        <v>Average</v>
      </c>
      <c r="C367">
        <f>IF(FuelPrices_!AM372="","",FuelPrices_!AM372)</f>
        <v>2038</v>
      </c>
      <c r="D367">
        <f>IF(FuelPrices_!AN372="","",FuelPrices_!AN372)</f>
        <v>7.8E-2</v>
      </c>
      <c r="E367">
        <f>IFERROR(VLOOKUP(A367,FuelPrices_!$B$49:$G$53,6,FALSE),"")</f>
        <v>5.4000000000000001E-4</v>
      </c>
      <c r="F367">
        <f>IFERROR(VLOOKUP(A367,FuelPrices_!$B$61:$G$65,6,FALSE),"")</f>
        <v>1.4999999999999999E-2</v>
      </c>
      <c r="G367">
        <f t="shared" si="11"/>
        <v>9.3539999999999998E-2</v>
      </c>
    </row>
    <row r="368" spans="1:7" x14ac:dyDescent="0.25">
      <c r="A368" t="str">
        <f>IF(FuelPrices_!AK373="","",FuelPrices_!AK373)</f>
        <v>HVO</v>
      </c>
      <c r="B368" t="str">
        <f>IF(FuelPrices_!AL373="","",FuelPrices_!AL373)</f>
        <v>Average</v>
      </c>
      <c r="C368">
        <f>IF(FuelPrices_!AM373="","",FuelPrices_!AM373)</f>
        <v>2039</v>
      </c>
      <c r="D368">
        <f>IF(FuelPrices_!AN373="","",FuelPrices_!AN373)</f>
        <v>7.8E-2</v>
      </c>
      <c r="E368">
        <f>IFERROR(VLOOKUP(A368,FuelPrices_!$B$49:$G$53,6,FALSE),"")</f>
        <v>5.4000000000000001E-4</v>
      </c>
      <c r="F368">
        <f>IFERROR(VLOOKUP(A368,FuelPrices_!$B$61:$G$65,6,FALSE),"")</f>
        <v>1.4999999999999999E-2</v>
      </c>
      <c r="G368">
        <f t="shared" si="11"/>
        <v>9.3539999999999998E-2</v>
      </c>
    </row>
    <row r="369" spans="1:7" x14ac:dyDescent="0.25">
      <c r="A369" t="str">
        <f>IF(FuelPrices_!AK374="","",FuelPrices_!AK374)</f>
        <v>HVO</v>
      </c>
      <c r="B369" t="str">
        <f>IF(FuelPrices_!AL374="","",FuelPrices_!AL374)</f>
        <v>Average</v>
      </c>
      <c r="C369">
        <f>IF(FuelPrices_!AM374="","",FuelPrices_!AM374)</f>
        <v>2040</v>
      </c>
      <c r="D369">
        <f>IF(FuelPrices_!AN374="","",FuelPrices_!AN374)</f>
        <v>7.8E-2</v>
      </c>
      <c r="E369">
        <f>IFERROR(VLOOKUP(A369,FuelPrices_!$B$49:$G$53,6,FALSE),"")</f>
        <v>5.4000000000000001E-4</v>
      </c>
      <c r="F369">
        <f>IFERROR(VLOOKUP(A369,FuelPrices_!$B$61:$G$65,6,FALSE),"")</f>
        <v>1.4999999999999999E-2</v>
      </c>
      <c r="G369">
        <f t="shared" si="11"/>
        <v>9.3539999999999998E-2</v>
      </c>
    </row>
    <row r="370" spans="1:7" x14ac:dyDescent="0.25">
      <c r="A370" t="str">
        <f>IF(FuelPrices_!AK375="","",FuelPrices_!AK375)</f>
        <v>HVO</v>
      </c>
      <c r="B370" t="str">
        <f>IF(FuelPrices_!AL375="","",FuelPrices_!AL375)</f>
        <v>Average</v>
      </c>
      <c r="C370">
        <f>IF(FuelPrices_!AM375="","",FuelPrices_!AM375)</f>
        <v>2041</v>
      </c>
      <c r="D370">
        <f>IF(FuelPrices_!AN375="","",FuelPrices_!AN375)</f>
        <v>7.8E-2</v>
      </c>
      <c r="E370">
        <f>IFERROR(VLOOKUP(A370,FuelPrices_!$B$49:$G$53,6,FALSE),"")</f>
        <v>5.4000000000000001E-4</v>
      </c>
      <c r="F370">
        <f>IFERROR(VLOOKUP(A370,FuelPrices_!$B$61:$G$65,6,FALSE),"")</f>
        <v>1.4999999999999999E-2</v>
      </c>
      <c r="G370">
        <f t="shared" si="11"/>
        <v>9.3539999999999998E-2</v>
      </c>
    </row>
    <row r="371" spans="1:7" x14ac:dyDescent="0.25">
      <c r="A371" t="str">
        <f>IF(FuelPrices_!AK376="","",FuelPrices_!AK376)</f>
        <v>HVO</v>
      </c>
      <c r="B371" t="str">
        <f>IF(FuelPrices_!AL376="","",FuelPrices_!AL376)</f>
        <v>Average</v>
      </c>
      <c r="C371">
        <f>IF(FuelPrices_!AM376="","",FuelPrices_!AM376)</f>
        <v>2042</v>
      </c>
      <c r="D371">
        <f>IF(FuelPrices_!AN376="","",FuelPrices_!AN376)</f>
        <v>7.8E-2</v>
      </c>
      <c r="E371">
        <f>IFERROR(VLOOKUP(A371,FuelPrices_!$B$49:$G$53,6,FALSE),"")</f>
        <v>5.4000000000000001E-4</v>
      </c>
      <c r="F371">
        <f>IFERROR(VLOOKUP(A371,FuelPrices_!$B$61:$G$65,6,FALSE),"")</f>
        <v>1.4999999999999999E-2</v>
      </c>
      <c r="G371">
        <f t="shared" si="11"/>
        <v>9.3539999999999998E-2</v>
      </c>
    </row>
    <row r="372" spans="1:7" x14ac:dyDescent="0.25">
      <c r="A372" t="str">
        <f>IF(FuelPrices_!AK377="","",FuelPrices_!AK377)</f>
        <v>HVO</v>
      </c>
      <c r="B372" t="str">
        <f>IF(FuelPrices_!AL377="","",FuelPrices_!AL377)</f>
        <v>Average</v>
      </c>
      <c r="C372">
        <f>IF(FuelPrices_!AM377="","",FuelPrices_!AM377)</f>
        <v>2043</v>
      </c>
      <c r="D372">
        <f>IF(FuelPrices_!AN377="","",FuelPrices_!AN377)</f>
        <v>7.8E-2</v>
      </c>
      <c r="E372">
        <f>IFERROR(VLOOKUP(A372,FuelPrices_!$B$49:$G$53,6,FALSE),"")</f>
        <v>5.4000000000000001E-4</v>
      </c>
      <c r="F372">
        <f>IFERROR(VLOOKUP(A372,FuelPrices_!$B$61:$G$65,6,FALSE),"")</f>
        <v>1.4999999999999999E-2</v>
      </c>
      <c r="G372">
        <f t="shared" si="11"/>
        <v>9.3539999999999998E-2</v>
      </c>
    </row>
    <row r="373" spans="1:7" x14ac:dyDescent="0.25">
      <c r="A373" t="str">
        <f>IF(FuelPrices_!AK378="","",FuelPrices_!AK378)</f>
        <v>HVO</v>
      </c>
      <c r="B373" t="str">
        <f>IF(FuelPrices_!AL378="","",FuelPrices_!AL378)</f>
        <v>Average</v>
      </c>
      <c r="C373">
        <f>IF(FuelPrices_!AM378="","",FuelPrices_!AM378)</f>
        <v>2044</v>
      </c>
      <c r="D373">
        <f>IF(FuelPrices_!AN378="","",FuelPrices_!AN378)</f>
        <v>7.8E-2</v>
      </c>
      <c r="E373">
        <f>IFERROR(VLOOKUP(A373,FuelPrices_!$B$49:$G$53,6,FALSE),"")</f>
        <v>5.4000000000000001E-4</v>
      </c>
      <c r="F373">
        <f>IFERROR(VLOOKUP(A373,FuelPrices_!$B$61:$G$65,6,FALSE),"")</f>
        <v>1.4999999999999999E-2</v>
      </c>
      <c r="G373">
        <f t="shared" si="11"/>
        <v>9.3539999999999998E-2</v>
      </c>
    </row>
    <row r="374" spans="1:7" x14ac:dyDescent="0.25">
      <c r="A374" t="str">
        <f>IF(FuelPrices_!AK379="","",FuelPrices_!AK379)</f>
        <v>HVO</v>
      </c>
      <c r="B374" t="str">
        <f>IF(FuelPrices_!AL379="","",FuelPrices_!AL379)</f>
        <v>Average</v>
      </c>
      <c r="C374">
        <f>IF(FuelPrices_!AM379="","",FuelPrices_!AM379)</f>
        <v>2045</v>
      </c>
      <c r="D374">
        <f>IF(FuelPrices_!AN379="","",FuelPrices_!AN379)</f>
        <v>7.8E-2</v>
      </c>
      <c r="E374">
        <f>IFERROR(VLOOKUP(A374,FuelPrices_!$B$49:$G$53,6,FALSE),"")</f>
        <v>5.4000000000000001E-4</v>
      </c>
      <c r="F374">
        <f>IFERROR(VLOOKUP(A374,FuelPrices_!$B$61:$G$65,6,FALSE),"")</f>
        <v>1.4999999999999999E-2</v>
      </c>
      <c r="G374">
        <f t="shared" si="11"/>
        <v>9.3539999999999998E-2</v>
      </c>
    </row>
    <row r="375" spans="1:7" x14ac:dyDescent="0.25">
      <c r="A375" t="str">
        <f>IF(FuelPrices_!AK380="","",FuelPrices_!AK380)</f>
        <v>HVO</v>
      </c>
      <c r="B375" t="str">
        <f>IF(FuelPrices_!AL380="","",FuelPrices_!AL380)</f>
        <v>Average</v>
      </c>
      <c r="C375">
        <f>IF(FuelPrices_!AM380="","",FuelPrices_!AM380)</f>
        <v>2046</v>
      </c>
      <c r="D375">
        <f>IF(FuelPrices_!AN380="","",FuelPrices_!AN380)</f>
        <v>7.8E-2</v>
      </c>
      <c r="E375">
        <f>IFERROR(VLOOKUP(A375,FuelPrices_!$B$49:$G$53,6,FALSE),"")</f>
        <v>5.4000000000000001E-4</v>
      </c>
      <c r="F375">
        <f>IFERROR(VLOOKUP(A375,FuelPrices_!$B$61:$G$65,6,FALSE),"")</f>
        <v>1.4999999999999999E-2</v>
      </c>
      <c r="G375">
        <f t="shared" si="11"/>
        <v>9.3539999999999998E-2</v>
      </c>
    </row>
    <row r="376" spans="1:7" x14ac:dyDescent="0.25">
      <c r="A376" t="str">
        <f>IF(FuelPrices_!AK381="","",FuelPrices_!AK381)</f>
        <v>HVO</v>
      </c>
      <c r="B376" t="str">
        <f>IF(FuelPrices_!AL381="","",FuelPrices_!AL381)</f>
        <v>Average</v>
      </c>
      <c r="C376">
        <f>IF(FuelPrices_!AM381="","",FuelPrices_!AM381)</f>
        <v>2047</v>
      </c>
      <c r="D376">
        <f>IF(FuelPrices_!AN381="","",FuelPrices_!AN381)</f>
        <v>7.8E-2</v>
      </c>
      <c r="E376">
        <f>IFERROR(VLOOKUP(A376,FuelPrices_!$B$49:$G$53,6,FALSE),"")</f>
        <v>5.4000000000000001E-4</v>
      </c>
      <c r="F376">
        <f>IFERROR(VLOOKUP(A376,FuelPrices_!$B$61:$G$65,6,FALSE),"")</f>
        <v>1.4999999999999999E-2</v>
      </c>
      <c r="G376">
        <f t="shared" si="11"/>
        <v>9.3539999999999998E-2</v>
      </c>
    </row>
    <row r="377" spans="1:7" x14ac:dyDescent="0.25">
      <c r="A377" t="str">
        <f>IF(FuelPrices_!AK382="","",FuelPrices_!AK382)</f>
        <v>HVO</v>
      </c>
      <c r="B377" t="str">
        <f>IF(FuelPrices_!AL382="","",FuelPrices_!AL382)</f>
        <v>Average</v>
      </c>
      <c r="C377">
        <f>IF(FuelPrices_!AM382="","",FuelPrices_!AM382)</f>
        <v>2048</v>
      </c>
      <c r="D377">
        <f>IF(FuelPrices_!AN382="","",FuelPrices_!AN382)</f>
        <v>7.8E-2</v>
      </c>
      <c r="E377">
        <f>IFERROR(VLOOKUP(A377,FuelPrices_!$B$49:$G$53,6,FALSE),"")</f>
        <v>5.4000000000000001E-4</v>
      </c>
      <c r="F377">
        <f>IFERROR(VLOOKUP(A377,FuelPrices_!$B$61:$G$65,6,FALSE),"")</f>
        <v>1.4999999999999999E-2</v>
      </c>
      <c r="G377">
        <f t="shared" si="11"/>
        <v>9.3539999999999998E-2</v>
      </c>
    </row>
    <row r="378" spans="1:7" x14ac:dyDescent="0.25">
      <c r="A378" t="str">
        <f>IF(FuelPrices_!AK383="","",FuelPrices_!AK383)</f>
        <v>HVO</v>
      </c>
      <c r="B378" t="str">
        <f>IF(FuelPrices_!AL383="","",FuelPrices_!AL383)</f>
        <v>Average</v>
      </c>
      <c r="C378">
        <f>IF(FuelPrices_!AM383="","",FuelPrices_!AM383)</f>
        <v>2049</v>
      </c>
      <c r="D378">
        <f>IF(FuelPrices_!AN383="","",FuelPrices_!AN383)</f>
        <v>7.8E-2</v>
      </c>
      <c r="E378">
        <f>IFERROR(VLOOKUP(A378,FuelPrices_!$B$49:$G$53,6,FALSE),"")</f>
        <v>5.4000000000000001E-4</v>
      </c>
      <c r="F378">
        <f>IFERROR(VLOOKUP(A378,FuelPrices_!$B$61:$G$65,6,FALSE),"")</f>
        <v>1.4999999999999999E-2</v>
      </c>
      <c r="G378">
        <f t="shared" si="11"/>
        <v>9.3539999999999998E-2</v>
      </c>
    </row>
    <row r="379" spans="1:7" x14ac:dyDescent="0.25">
      <c r="A379" t="str">
        <f>IF(FuelPrices_!AK384="","",FuelPrices_!AK384)</f>
        <v>HVO</v>
      </c>
      <c r="B379" t="str">
        <f>IF(FuelPrices_!AL384="","",FuelPrices_!AL384)</f>
        <v>Average</v>
      </c>
      <c r="C379">
        <f>IF(FuelPrices_!AM384="","",FuelPrices_!AM384)</f>
        <v>2050</v>
      </c>
      <c r="D379">
        <f>IF(FuelPrices_!AN384="","",FuelPrices_!AN384)</f>
        <v>7.8E-2</v>
      </c>
      <c r="E379">
        <f>IFERROR(VLOOKUP(A379,FuelPrices_!$B$49:$G$53,6,FALSE),"")</f>
        <v>5.4000000000000001E-4</v>
      </c>
      <c r="F379">
        <f>IFERROR(VLOOKUP(A379,FuelPrices_!$B$61:$G$65,6,FALSE),"")</f>
        <v>1.4999999999999999E-2</v>
      </c>
      <c r="G379">
        <f t="shared" si="11"/>
        <v>9.3539999999999998E-2</v>
      </c>
    </row>
    <row r="380" spans="1:7" x14ac:dyDescent="0.25">
      <c r="A380" t="str">
        <f>IF(FuelPrices_!AK385="","",FuelPrices_!AK385)</f>
        <v>HVO</v>
      </c>
      <c r="B380" t="s">
        <v>74</v>
      </c>
      <c r="C380">
        <f>IF(FuelPrices_!AM385="","",FuelPrices_!AM385)</f>
        <v>2024</v>
      </c>
      <c r="D380">
        <f>IF(FuelPrices_!AN385="","",FuelPrices_!AN385)</f>
        <v>7.8E-2</v>
      </c>
      <c r="E380">
        <f>IFERROR(VLOOKUP(A380,FuelPrices_!$B$49:$G$53,6,FALSE),"")</f>
        <v>5.4000000000000001E-4</v>
      </c>
      <c r="F380">
        <f>IFERROR(VLOOKUP(A380,FuelPrices_!$B$61:$G$65,6,FALSE),"")</f>
        <v>1.4999999999999999E-2</v>
      </c>
      <c r="G380">
        <f t="shared" si="11"/>
        <v>9.3539999999999998E-2</v>
      </c>
    </row>
    <row r="381" spans="1:7" x14ac:dyDescent="0.25">
      <c r="A381" t="str">
        <f>IF(FuelPrices_!AK386="","",FuelPrices_!AK386)</f>
        <v>HVO</v>
      </c>
      <c r="B381" t="s">
        <v>74</v>
      </c>
      <c r="C381">
        <f>IF(FuelPrices_!AM386="","",FuelPrices_!AM386)</f>
        <v>2025</v>
      </c>
      <c r="D381">
        <f>IF(FuelPrices_!AN386="","",FuelPrices_!AN386)</f>
        <v>8.0166666666666678E-2</v>
      </c>
      <c r="E381">
        <f>IFERROR(VLOOKUP(A381,FuelPrices_!$B$49:$G$53,6,FALSE),"")</f>
        <v>5.4000000000000001E-4</v>
      </c>
      <c r="F381">
        <f>IFERROR(VLOOKUP(A381,FuelPrices_!$B$61:$G$65,6,FALSE),"")</f>
        <v>1.4999999999999999E-2</v>
      </c>
      <c r="G381">
        <f t="shared" si="11"/>
        <v>9.5706666666666676E-2</v>
      </c>
    </row>
    <row r="382" spans="1:7" x14ac:dyDescent="0.25">
      <c r="A382" t="str">
        <f>IF(FuelPrices_!AK387="","",FuelPrices_!AK387)</f>
        <v>HVO</v>
      </c>
      <c r="B382" t="s">
        <v>74</v>
      </c>
      <c r="C382">
        <f>IF(FuelPrices_!AM387="","",FuelPrices_!AM387)</f>
        <v>2026</v>
      </c>
      <c r="D382">
        <f>IF(FuelPrices_!AN387="","",FuelPrices_!AN387)</f>
        <v>8.2333333333333328E-2</v>
      </c>
      <c r="E382">
        <f>IFERROR(VLOOKUP(A382,FuelPrices_!$B$49:$G$53,6,FALSE),"")</f>
        <v>5.4000000000000001E-4</v>
      </c>
      <c r="F382">
        <f>IFERROR(VLOOKUP(A382,FuelPrices_!$B$61:$G$65,6,FALSE),"")</f>
        <v>1.4999999999999999E-2</v>
      </c>
      <c r="G382">
        <f t="shared" si="11"/>
        <v>9.7873333333333326E-2</v>
      </c>
    </row>
    <row r="383" spans="1:7" x14ac:dyDescent="0.25">
      <c r="A383" t="str">
        <f>IF(FuelPrices_!AK388="","",FuelPrices_!AK388)</f>
        <v>HVO</v>
      </c>
      <c r="B383" t="s">
        <v>74</v>
      </c>
      <c r="C383">
        <f>IF(FuelPrices_!AM388="","",FuelPrices_!AM388)</f>
        <v>2027</v>
      </c>
      <c r="D383">
        <f>IF(FuelPrices_!AN388="","",FuelPrices_!AN388)</f>
        <v>8.4500000000000006E-2</v>
      </c>
      <c r="E383">
        <f>IFERROR(VLOOKUP(A383,FuelPrices_!$B$49:$G$53,6,FALSE),"")</f>
        <v>5.4000000000000001E-4</v>
      </c>
      <c r="F383">
        <f>IFERROR(VLOOKUP(A383,FuelPrices_!$B$61:$G$65,6,FALSE),"")</f>
        <v>1.4999999999999999E-2</v>
      </c>
      <c r="G383">
        <f t="shared" si="11"/>
        <v>0.10004</v>
      </c>
    </row>
    <row r="384" spans="1:7" x14ac:dyDescent="0.25">
      <c r="A384" t="str">
        <f>IF(FuelPrices_!AK389="","",FuelPrices_!AK389)</f>
        <v>HVO</v>
      </c>
      <c r="B384" t="s">
        <v>74</v>
      </c>
      <c r="C384">
        <f>IF(FuelPrices_!AM389="","",FuelPrices_!AM389)</f>
        <v>2028</v>
      </c>
      <c r="D384">
        <f>IF(FuelPrices_!AN389="","",FuelPrices_!AN389)</f>
        <v>8.666666666666667E-2</v>
      </c>
      <c r="E384">
        <f>IFERROR(VLOOKUP(A384,FuelPrices_!$B$49:$G$53,6,FALSE),"")</f>
        <v>5.4000000000000001E-4</v>
      </c>
      <c r="F384">
        <f>IFERROR(VLOOKUP(A384,FuelPrices_!$B$61:$G$65,6,FALSE),"")</f>
        <v>1.4999999999999999E-2</v>
      </c>
      <c r="G384">
        <f t="shared" si="11"/>
        <v>0.10220666666666667</v>
      </c>
    </row>
    <row r="385" spans="1:7" x14ac:dyDescent="0.25">
      <c r="A385" t="str">
        <f>IF(FuelPrices_!AK390="","",FuelPrices_!AK390)</f>
        <v>HVO</v>
      </c>
      <c r="B385" t="s">
        <v>74</v>
      </c>
      <c r="C385">
        <f>IF(FuelPrices_!AM390="","",FuelPrices_!AM390)</f>
        <v>2029</v>
      </c>
      <c r="D385">
        <f>IF(FuelPrices_!AN390="","",FuelPrices_!AN390)</f>
        <v>8.8833333333333334E-2</v>
      </c>
      <c r="E385">
        <f>IFERROR(VLOOKUP(A385,FuelPrices_!$B$49:$G$53,6,FALSE),"")</f>
        <v>5.4000000000000001E-4</v>
      </c>
      <c r="F385">
        <f>IFERROR(VLOOKUP(A385,FuelPrices_!$B$61:$G$65,6,FALSE),"")</f>
        <v>1.4999999999999999E-2</v>
      </c>
      <c r="G385">
        <f t="shared" si="11"/>
        <v>0.10437333333333333</v>
      </c>
    </row>
    <row r="386" spans="1:7" x14ac:dyDescent="0.25">
      <c r="A386" t="str">
        <f>IF(FuelPrices_!AK391="","",FuelPrices_!AK391)</f>
        <v>HVO</v>
      </c>
      <c r="B386" t="s">
        <v>74</v>
      </c>
      <c r="C386">
        <f>IF(FuelPrices_!AM391="","",FuelPrices_!AM391)</f>
        <v>2030</v>
      </c>
      <c r="D386">
        <f>IF(FuelPrices_!AN391="","",FuelPrices_!AN391)</f>
        <v>9.0999999999999998E-2</v>
      </c>
      <c r="E386">
        <f>IFERROR(VLOOKUP(A386,FuelPrices_!$B$49:$G$53,6,FALSE),"")</f>
        <v>5.4000000000000001E-4</v>
      </c>
      <c r="F386">
        <f>IFERROR(VLOOKUP(A386,FuelPrices_!$B$61:$G$65,6,FALSE),"")</f>
        <v>1.4999999999999999E-2</v>
      </c>
      <c r="G386">
        <f t="shared" si="11"/>
        <v>0.10654</v>
      </c>
    </row>
    <row r="387" spans="1:7" x14ac:dyDescent="0.25">
      <c r="A387" t="str">
        <f>IF(FuelPrices_!AK392="","",FuelPrices_!AK392)</f>
        <v>HVO</v>
      </c>
      <c r="B387" t="s">
        <v>74</v>
      </c>
      <c r="C387">
        <f>IF(FuelPrices_!AM392="","",FuelPrices_!AM392)</f>
        <v>2031</v>
      </c>
      <c r="D387">
        <f>IF(FuelPrices_!AN392="","",FuelPrices_!AN392)</f>
        <v>9.0999999999999998E-2</v>
      </c>
      <c r="E387">
        <f>IFERROR(VLOOKUP(A387,FuelPrices_!$B$49:$G$53,6,FALSE),"")</f>
        <v>5.4000000000000001E-4</v>
      </c>
      <c r="F387">
        <f>IFERROR(VLOOKUP(A387,FuelPrices_!$B$61:$G$65,6,FALSE),"")</f>
        <v>1.4999999999999999E-2</v>
      </c>
      <c r="G387">
        <f t="shared" ref="G387:G406" si="12">IFERROR(D387+E387+F387,"")</f>
        <v>0.10654</v>
      </c>
    </row>
    <row r="388" spans="1:7" x14ac:dyDescent="0.25">
      <c r="A388" t="str">
        <f>IF(FuelPrices_!AK393="","",FuelPrices_!AK393)</f>
        <v>HVO</v>
      </c>
      <c r="B388" t="s">
        <v>74</v>
      </c>
      <c r="C388">
        <f>IF(FuelPrices_!AM393="","",FuelPrices_!AM393)</f>
        <v>2032</v>
      </c>
      <c r="D388">
        <f>IF(FuelPrices_!AN393="","",FuelPrices_!AN393)</f>
        <v>9.0999999999999998E-2</v>
      </c>
      <c r="E388">
        <f>IFERROR(VLOOKUP(A388,FuelPrices_!$B$49:$G$53,6,FALSE),"")</f>
        <v>5.4000000000000001E-4</v>
      </c>
      <c r="F388">
        <f>IFERROR(VLOOKUP(A388,FuelPrices_!$B$61:$G$65,6,FALSE),"")</f>
        <v>1.4999999999999999E-2</v>
      </c>
      <c r="G388">
        <f t="shared" si="12"/>
        <v>0.10654</v>
      </c>
    </row>
    <row r="389" spans="1:7" x14ac:dyDescent="0.25">
      <c r="A389" t="str">
        <f>IF(FuelPrices_!AK394="","",FuelPrices_!AK394)</f>
        <v>HVO</v>
      </c>
      <c r="B389" t="s">
        <v>74</v>
      </c>
      <c r="C389">
        <f>IF(FuelPrices_!AM394="","",FuelPrices_!AM394)</f>
        <v>2033</v>
      </c>
      <c r="D389">
        <f>IF(FuelPrices_!AN394="","",FuelPrices_!AN394)</f>
        <v>9.0999999999999998E-2</v>
      </c>
      <c r="E389">
        <f>IFERROR(VLOOKUP(A389,FuelPrices_!$B$49:$G$53,6,FALSE),"")</f>
        <v>5.4000000000000001E-4</v>
      </c>
      <c r="F389">
        <f>IFERROR(VLOOKUP(A389,FuelPrices_!$B$61:$G$65,6,FALSE),"")</f>
        <v>1.4999999999999999E-2</v>
      </c>
      <c r="G389">
        <f t="shared" si="12"/>
        <v>0.10654</v>
      </c>
    </row>
    <row r="390" spans="1:7" x14ac:dyDescent="0.25">
      <c r="A390" t="str">
        <f>IF(FuelPrices_!AK395="","",FuelPrices_!AK395)</f>
        <v>HVO</v>
      </c>
      <c r="B390" t="s">
        <v>74</v>
      </c>
      <c r="C390">
        <f>IF(FuelPrices_!AM395="","",FuelPrices_!AM395)</f>
        <v>2034</v>
      </c>
      <c r="D390">
        <f>IF(FuelPrices_!AN395="","",FuelPrices_!AN395)</f>
        <v>9.0999999999999998E-2</v>
      </c>
      <c r="E390">
        <f>IFERROR(VLOOKUP(A390,FuelPrices_!$B$49:$G$53,6,FALSE),"")</f>
        <v>5.4000000000000001E-4</v>
      </c>
      <c r="F390">
        <f>IFERROR(VLOOKUP(A390,FuelPrices_!$B$61:$G$65,6,FALSE),"")</f>
        <v>1.4999999999999999E-2</v>
      </c>
      <c r="G390">
        <f t="shared" si="12"/>
        <v>0.10654</v>
      </c>
    </row>
    <row r="391" spans="1:7" x14ac:dyDescent="0.25">
      <c r="A391" t="str">
        <f>IF(FuelPrices_!AK396="","",FuelPrices_!AK396)</f>
        <v>HVO</v>
      </c>
      <c r="B391" t="s">
        <v>74</v>
      </c>
      <c r="C391">
        <f>IF(FuelPrices_!AM396="","",FuelPrices_!AM396)</f>
        <v>2035</v>
      </c>
      <c r="D391">
        <f>IF(FuelPrices_!AN396="","",FuelPrices_!AN396)</f>
        <v>9.0999999999999998E-2</v>
      </c>
      <c r="E391">
        <f>IFERROR(VLOOKUP(A391,FuelPrices_!$B$49:$G$53,6,FALSE),"")</f>
        <v>5.4000000000000001E-4</v>
      </c>
      <c r="F391">
        <f>IFERROR(VLOOKUP(A391,FuelPrices_!$B$61:$G$65,6,FALSE),"")</f>
        <v>1.4999999999999999E-2</v>
      </c>
      <c r="G391">
        <f t="shared" si="12"/>
        <v>0.10654</v>
      </c>
    </row>
    <row r="392" spans="1:7" x14ac:dyDescent="0.25">
      <c r="A392" t="str">
        <f>IF(FuelPrices_!AK397="","",FuelPrices_!AK397)</f>
        <v>HVO</v>
      </c>
      <c r="B392" t="s">
        <v>74</v>
      </c>
      <c r="C392">
        <f>IF(FuelPrices_!AM397="","",FuelPrices_!AM397)</f>
        <v>2036</v>
      </c>
      <c r="D392">
        <f>IF(FuelPrices_!AN397="","",FuelPrices_!AN397)</f>
        <v>9.0999999999999998E-2</v>
      </c>
      <c r="E392">
        <f>IFERROR(VLOOKUP(A392,FuelPrices_!$B$49:$G$53,6,FALSE),"")</f>
        <v>5.4000000000000001E-4</v>
      </c>
      <c r="F392">
        <f>IFERROR(VLOOKUP(A392,FuelPrices_!$B$61:$G$65,6,FALSE),"")</f>
        <v>1.4999999999999999E-2</v>
      </c>
      <c r="G392">
        <f t="shared" si="12"/>
        <v>0.10654</v>
      </c>
    </row>
    <row r="393" spans="1:7" x14ac:dyDescent="0.25">
      <c r="A393" t="str">
        <f>IF(FuelPrices_!AK398="","",FuelPrices_!AK398)</f>
        <v>HVO</v>
      </c>
      <c r="B393" t="s">
        <v>74</v>
      </c>
      <c r="C393">
        <f>IF(FuelPrices_!AM398="","",FuelPrices_!AM398)</f>
        <v>2037</v>
      </c>
      <c r="D393">
        <f>IF(FuelPrices_!AN398="","",FuelPrices_!AN398)</f>
        <v>9.0999999999999998E-2</v>
      </c>
      <c r="E393">
        <f>IFERROR(VLOOKUP(A393,FuelPrices_!$B$49:$G$53,6,FALSE),"")</f>
        <v>5.4000000000000001E-4</v>
      </c>
      <c r="F393">
        <f>IFERROR(VLOOKUP(A393,FuelPrices_!$B$61:$G$65,6,FALSE),"")</f>
        <v>1.4999999999999999E-2</v>
      </c>
      <c r="G393">
        <f t="shared" si="12"/>
        <v>0.10654</v>
      </c>
    </row>
    <row r="394" spans="1:7" x14ac:dyDescent="0.25">
      <c r="A394" t="str">
        <f>IF(FuelPrices_!AK399="","",FuelPrices_!AK399)</f>
        <v>HVO</v>
      </c>
      <c r="B394" t="s">
        <v>74</v>
      </c>
      <c r="C394">
        <f>IF(FuelPrices_!AM399="","",FuelPrices_!AM399)</f>
        <v>2038</v>
      </c>
      <c r="D394">
        <f>IF(FuelPrices_!AN399="","",FuelPrices_!AN399)</f>
        <v>9.0999999999999998E-2</v>
      </c>
      <c r="E394">
        <f>IFERROR(VLOOKUP(A394,FuelPrices_!$B$49:$G$53,6,FALSE),"")</f>
        <v>5.4000000000000001E-4</v>
      </c>
      <c r="F394">
        <f>IFERROR(VLOOKUP(A394,FuelPrices_!$B$61:$G$65,6,FALSE),"")</f>
        <v>1.4999999999999999E-2</v>
      </c>
      <c r="G394">
        <f t="shared" si="12"/>
        <v>0.10654</v>
      </c>
    </row>
    <row r="395" spans="1:7" x14ac:dyDescent="0.25">
      <c r="A395" t="str">
        <f>IF(FuelPrices_!AK400="","",FuelPrices_!AK400)</f>
        <v>HVO</v>
      </c>
      <c r="B395" t="s">
        <v>74</v>
      </c>
      <c r="C395">
        <f>IF(FuelPrices_!AM400="","",FuelPrices_!AM400)</f>
        <v>2039</v>
      </c>
      <c r="D395">
        <f>IF(FuelPrices_!AN400="","",FuelPrices_!AN400)</f>
        <v>9.0999999999999998E-2</v>
      </c>
      <c r="E395">
        <f>IFERROR(VLOOKUP(A395,FuelPrices_!$B$49:$G$53,6,FALSE),"")</f>
        <v>5.4000000000000001E-4</v>
      </c>
      <c r="F395">
        <f>IFERROR(VLOOKUP(A395,FuelPrices_!$B$61:$G$65,6,FALSE),"")</f>
        <v>1.4999999999999999E-2</v>
      </c>
      <c r="G395">
        <f t="shared" si="12"/>
        <v>0.10654</v>
      </c>
    </row>
    <row r="396" spans="1:7" x14ac:dyDescent="0.25">
      <c r="A396" t="str">
        <f>IF(FuelPrices_!AK401="","",FuelPrices_!AK401)</f>
        <v>HVO</v>
      </c>
      <c r="B396" t="s">
        <v>74</v>
      </c>
      <c r="C396">
        <f>IF(FuelPrices_!AM401="","",FuelPrices_!AM401)</f>
        <v>2040</v>
      </c>
      <c r="D396">
        <f>IF(FuelPrices_!AN401="","",FuelPrices_!AN401)</f>
        <v>9.0999999999999998E-2</v>
      </c>
      <c r="E396">
        <f>IFERROR(VLOOKUP(A396,FuelPrices_!$B$49:$G$53,6,FALSE),"")</f>
        <v>5.4000000000000001E-4</v>
      </c>
      <c r="F396">
        <f>IFERROR(VLOOKUP(A396,FuelPrices_!$B$61:$G$65,6,FALSE),"")</f>
        <v>1.4999999999999999E-2</v>
      </c>
      <c r="G396">
        <f t="shared" si="12"/>
        <v>0.10654</v>
      </c>
    </row>
    <row r="397" spans="1:7" x14ac:dyDescent="0.25">
      <c r="A397" t="str">
        <f>IF(FuelPrices_!AK402="","",FuelPrices_!AK402)</f>
        <v>HVO</v>
      </c>
      <c r="B397" t="s">
        <v>74</v>
      </c>
      <c r="C397">
        <f>IF(FuelPrices_!AM402="","",FuelPrices_!AM402)</f>
        <v>2041</v>
      </c>
      <c r="D397">
        <f>IF(FuelPrices_!AN402="","",FuelPrices_!AN402)</f>
        <v>9.0999999999999998E-2</v>
      </c>
      <c r="E397">
        <f>IFERROR(VLOOKUP(A397,FuelPrices_!$B$49:$G$53,6,FALSE),"")</f>
        <v>5.4000000000000001E-4</v>
      </c>
      <c r="F397">
        <f>IFERROR(VLOOKUP(A397,FuelPrices_!$B$61:$G$65,6,FALSE),"")</f>
        <v>1.4999999999999999E-2</v>
      </c>
      <c r="G397">
        <f t="shared" si="12"/>
        <v>0.10654</v>
      </c>
    </row>
    <row r="398" spans="1:7" x14ac:dyDescent="0.25">
      <c r="A398" t="str">
        <f>IF(FuelPrices_!AK403="","",FuelPrices_!AK403)</f>
        <v>HVO</v>
      </c>
      <c r="B398" t="s">
        <v>74</v>
      </c>
      <c r="C398">
        <f>IF(FuelPrices_!AM403="","",FuelPrices_!AM403)</f>
        <v>2042</v>
      </c>
      <c r="D398">
        <f>IF(FuelPrices_!AN403="","",FuelPrices_!AN403)</f>
        <v>9.0999999999999998E-2</v>
      </c>
      <c r="E398">
        <f>IFERROR(VLOOKUP(A398,FuelPrices_!$B$49:$G$53,6,FALSE),"")</f>
        <v>5.4000000000000001E-4</v>
      </c>
      <c r="F398">
        <f>IFERROR(VLOOKUP(A398,FuelPrices_!$B$61:$G$65,6,FALSE),"")</f>
        <v>1.4999999999999999E-2</v>
      </c>
      <c r="G398">
        <f t="shared" si="12"/>
        <v>0.10654</v>
      </c>
    </row>
    <row r="399" spans="1:7" x14ac:dyDescent="0.25">
      <c r="A399" t="str">
        <f>IF(FuelPrices_!AK404="","",FuelPrices_!AK404)</f>
        <v>HVO</v>
      </c>
      <c r="B399" t="s">
        <v>74</v>
      </c>
      <c r="C399">
        <f>IF(FuelPrices_!AM404="","",FuelPrices_!AM404)</f>
        <v>2043</v>
      </c>
      <c r="D399">
        <f>IF(FuelPrices_!AN404="","",FuelPrices_!AN404)</f>
        <v>9.0999999999999998E-2</v>
      </c>
      <c r="E399">
        <f>IFERROR(VLOOKUP(A399,FuelPrices_!$B$49:$G$53,6,FALSE),"")</f>
        <v>5.4000000000000001E-4</v>
      </c>
      <c r="F399">
        <f>IFERROR(VLOOKUP(A399,FuelPrices_!$B$61:$G$65,6,FALSE),"")</f>
        <v>1.4999999999999999E-2</v>
      </c>
      <c r="G399">
        <f t="shared" si="12"/>
        <v>0.10654</v>
      </c>
    </row>
    <row r="400" spans="1:7" x14ac:dyDescent="0.25">
      <c r="A400" t="str">
        <f>IF(FuelPrices_!AK405="","",FuelPrices_!AK405)</f>
        <v>HVO</v>
      </c>
      <c r="B400" t="s">
        <v>74</v>
      </c>
      <c r="C400">
        <f>IF(FuelPrices_!AM405="","",FuelPrices_!AM405)</f>
        <v>2044</v>
      </c>
      <c r="D400">
        <f>IF(FuelPrices_!AN405="","",FuelPrices_!AN405)</f>
        <v>9.0999999999999998E-2</v>
      </c>
      <c r="E400">
        <f>IFERROR(VLOOKUP(A400,FuelPrices_!$B$49:$G$53,6,FALSE),"")</f>
        <v>5.4000000000000001E-4</v>
      </c>
      <c r="F400">
        <f>IFERROR(VLOOKUP(A400,FuelPrices_!$B$61:$G$65,6,FALSE),"")</f>
        <v>1.4999999999999999E-2</v>
      </c>
      <c r="G400">
        <f t="shared" si="12"/>
        <v>0.10654</v>
      </c>
    </row>
    <row r="401" spans="1:7" x14ac:dyDescent="0.25">
      <c r="A401" t="str">
        <f>IF(FuelPrices_!AK406="","",FuelPrices_!AK406)</f>
        <v>HVO</v>
      </c>
      <c r="B401" t="s">
        <v>74</v>
      </c>
      <c r="C401">
        <f>IF(FuelPrices_!AM406="","",FuelPrices_!AM406)</f>
        <v>2045</v>
      </c>
      <c r="D401">
        <f>IF(FuelPrices_!AN406="","",FuelPrices_!AN406)</f>
        <v>9.0999999999999998E-2</v>
      </c>
      <c r="E401">
        <f>IFERROR(VLOOKUP(A401,FuelPrices_!$B$49:$G$53,6,FALSE),"")</f>
        <v>5.4000000000000001E-4</v>
      </c>
      <c r="F401">
        <f>IFERROR(VLOOKUP(A401,FuelPrices_!$B$61:$G$65,6,FALSE),"")</f>
        <v>1.4999999999999999E-2</v>
      </c>
      <c r="G401">
        <f t="shared" si="12"/>
        <v>0.10654</v>
      </c>
    </row>
    <row r="402" spans="1:7" x14ac:dyDescent="0.25">
      <c r="A402" t="str">
        <f>IF(FuelPrices_!AK407="","",FuelPrices_!AK407)</f>
        <v>HVO</v>
      </c>
      <c r="B402" t="s">
        <v>74</v>
      </c>
      <c r="C402">
        <f>IF(FuelPrices_!AM407="","",FuelPrices_!AM407)</f>
        <v>2046</v>
      </c>
      <c r="D402">
        <f>IF(FuelPrices_!AN407="","",FuelPrices_!AN407)</f>
        <v>9.0999999999999998E-2</v>
      </c>
      <c r="E402">
        <f>IFERROR(VLOOKUP(A402,FuelPrices_!$B$49:$G$53,6,FALSE),"")</f>
        <v>5.4000000000000001E-4</v>
      </c>
      <c r="F402">
        <f>IFERROR(VLOOKUP(A402,FuelPrices_!$B$61:$G$65,6,FALSE),"")</f>
        <v>1.4999999999999999E-2</v>
      </c>
      <c r="G402">
        <f t="shared" si="12"/>
        <v>0.10654</v>
      </c>
    </row>
    <row r="403" spans="1:7" x14ac:dyDescent="0.25">
      <c r="A403" t="str">
        <f>IF(FuelPrices_!AK408="","",FuelPrices_!AK408)</f>
        <v>HVO</v>
      </c>
      <c r="B403" t="s">
        <v>74</v>
      </c>
      <c r="C403">
        <f>IF(FuelPrices_!AM408="","",FuelPrices_!AM408)</f>
        <v>2047</v>
      </c>
      <c r="D403">
        <f>IF(FuelPrices_!AN408="","",FuelPrices_!AN408)</f>
        <v>9.0999999999999998E-2</v>
      </c>
      <c r="E403">
        <f>IFERROR(VLOOKUP(A403,FuelPrices_!$B$49:$G$53,6,FALSE),"")</f>
        <v>5.4000000000000001E-4</v>
      </c>
      <c r="F403">
        <f>IFERROR(VLOOKUP(A403,FuelPrices_!$B$61:$G$65,6,FALSE),"")</f>
        <v>1.4999999999999999E-2</v>
      </c>
      <c r="G403">
        <f t="shared" si="12"/>
        <v>0.10654</v>
      </c>
    </row>
    <row r="404" spans="1:7" x14ac:dyDescent="0.25">
      <c r="A404" t="str">
        <f>IF(FuelPrices_!AK409="","",FuelPrices_!AK409)</f>
        <v>HVO</v>
      </c>
      <c r="B404" t="s">
        <v>74</v>
      </c>
      <c r="C404">
        <f>IF(FuelPrices_!AM409="","",FuelPrices_!AM409)</f>
        <v>2048</v>
      </c>
      <c r="D404">
        <f>IF(FuelPrices_!AN409="","",FuelPrices_!AN409)</f>
        <v>9.0999999999999998E-2</v>
      </c>
      <c r="E404">
        <f>IFERROR(VLOOKUP(A404,FuelPrices_!$B$49:$G$53,6,FALSE),"")</f>
        <v>5.4000000000000001E-4</v>
      </c>
      <c r="F404">
        <f>IFERROR(VLOOKUP(A404,FuelPrices_!$B$61:$G$65,6,FALSE),"")</f>
        <v>1.4999999999999999E-2</v>
      </c>
      <c r="G404">
        <f t="shared" si="12"/>
        <v>0.10654</v>
      </c>
    </row>
    <row r="405" spans="1:7" x14ac:dyDescent="0.25">
      <c r="A405" t="str">
        <f>IF(FuelPrices_!AK410="","",FuelPrices_!AK410)</f>
        <v>HVO</v>
      </c>
      <c r="B405" t="s">
        <v>74</v>
      </c>
      <c r="C405">
        <f>IF(FuelPrices_!AM410="","",FuelPrices_!AM410)</f>
        <v>2049</v>
      </c>
      <c r="D405">
        <f>IF(FuelPrices_!AN410="","",FuelPrices_!AN410)</f>
        <v>9.0999999999999998E-2</v>
      </c>
      <c r="E405">
        <f>IFERROR(VLOOKUP(A405,FuelPrices_!$B$49:$G$53,6,FALSE),"")</f>
        <v>5.4000000000000001E-4</v>
      </c>
      <c r="F405">
        <f>IFERROR(VLOOKUP(A405,FuelPrices_!$B$61:$G$65,6,FALSE),"")</f>
        <v>1.4999999999999999E-2</v>
      </c>
      <c r="G405">
        <f t="shared" si="12"/>
        <v>0.10654</v>
      </c>
    </row>
    <row r="406" spans="1:7" x14ac:dyDescent="0.25">
      <c r="A406" t="str">
        <f>IF(FuelPrices_!AK411="","",FuelPrices_!AK411)</f>
        <v>HVO</v>
      </c>
      <c r="B406" t="s">
        <v>74</v>
      </c>
      <c r="C406">
        <f>IF(FuelPrices_!AM411="","",FuelPrices_!AM411)</f>
        <v>2050</v>
      </c>
      <c r="D406">
        <f>IF(FuelPrices_!AN411="","",FuelPrices_!AN411)</f>
        <v>9.0999999999999998E-2</v>
      </c>
      <c r="E406">
        <f>IFERROR(VLOOKUP(A406,FuelPrices_!$B$49:$G$57,6,FALSE),"")</f>
        <v>5.4000000000000001E-4</v>
      </c>
      <c r="F406">
        <f>IFERROR(VLOOKUP(A406,FuelPrices_!$B$61:$G$69,6,FALSE),"")</f>
        <v>1.4999999999999999E-2</v>
      </c>
      <c r="G406">
        <f t="shared" si="12"/>
        <v>0.10654</v>
      </c>
    </row>
    <row r="407" spans="1:7" x14ac:dyDescent="0.25">
      <c r="A407" t="str">
        <f>IF(FuelPrices_!AK412="","",FuelPrices_!AK412)</f>
        <v>H2</v>
      </c>
      <c r="B407" t="str">
        <f>IF(FuelPrices_!AL412="","",FuelPrices_!AL412)</f>
        <v>High</v>
      </c>
      <c r="C407">
        <f>IF(FuelPrices_!AM412="","",FuelPrices_!AM412)</f>
        <v>2024</v>
      </c>
      <c r="D407">
        <f>IF(FuelPrices_!AN412="","",FuelPrices_!AN412)</f>
        <v>0.40540540540540543</v>
      </c>
      <c r="E407">
        <f>IFERROR(VLOOKUP(A407,FuelPrices_!$B$49:$G$57,6,FALSE),"")</f>
        <v>5.4000000000000001E-4</v>
      </c>
      <c r="F407">
        <f>IFERROR(VLOOKUP(A407,FuelPrices_!$B$61:$G$69,6,FALSE),"")</f>
        <v>0</v>
      </c>
      <c r="G407">
        <f t="shared" ref="G407:G470" si="13">IFERROR(D407+E407+F407,"")</f>
        <v>0.40594540540540541</v>
      </c>
    </row>
    <row r="408" spans="1:7" x14ac:dyDescent="0.25">
      <c r="A408" t="str">
        <f>IF(FuelPrices_!AK413="","",FuelPrices_!AK413)</f>
        <v>H2</v>
      </c>
      <c r="B408" t="str">
        <f>IF(FuelPrices_!AL413="","",FuelPrices_!AL413)</f>
        <v>High</v>
      </c>
      <c r="C408">
        <f>IF(FuelPrices_!AM413="","",FuelPrices_!AM413)</f>
        <v>2025</v>
      </c>
      <c r="D408">
        <f>IF(FuelPrices_!AN413="","",FuelPrices_!AN413)</f>
        <v>0.33213213213213216</v>
      </c>
      <c r="E408">
        <f>IFERROR(VLOOKUP(A408,FuelPrices_!$B$49:$G$57,6,FALSE),"")</f>
        <v>5.4000000000000001E-4</v>
      </c>
      <c r="F408">
        <f>IFERROR(VLOOKUP(A408,FuelPrices_!$B$61:$G$69,6,FALSE),"")</f>
        <v>0</v>
      </c>
      <c r="G408">
        <f t="shared" si="13"/>
        <v>0.33267213213213215</v>
      </c>
    </row>
    <row r="409" spans="1:7" x14ac:dyDescent="0.25">
      <c r="A409" t="str">
        <f>IF(FuelPrices_!AK414="","",FuelPrices_!AK414)</f>
        <v>H2</v>
      </c>
      <c r="B409" t="str">
        <f>IF(FuelPrices_!AL414="","",FuelPrices_!AL414)</f>
        <v>High</v>
      </c>
      <c r="C409">
        <f>IF(FuelPrices_!AM414="","",FuelPrices_!AM414)</f>
        <v>2026</v>
      </c>
      <c r="D409">
        <f>IF(FuelPrices_!AN414="","",FuelPrices_!AN414)</f>
        <v>0.30630630630630629</v>
      </c>
      <c r="E409">
        <f>IFERROR(VLOOKUP(A409,FuelPrices_!$B$49:$G$57,6,FALSE),"")</f>
        <v>5.4000000000000001E-4</v>
      </c>
      <c r="F409">
        <f>IFERROR(VLOOKUP(A409,FuelPrices_!$B$61:$G$69,6,FALSE),"")</f>
        <v>0</v>
      </c>
      <c r="G409">
        <f t="shared" si="13"/>
        <v>0.30684630630630627</v>
      </c>
    </row>
    <row r="410" spans="1:7" x14ac:dyDescent="0.25">
      <c r="A410" t="str">
        <f>IF(FuelPrices_!AK415="","",FuelPrices_!AK415)</f>
        <v>H2</v>
      </c>
      <c r="B410" t="str">
        <f>IF(FuelPrices_!AL415="","",FuelPrices_!AL415)</f>
        <v>High</v>
      </c>
      <c r="C410">
        <f>IF(FuelPrices_!AM415="","",FuelPrices_!AM415)</f>
        <v>2027</v>
      </c>
      <c r="D410">
        <f>IF(FuelPrices_!AN415="","",FuelPrices_!AN415)</f>
        <v>0.2801801801801802</v>
      </c>
      <c r="E410">
        <f>IFERROR(VLOOKUP(A410,FuelPrices_!$B$49:$G$57,6,FALSE),"")</f>
        <v>5.4000000000000001E-4</v>
      </c>
      <c r="F410">
        <f>IFERROR(VLOOKUP(A410,FuelPrices_!$B$61:$G$69,6,FALSE),"")</f>
        <v>0</v>
      </c>
      <c r="G410">
        <f t="shared" si="13"/>
        <v>0.28072018018018019</v>
      </c>
    </row>
    <row r="411" spans="1:7" x14ac:dyDescent="0.25">
      <c r="A411" t="str">
        <f>IF(FuelPrices_!AK416="","",FuelPrices_!AK416)</f>
        <v>H2</v>
      </c>
      <c r="B411" t="str">
        <f>IF(FuelPrices_!AL416="","",FuelPrices_!AL416)</f>
        <v>High</v>
      </c>
      <c r="C411">
        <f>IF(FuelPrices_!AM416="","",FuelPrices_!AM416)</f>
        <v>2028</v>
      </c>
      <c r="D411">
        <f>IF(FuelPrices_!AN416="","",FuelPrices_!AN416)</f>
        <v>0.25435435435435438</v>
      </c>
      <c r="E411">
        <f>IFERROR(VLOOKUP(A411,FuelPrices_!$B$49:$G$57,6,FALSE),"")</f>
        <v>5.4000000000000001E-4</v>
      </c>
      <c r="F411">
        <f>IFERROR(VLOOKUP(A411,FuelPrices_!$B$61:$G$69,6,FALSE),"")</f>
        <v>0</v>
      </c>
      <c r="G411">
        <f t="shared" si="13"/>
        <v>0.25489435435435437</v>
      </c>
    </row>
    <row r="412" spans="1:7" x14ac:dyDescent="0.25">
      <c r="A412" t="str">
        <f>IF(FuelPrices_!AK417="","",FuelPrices_!AK417)</f>
        <v>H2</v>
      </c>
      <c r="B412" t="str">
        <f>IF(FuelPrices_!AL417="","",FuelPrices_!AL417)</f>
        <v>High</v>
      </c>
      <c r="C412">
        <f>IF(FuelPrices_!AM417="","",FuelPrices_!AM417)</f>
        <v>2029</v>
      </c>
      <c r="D412">
        <f>IF(FuelPrices_!AN417="","",FuelPrices_!AN417)</f>
        <v>0.22852852852852856</v>
      </c>
      <c r="E412">
        <f>IFERROR(VLOOKUP(A412,FuelPrices_!$B$49:$G$57,6,FALSE),"")</f>
        <v>5.4000000000000001E-4</v>
      </c>
      <c r="F412">
        <f>IFERROR(VLOOKUP(A412,FuelPrices_!$B$61:$G$69,6,FALSE),"")</f>
        <v>0</v>
      </c>
      <c r="G412">
        <f t="shared" si="13"/>
        <v>0.22906852852852858</v>
      </c>
    </row>
    <row r="413" spans="1:7" x14ac:dyDescent="0.25">
      <c r="A413" t="str">
        <f>IF(FuelPrices_!AK418="","",FuelPrices_!AK418)</f>
        <v>H2</v>
      </c>
      <c r="B413" t="str">
        <f>IF(FuelPrices_!AL418="","",FuelPrices_!AL418)</f>
        <v>High</v>
      </c>
      <c r="C413">
        <f>IF(FuelPrices_!AM418="","",FuelPrices_!AM418)</f>
        <v>2030</v>
      </c>
      <c r="D413">
        <f>IF(FuelPrices_!AN418="","",FuelPrices_!AN418)</f>
        <v>0.40540540540540543</v>
      </c>
      <c r="E413">
        <f>IFERROR(VLOOKUP(A413,FuelPrices_!$B$49:$G$57,6,FALSE),"")</f>
        <v>5.4000000000000001E-4</v>
      </c>
      <c r="F413">
        <f>IFERROR(VLOOKUP(A413,FuelPrices_!$B$61:$G$69,6,FALSE),"")</f>
        <v>0</v>
      </c>
      <c r="G413">
        <f t="shared" si="13"/>
        <v>0.40594540540540541</v>
      </c>
    </row>
    <row r="414" spans="1:7" x14ac:dyDescent="0.25">
      <c r="A414" t="str">
        <f>IF(FuelPrices_!AK419="","",FuelPrices_!AK419)</f>
        <v>H2</v>
      </c>
      <c r="B414" t="str">
        <f>IF(FuelPrices_!AL419="","",FuelPrices_!AL419)</f>
        <v>High</v>
      </c>
      <c r="C414">
        <f>IF(FuelPrices_!AM419="","",FuelPrices_!AM419)</f>
        <v>2031</v>
      </c>
      <c r="D414">
        <f>IF(FuelPrices_!AN419="","",FuelPrices_!AN419)</f>
        <v>0.20510510510510513</v>
      </c>
      <c r="E414">
        <f>IFERROR(VLOOKUP(A414,FuelPrices_!$B$49:$G$57,6,FALSE),"")</f>
        <v>5.4000000000000001E-4</v>
      </c>
      <c r="F414">
        <f>IFERROR(VLOOKUP(A414,FuelPrices_!$B$61:$G$69,6,FALSE),"")</f>
        <v>0</v>
      </c>
      <c r="G414">
        <f t="shared" si="13"/>
        <v>0.20564510510510514</v>
      </c>
    </row>
    <row r="415" spans="1:7" x14ac:dyDescent="0.25">
      <c r="A415" t="str">
        <f>IF(FuelPrices_!AK420="","",FuelPrices_!AK420)</f>
        <v>H2</v>
      </c>
      <c r="B415" t="str">
        <f>IF(FuelPrices_!AL420="","",FuelPrices_!AL420)</f>
        <v>High</v>
      </c>
      <c r="C415">
        <f>IF(FuelPrices_!AM420="","",FuelPrices_!AM420)</f>
        <v>2032</v>
      </c>
      <c r="D415">
        <f>IF(FuelPrices_!AN420="","",FuelPrices_!AN420)</f>
        <v>0.20780780780780783</v>
      </c>
      <c r="E415">
        <f>IFERROR(VLOOKUP(A415,FuelPrices_!$B$49:$G$57,6,FALSE),"")</f>
        <v>5.4000000000000001E-4</v>
      </c>
      <c r="F415">
        <f>IFERROR(VLOOKUP(A415,FuelPrices_!$B$61:$G$69,6,FALSE),"")</f>
        <v>0</v>
      </c>
      <c r="G415">
        <f t="shared" si="13"/>
        <v>0.20834780780780784</v>
      </c>
    </row>
    <row r="416" spans="1:7" x14ac:dyDescent="0.25">
      <c r="A416" t="str">
        <f>IF(FuelPrices_!AK421="","",FuelPrices_!AK421)</f>
        <v>H2</v>
      </c>
      <c r="B416" t="str">
        <f>IF(FuelPrices_!AL421="","",FuelPrices_!AL421)</f>
        <v>High</v>
      </c>
      <c r="C416">
        <f>IF(FuelPrices_!AM421="","",FuelPrices_!AM421)</f>
        <v>2033</v>
      </c>
      <c r="D416">
        <f>IF(FuelPrices_!AN421="","",FuelPrices_!AN421)</f>
        <v>0.21021021021021022</v>
      </c>
      <c r="E416">
        <f>IFERROR(VLOOKUP(A416,FuelPrices_!$B$49:$G$57,6,FALSE),"")</f>
        <v>5.4000000000000001E-4</v>
      </c>
      <c r="F416">
        <f>IFERROR(VLOOKUP(A416,FuelPrices_!$B$61:$G$69,6,FALSE),"")</f>
        <v>0</v>
      </c>
      <c r="G416">
        <f t="shared" si="13"/>
        <v>0.21075021021021023</v>
      </c>
    </row>
    <row r="417" spans="1:7" x14ac:dyDescent="0.25">
      <c r="A417" t="str">
        <f>IF(FuelPrices_!AK422="","",FuelPrices_!AK422)</f>
        <v>H2</v>
      </c>
      <c r="B417" t="str">
        <f>IF(FuelPrices_!AL422="","",FuelPrices_!AL422)</f>
        <v>High</v>
      </c>
      <c r="C417">
        <f>IF(FuelPrices_!AM422="","",FuelPrices_!AM422)</f>
        <v>2034</v>
      </c>
      <c r="D417">
        <f>IF(FuelPrices_!AN422="","",FuelPrices_!AN422)</f>
        <v>0.21291291291291292</v>
      </c>
      <c r="E417">
        <f>IFERROR(VLOOKUP(A417,FuelPrices_!$B$49:$G$57,6,FALSE),"")</f>
        <v>5.4000000000000001E-4</v>
      </c>
      <c r="F417">
        <f>IFERROR(VLOOKUP(A417,FuelPrices_!$B$61:$G$69,6,FALSE),"")</f>
        <v>0</v>
      </c>
      <c r="G417">
        <f t="shared" si="13"/>
        <v>0.21345291291291293</v>
      </c>
    </row>
    <row r="418" spans="1:7" x14ac:dyDescent="0.25">
      <c r="A418" t="str">
        <f>IF(FuelPrices_!AK423="","",FuelPrices_!AK423)</f>
        <v>H2</v>
      </c>
      <c r="B418" t="str">
        <f>IF(FuelPrices_!AL423="","",FuelPrices_!AL423)</f>
        <v>High</v>
      </c>
      <c r="C418">
        <f>IF(FuelPrices_!AM423="","",FuelPrices_!AM423)</f>
        <v>2035</v>
      </c>
      <c r="D418">
        <f>IF(FuelPrices_!AN423="","",FuelPrices_!AN423)</f>
        <v>0.28581081081081083</v>
      </c>
      <c r="E418">
        <f>IFERROR(VLOOKUP(A418,FuelPrices_!$B$49:$G$57,6,FALSE),"")</f>
        <v>5.4000000000000001E-4</v>
      </c>
      <c r="F418">
        <f>IFERROR(VLOOKUP(A418,FuelPrices_!$B$61:$G$69,6,FALSE),"")</f>
        <v>0</v>
      </c>
      <c r="G418">
        <f t="shared" si="13"/>
        <v>0.28635081081081082</v>
      </c>
    </row>
    <row r="419" spans="1:7" x14ac:dyDescent="0.25">
      <c r="A419" t="str">
        <f>IF(FuelPrices_!AK424="","",FuelPrices_!AK424)</f>
        <v>H2</v>
      </c>
      <c r="B419" t="str">
        <f>IF(FuelPrices_!AL424="","",FuelPrices_!AL424)</f>
        <v>High</v>
      </c>
      <c r="C419">
        <f>IF(FuelPrices_!AM424="","",FuelPrices_!AM424)</f>
        <v>2036</v>
      </c>
      <c r="D419">
        <f>IF(FuelPrices_!AN424="","",FuelPrices_!AN424)</f>
        <v>0.18708708708708713</v>
      </c>
      <c r="E419">
        <f>IFERROR(VLOOKUP(A419,FuelPrices_!$B$49:$G$57,6,FALSE),"")</f>
        <v>5.4000000000000001E-4</v>
      </c>
      <c r="F419">
        <f>IFERROR(VLOOKUP(A419,FuelPrices_!$B$61:$G$69,6,FALSE),"")</f>
        <v>0</v>
      </c>
      <c r="G419">
        <f t="shared" si="13"/>
        <v>0.18762708708708714</v>
      </c>
    </row>
    <row r="420" spans="1:7" x14ac:dyDescent="0.25">
      <c r="A420" t="str">
        <f>IF(FuelPrices_!AK425="","",FuelPrices_!AK425)</f>
        <v>H2</v>
      </c>
      <c r="B420" t="str">
        <f>IF(FuelPrices_!AL425="","",FuelPrices_!AL425)</f>
        <v>High</v>
      </c>
      <c r="C420">
        <f>IF(FuelPrices_!AM425="","",FuelPrices_!AM425)</f>
        <v>2037</v>
      </c>
      <c r="D420">
        <f>IF(FuelPrices_!AN425="","",FuelPrices_!AN425)</f>
        <v>0.18948948948948949</v>
      </c>
      <c r="E420">
        <f>IFERROR(VLOOKUP(A420,FuelPrices_!$B$49:$G$57,6,FALSE),"")</f>
        <v>5.4000000000000001E-4</v>
      </c>
      <c r="F420">
        <f>IFERROR(VLOOKUP(A420,FuelPrices_!$B$61:$G$69,6,FALSE),"")</f>
        <v>0</v>
      </c>
      <c r="G420">
        <f t="shared" si="13"/>
        <v>0.1900294894894895</v>
      </c>
    </row>
    <row r="421" spans="1:7" x14ac:dyDescent="0.25">
      <c r="A421" t="str">
        <f>IF(FuelPrices_!AK426="","",FuelPrices_!AK426)</f>
        <v>H2</v>
      </c>
      <c r="B421" t="str">
        <f>IF(FuelPrices_!AL426="","",FuelPrices_!AL426)</f>
        <v>High</v>
      </c>
      <c r="C421">
        <f>IF(FuelPrices_!AM426="","",FuelPrices_!AM426)</f>
        <v>2038</v>
      </c>
      <c r="D421">
        <f>IF(FuelPrices_!AN426="","",FuelPrices_!AN426)</f>
        <v>0.19219219219219222</v>
      </c>
      <c r="E421">
        <f>IFERROR(VLOOKUP(A421,FuelPrices_!$B$49:$G$57,6,FALSE),"")</f>
        <v>5.4000000000000001E-4</v>
      </c>
      <c r="F421">
        <f>IFERROR(VLOOKUP(A421,FuelPrices_!$B$61:$G$69,6,FALSE),"")</f>
        <v>0</v>
      </c>
      <c r="G421">
        <f t="shared" si="13"/>
        <v>0.19273219219219223</v>
      </c>
    </row>
    <row r="422" spans="1:7" x14ac:dyDescent="0.25">
      <c r="A422" t="str">
        <f>IF(FuelPrices_!AK427="","",FuelPrices_!AK427)</f>
        <v>H2</v>
      </c>
      <c r="B422" t="str">
        <f>IF(FuelPrices_!AL427="","",FuelPrices_!AL427)</f>
        <v>High</v>
      </c>
      <c r="C422">
        <f>IF(FuelPrices_!AM427="","",FuelPrices_!AM427)</f>
        <v>2039</v>
      </c>
      <c r="D422">
        <f>IF(FuelPrices_!AN427="","",FuelPrices_!AN427)</f>
        <v>0.19489489489489492</v>
      </c>
      <c r="E422">
        <f>IFERROR(VLOOKUP(A422,FuelPrices_!$B$49:$G$57,6,FALSE),"")</f>
        <v>5.4000000000000001E-4</v>
      </c>
      <c r="F422">
        <f>IFERROR(VLOOKUP(A422,FuelPrices_!$B$61:$G$69,6,FALSE),"")</f>
        <v>0</v>
      </c>
      <c r="G422">
        <f t="shared" si="13"/>
        <v>0.19543489489489493</v>
      </c>
    </row>
    <row r="423" spans="1:7" x14ac:dyDescent="0.25">
      <c r="A423" t="str">
        <f>IF(FuelPrices_!AK428="","",FuelPrices_!AK428)</f>
        <v>H2</v>
      </c>
      <c r="B423" t="str">
        <f>IF(FuelPrices_!AL428="","",FuelPrices_!AL428)</f>
        <v>High</v>
      </c>
      <c r="C423">
        <f>IF(FuelPrices_!AM428="","",FuelPrices_!AM428)</f>
        <v>2040</v>
      </c>
      <c r="D423">
        <f>IF(FuelPrices_!AN428="","",FuelPrices_!AN428)</f>
        <v>0.16621621621621621</v>
      </c>
      <c r="E423">
        <f>IFERROR(VLOOKUP(A423,FuelPrices_!$B$49:$G$57,6,FALSE),"")</f>
        <v>5.4000000000000001E-4</v>
      </c>
      <c r="F423">
        <f>IFERROR(VLOOKUP(A423,FuelPrices_!$B$61:$G$69,6,FALSE),"")</f>
        <v>0</v>
      </c>
      <c r="G423">
        <f t="shared" si="13"/>
        <v>0.16675621621621622</v>
      </c>
    </row>
    <row r="424" spans="1:7" x14ac:dyDescent="0.25">
      <c r="A424" t="str">
        <f>IF(FuelPrices_!AK429="","",FuelPrices_!AK429)</f>
        <v>H2</v>
      </c>
      <c r="B424" t="str">
        <f>IF(FuelPrices_!AL429="","",FuelPrices_!AL429)</f>
        <v>High</v>
      </c>
      <c r="C424">
        <f>IF(FuelPrices_!AM429="","",FuelPrices_!AM429)</f>
        <v>2041</v>
      </c>
      <c r="D424">
        <f>IF(FuelPrices_!AN429="","",FuelPrices_!AN429)</f>
        <v>0.16606606606606608</v>
      </c>
      <c r="E424">
        <f>IFERROR(VLOOKUP(A424,FuelPrices_!$B$49:$G$57,6,FALSE),"")</f>
        <v>5.4000000000000001E-4</v>
      </c>
      <c r="F424">
        <f>IFERROR(VLOOKUP(A424,FuelPrices_!$B$61:$G$69,6,FALSE),"")</f>
        <v>0</v>
      </c>
      <c r="G424">
        <f t="shared" si="13"/>
        <v>0.16660606606606609</v>
      </c>
    </row>
    <row r="425" spans="1:7" x14ac:dyDescent="0.25">
      <c r="A425" t="str">
        <f>IF(FuelPrices_!AK430="","",FuelPrices_!AK430)</f>
        <v>H2</v>
      </c>
      <c r="B425" t="str">
        <f>IF(FuelPrices_!AL430="","",FuelPrices_!AL430)</f>
        <v>High</v>
      </c>
      <c r="C425">
        <f>IF(FuelPrices_!AM430="","",FuelPrices_!AM430)</f>
        <v>2042</v>
      </c>
      <c r="D425">
        <f>IF(FuelPrices_!AN430="","",FuelPrices_!AN430)</f>
        <v>0.16576576576576577</v>
      </c>
      <c r="E425">
        <f>IFERROR(VLOOKUP(A425,FuelPrices_!$B$49:$G$57,6,FALSE),"")</f>
        <v>5.4000000000000001E-4</v>
      </c>
      <c r="F425">
        <f>IFERROR(VLOOKUP(A425,FuelPrices_!$B$61:$G$69,6,FALSE),"")</f>
        <v>0</v>
      </c>
      <c r="G425">
        <f t="shared" si="13"/>
        <v>0.16630576576576578</v>
      </c>
    </row>
    <row r="426" spans="1:7" x14ac:dyDescent="0.25">
      <c r="A426" t="str">
        <f>IF(FuelPrices_!AK431="","",FuelPrices_!AK431)</f>
        <v>H2</v>
      </c>
      <c r="B426" t="str">
        <f>IF(FuelPrices_!AL431="","",FuelPrices_!AL431)</f>
        <v>High</v>
      </c>
      <c r="C426">
        <f>IF(FuelPrices_!AM431="","",FuelPrices_!AM431)</f>
        <v>2043</v>
      </c>
      <c r="D426">
        <f>IF(FuelPrices_!AN431="","",FuelPrices_!AN431)</f>
        <v>0.16516516516516519</v>
      </c>
      <c r="E426">
        <f>IFERROR(VLOOKUP(A426,FuelPrices_!$B$49:$G$57,6,FALSE),"")</f>
        <v>5.4000000000000001E-4</v>
      </c>
      <c r="F426">
        <f>IFERROR(VLOOKUP(A426,FuelPrices_!$B$61:$G$69,6,FALSE),"")</f>
        <v>0</v>
      </c>
      <c r="G426">
        <f t="shared" si="13"/>
        <v>0.1657051651651652</v>
      </c>
    </row>
    <row r="427" spans="1:7" x14ac:dyDescent="0.25">
      <c r="A427" t="str">
        <f>IF(FuelPrices_!AK432="","",FuelPrices_!AK432)</f>
        <v>H2</v>
      </c>
      <c r="B427" t="str">
        <f>IF(FuelPrices_!AL432="","",FuelPrices_!AL432)</f>
        <v>High</v>
      </c>
      <c r="C427">
        <f>IF(FuelPrices_!AM432="","",FuelPrices_!AM432)</f>
        <v>2044</v>
      </c>
      <c r="D427">
        <f>IF(FuelPrices_!AN432="","",FuelPrices_!AN432)</f>
        <v>0.16486486486486487</v>
      </c>
      <c r="E427">
        <f>IFERROR(VLOOKUP(A427,FuelPrices_!$B$49:$G$57,6,FALSE),"")</f>
        <v>5.4000000000000001E-4</v>
      </c>
      <c r="F427">
        <f>IFERROR(VLOOKUP(A427,FuelPrices_!$B$61:$G$69,6,FALSE),"")</f>
        <v>0</v>
      </c>
      <c r="G427">
        <f t="shared" si="13"/>
        <v>0.16540486486486489</v>
      </c>
    </row>
    <row r="428" spans="1:7" x14ac:dyDescent="0.25">
      <c r="A428" t="str">
        <f>IF(FuelPrices_!AK433="","",FuelPrices_!AK433)</f>
        <v>H2</v>
      </c>
      <c r="B428" t="str">
        <f>IF(FuelPrices_!AL433="","",FuelPrices_!AL433)</f>
        <v>High</v>
      </c>
      <c r="C428">
        <f>IF(FuelPrices_!AM433="","",FuelPrices_!AM433)</f>
        <v>2045</v>
      </c>
      <c r="D428">
        <f>IF(FuelPrices_!AN433="","",FuelPrices_!AN433)</f>
        <v>0.16456456456456459</v>
      </c>
      <c r="E428">
        <f>IFERROR(VLOOKUP(A428,FuelPrices_!$B$49:$G$57,6,FALSE),"")</f>
        <v>5.4000000000000001E-4</v>
      </c>
      <c r="F428">
        <f>IFERROR(VLOOKUP(A428,FuelPrices_!$B$61:$G$69,6,FALSE),"")</f>
        <v>0</v>
      </c>
      <c r="G428">
        <f t="shared" si="13"/>
        <v>0.1651045645645646</v>
      </c>
    </row>
    <row r="429" spans="1:7" x14ac:dyDescent="0.25">
      <c r="A429" t="str">
        <f>IF(FuelPrices_!AK434="","",FuelPrices_!AK434)</f>
        <v>H2</v>
      </c>
      <c r="B429" t="str">
        <f>IF(FuelPrices_!AL434="","",FuelPrices_!AL434)</f>
        <v>High</v>
      </c>
      <c r="C429">
        <f>IF(FuelPrices_!AM434="","",FuelPrices_!AM434)</f>
        <v>2046</v>
      </c>
      <c r="D429">
        <f>IF(FuelPrices_!AN434="","",FuelPrices_!AN434)</f>
        <v>0.16396396396396398</v>
      </c>
      <c r="E429">
        <f>IFERROR(VLOOKUP(A429,FuelPrices_!$B$49:$G$57,6,FALSE),"")</f>
        <v>5.4000000000000001E-4</v>
      </c>
      <c r="F429">
        <f>IFERROR(VLOOKUP(A429,FuelPrices_!$B$61:$G$69,6,FALSE),"")</f>
        <v>0</v>
      </c>
      <c r="G429">
        <f t="shared" si="13"/>
        <v>0.164503963963964</v>
      </c>
    </row>
    <row r="430" spans="1:7" x14ac:dyDescent="0.25">
      <c r="A430" t="str">
        <f>IF(FuelPrices_!AK435="","",FuelPrices_!AK435)</f>
        <v>H2</v>
      </c>
      <c r="B430" t="str">
        <f>IF(FuelPrices_!AL435="","",FuelPrices_!AL435)</f>
        <v>High</v>
      </c>
      <c r="C430">
        <f>IF(FuelPrices_!AM435="","",FuelPrices_!AM435)</f>
        <v>2047</v>
      </c>
      <c r="D430">
        <f>IF(FuelPrices_!AN435="","",FuelPrices_!AN435)</f>
        <v>0.16366366366366369</v>
      </c>
      <c r="E430">
        <f>IFERROR(VLOOKUP(A430,FuelPrices_!$B$49:$G$57,6,FALSE),"")</f>
        <v>5.4000000000000001E-4</v>
      </c>
      <c r="F430">
        <f>IFERROR(VLOOKUP(A430,FuelPrices_!$B$61:$G$69,6,FALSE),"")</f>
        <v>0</v>
      </c>
      <c r="G430">
        <f t="shared" si="13"/>
        <v>0.16420366366366371</v>
      </c>
    </row>
    <row r="431" spans="1:7" x14ac:dyDescent="0.25">
      <c r="A431" t="str">
        <f>IF(FuelPrices_!AK436="","",FuelPrices_!AK436)</f>
        <v>H2</v>
      </c>
      <c r="B431" t="str">
        <f>IF(FuelPrices_!AL436="","",FuelPrices_!AL436)</f>
        <v>High</v>
      </c>
      <c r="C431">
        <f>IF(FuelPrices_!AM436="","",FuelPrices_!AM436)</f>
        <v>2048</v>
      </c>
      <c r="D431">
        <f>IF(FuelPrices_!AN436="","",FuelPrices_!AN436)</f>
        <v>0.16306306306306306</v>
      </c>
      <c r="E431">
        <f>IFERROR(VLOOKUP(A431,FuelPrices_!$B$49:$G$57,6,FALSE),"")</f>
        <v>5.4000000000000001E-4</v>
      </c>
      <c r="F431">
        <f>IFERROR(VLOOKUP(A431,FuelPrices_!$B$61:$G$69,6,FALSE),"")</f>
        <v>0</v>
      </c>
      <c r="G431">
        <f t="shared" si="13"/>
        <v>0.16360306306306308</v>
      </c>
    </row>
    <row r="432" spans="1:7" x14ac:dyDescent="0.25">
      <c r="A432" t="str">
        <f>IF(FuelPrices_!AK437="","",FuelPrices_!AK437)</f>
        <v>H2</v>
      </c>
      <c r="B432" t="str">
        <f>IF(FuelPrices_!AL437="","",FuelPrices_!AL437)</f>
        <v>High</v>
      </c>
      <c r="C432">
        <f>IF(FuelPrices_!AM437="","",FuelPrices_!AM437)</f>
        <v>2049</v>
      </c>
      <c r="D432">
        <f>IF(FuelPrices_!AN437="","",FuelPrices_!AN437)</f>
        <v>0.16276276276276277</v>
      </c>
      <c r="E432">
        <f>IFERROR(VLOOKUP(A432,FuelPrices_!$B$49:$G$57,6,FALSE),"")</f>
        <v>5.4000000000000001E-4</v>
      </c>
      <c r="F432">
        <f>IFERROR(VLOOKUP(A432,FuelPrices_!$B$61:$G$69,6,FALSE),"")</f>
        <v>0</v>
      </c>
      <c r="G432">
        <f t="shared" si="13"/>
        <v>0.16330276276276279</v>
      </c>
    </row>
    <row r="433" spans="1:7" x14ac:dyDescent="0.25">
      <c r="A433" t="str">
        <f>IF(FuelPrices_!AK438="","",FuelPrices_!AK438)</f>
        <v>H2</v>
      </c>
      <c r="B433" t="str">
        <f>IF(FuelPrices_!AL438="","",FuelPrices_!AL438)</f>
        <v>High</v>
      </c>
      <c r="C433">
        <f>IF(FuelPrices_!AM438="","",FuelPrices_!AM438)</f>
        <v>2050</v>
      </c>
      <c r="D433">
        <f>IF(FuelPrices_!AN438="","",FuelPrices_!AN438)</f>
        <v>6.8148648648648641E-2</v>
      </c>
      <c r="E433">
        <f>IFERROR(VLOOKUP(A433,FuelPrices_!$B$49:$G$57,6,FALSE),"")</f>
        <v>5.4000000000000001E-4</v>
      </c>
      <c r="F433">
        <f>IFERROR(VLOOKUP(A433,FuelPrices_!$B$61:$G$69,6,FALSE),"")</f>
        <v>0</v>
      </c>
      <c r="G433">
        <f t="shared" si="13"/>
        <v>6.868864864864864E-2</v>
      </c>
    </row>
    <row r="434" spans="1:7" x14ac:dyDescent="0.25">
      <c r="A434" t="str">
        <f>IF(FuelPrices_!AK439="","",FuelPrices_!AK439)</f>
        <v>H2</v>
      </c>
      <c r="B434" t="str">
        <f>IF(FuelPrices_!AL439="","",FuelPrices_!AL439)</f>
        <v>Average</v>
      </c>
      <c r="C434">
        <f>IF(FuelPrices_!AM439="","",FuelPrices_!AM439)</f>
        <v>2024</v>
      </c>
      <c r="D434">
        <f>IF(FuelPrices_!AN439="","",FuelPrices_!AN439)</f>
        <v>0.28978978978978981</v>
      </c>
      <c r="E434">
        <f>IFERROR(VLOOKUP(A434,FuelPrices_!$B$49:$G$57,6,FALSE),"")</f>
        <v>5.4000000000000001E-4</v>
      </c>
      <c r="F434">
        <f>IFERROR(VLOOKUP(A434,FuelPrices_!$B$61:$G$69,6,FALSE),"")</f>
        <v>0</v>
      </c>
      <c r="G434">
        <f t="shared" si="13"/>
        <v>0.29032978978978979</v>
      </c>
    </row>
    <row r="435" spans="1:7" x14ac:dyDescent="0.25">
      <c r="A435" t="str">
        <f>IF(FuelPrices_!AK440="","",FuelPrices_!AK440)</f>
        <v>H2</v>
      </c>
      <c r="B435" t="str">
        <f>IF(FuelPrices_!AL440="","",FuelPrices_!AL440)</f>
        <v>Average</v>
      </c>
      <c r="C435">
        <f>IF(FuelPrices_!AM440="","",FuelPrices_!AM440)</f>
        <v>2025</v>
      </c>
      <c r="D435">
        <f>IF(FuelPrices_!AN440="","",FuelPrices_!AN440)</f>
        <v>0.23933933933933935</v>
      </c>
      <c r="E435">
        <f>IFERROR(VLOOKUP(A435,FuelPrices_!$B$49:$G$57,6,FALSE),"")</f>
        <v>5.4000000000000001E-4</v>
      </c>
      <c r="F435">
        <f>IFERROR(VLOOKUP(A435,FuelPrices_!$B$61:$G$69,6,FALSE),"")</f>
        <v>0</v>
      </c>
      <c r="G435">
        <f t="shared" si="13"/>
        <v>0.23987933933933936</v>
      </c>
    </row>
    <row r="436" spans="1:7" x14ac:dyDescent="0.25">
      <c r="A436" t="str">
        <f>IF(FuelPrices_!AK441="","",FuelPrices_!AK441)</f>
        <v>H2</v>
      </c>
      <c r="B436" t="str">
        <f>IF(FuelPrices_!AL441="","",FuelPrices_!AL441)</f>
        <v>Average</v>
      </c>
      <c r="C436">
        <f>IF(FuelPrices_!AM441="","",FuelPrices_!AM441)</f>
        <v>2026</v>
      </c>
      <c r="D436">
        <f>IF(FuelPrices_!AN441="","",FuelPrices_!AN441)</f>
        <v>0.21771771771771772</v>
      </c>
      <c r="E436">
        <f>IFERROR(VLOOKUP(A436,FuelPrices_!$B$49:$G$57,6,FALSE),"")</f>
        <v>5.4000000000000001E-4</v>
      </c>
      <c r="F436">
        <f>IFERROR(VLOOKUP(A436,FuelPrices_!$B$61:$G$69,6,FALSE),"")</f>
        <v>0</v>
      </c>
      <c r="G436">
        <f t="shared" si="13"/>
        <v>0.21825771771771774</v>
      </c>
    </row>
    <row r="437" spans="1:7" x14ac:dyDescent="0.25">
      <c r="A437" t="str">
        <f>IF(FuelPrices_!AK442="","",FuelPrices_!AK442)</f>
        <v>H2</v>
      </c>
      <c r="B437" t="str">
        <f>IF(FuelPrices_!AL442="","",FuelPrices_!AL442)</f>
        <v>Average</v>
      </c>
      <c r="C437">
        <f>IF(FuelPrices_!AM442="","",FuelPrices_!AM442)</f>
        <v>2027</v>
      </c>
      <c r="D437">
        <f>IF(FuelPrices_!AN442="","",FuelPrices_!AN442)</f>
        <v>0.19639639639639642</v>
      </c>
      <c r="E437">
        <f>IFERROR(VLOOKUP(A437,FuelPrices_!$B$49:$G$57,6,FALSE),"")</f>
        <v>5.4000000000000001E-4</v>
      </c>
      <c r="F437">
        <f>IFERROR(VLOOKUP(A437,FuelPrices_!$B$61:$G$69,6,FALSE),"")</f>
        <v>0</v>
      </c>
      <c r="G437">
        <f t="shared" si="13"/>
        <v>0.19693639639639643</v>
      </c>
    </row>
    <row r="438" spans="1:7" x14ac:dyDescent="0.25">
      <c r="A438" t="str">
        <f>IF(FuelPrices_!AK443="","",FuelPrices_!AK443)</f>
        <v>H2</v>
      </c>
      <c r="B438" t="str">
        <f>IF(FuelPrices_!AL443="","",FuelPrices_!AL443)</f>
        <v>Average</v>
      </c>
      <c r="C438">
        <f>IF(FuelPrices_!AM443="","",FuelPrices_!AM443)</f>
        <v>2028</v>
      </c>
      <c r="D438">
        <f>IF(FuelPrices_!AN443="","",FuelPrices_!AN443)</f>
        <v>0.17507507507507508</v>
      </c>
      <c r="E438">
        <f>IFERROR(VLOOKUP(A438,FuelPrices_!$B$49:$G$57,6,FALSE),"")</f>
        <v>5.4000000000000001E-4</v>
      </c>
      <c r="F438">
        <f>IFERROR(VLOOKUP(A438,FuelPrices_!$B$61:$G$69,6,FALSE),"")</f>
        <v>0</v>
      </c>
      <c r="G438">
        <f t="shared" si="13"/>
        <v>0.17561507507507509</v>
      </c>
    </row>
    <row r="439" spans="1:7" x14ac:dyDescent="0.25">
      <c r="A439" t="str">
        <f>IF(FuelPrices_!AK444="","",FuelPrices_!AK444)</f>
        <v>H2</v>
      </c>
      <c r="B439" t="str">
        <f>IF(FuelPrices_!AL444="","",FuelPrices_!AL444)</f>
        <v>Average</v>
      </c>
      <c r="C439">
        <f>IF(FuelPrices_!AM444="","",FuelPrices_!AM444)</f>
        <v>2029</v>
      </c>
      <c r="D439">
        <f>IF(FuelPrices_!AN444="","",FuelPrices_!AN444)</f>
        <v>0.15405405405405406</v>
      </c>
      <c r="E439">
        <f>IFERROR(VLOOKUP(A439,FuelPrices_!$B$49:$G$57,6,FALSE),"")</f>
        <v>5.4000000000000001E-4</v>
      </c>
      <c r="F439">
        <f>IFERROR(VLOOKUP(A439,FuelPrices_!$B$61:$G$69,6,FALSE),"")</f>
        <v>0</v>
      </c>
      <c r="G439">
        <f t="shared" si="13"/>
        <v>0.15459405405405408</v>
      </c>
    </row>
    <row r="440" spans="1:7" x14ac:dyDescent="0.25">
      <c r="A440" t="str">
        <f>IF(FuelPrices_!AK445="","",FuelPrices_!AK445)</f>
        <v>H2</v>
      </c>
      <c r="B440" t="str">
        <f>IF(FuelPrices_!AL445="","",FuelPrices_!AL445)</f>
        <v>Average</v>
      </c>
      <c r="C440">
        <f>IF(FuelPrices_!AM445="","",FuelPrices_!AM445)</f>
        <v>2030</v>
      </c>
      <c r="D440">
        <f>IF(FuelPrices_!AN445="","",FuelPrices_!AN445)</f>
        <v>0.28978978978978981</v>
      </c>
      <c r="E440">
        <f>IFERROR(VLOOKUP(A440,FuelPrices_!$B$49:$G$57,6,FALSE),"")</f>
        <v>5.4000000000000001E-4</v>
      </c>
      <c r="F440">
        <f>IFERROR(VLOOKUP(A440,FuelPrices_!$B$61:$G$69,6,FALSE),"")</f>
        <v>0</v>
      </c>
      <c r="G440">
        <f t="shared" si="13"/>
        <v>0.29032978978978979</v>
      </c>
    </row>
    <row r="441" spans="1:7" x14ac:dyDescent="0.25">
      <c r="A441" t="str">
        <f>IF(FuelPrices_!AK446="","",FuelPrices_!AK446)</f>
        <v>H2</v>
      </c>
      <c r="B441" t="str">
        <f>IF(FuelPrices_!AL446="","",FuelPrices_!AL446)</f>
        <v>Average</v>
      </c>
      <c r="C441">
        <f>IF(FuelPrices_!AM446="","",FuelPrices_!AM446)</f>
        <v>2031</v>
      </c>
      <c r="D441">
        <f>IF(FuelPrices_!AN446="","",FuelPrices_!AN446)</f>
        <v>0.13243243243243244</v>
      </c>
      <c r="E441">
        <f>IFERROR(VLOOKUP(A441,FuelPrices_!$B$49:$G$57,6,FALSE),"")</f>
        <v>5.4000000000000001E-4</v>
      </c>
      <c r="F441">
        <f>IFERROR(VLOOKUP(A441,FuelPrices_!$B$61:$G$69,6,FALSE),"")</f>
        <v>0</v>
      </c>
      <c r="G441">
        <f t="shared" si="13"/>
        <v>0.13297243243243245</v>
      </c>
    </row>
    <row r="442" spans="1:7" x14ac:dyDescent="0.25">
      <c r="A442" t="str">
        <f>IF(FuelPrices_!AK447="","",FuelPrices_!AK447)</f>
        <v>H2</v>
      </c>
      <c r="B442" t="str">
        <f>IF(FuelPrices_!AL447="","",FuelPrices_!AL447)</f>
        <v>Average</v>
      </c>
      <c r="C442">
        <f>IF(FuelPrices_!AM447="","",FuelPrices_!AM447)</f>
        <v>2032</v>
      </c>
      <c r="D442">
        <f>IF(FuelPrices_!AN447="","",FuelPrices_!AN447)</f>
        <v>0.13183183183183184</v>
      </c>
      <c r="E442">
        <f>IFERROR(VLOOKUP(A442,FuelPrices_!$B$49:$G$57,6,FALSE),"")</f>
        <v>5.4000000000000001E-4</v>
      </c>
      <c r="F442">
        <f>IFERROR(VLOOKUP(A442,FuelPrices_!$B$61:$G$69,6,FALSE),"")</f>
        <v>0</v>
      </c>
      <c r="G442">
        <f t="shared" si="13"/>
        <v>0.13237183183183185</v>
      </c>
    </row>
    <row r="443" spans="1:7" x14ac:dyDescent="0.25">
      <c r="A443" t="str">
        <f>IF(FuelPrices_!AK448="","",FuelPrices_!AK448)</f>
        <v>H2</v>
      </c>
      <c r="B443" t="str">
        <f>IF(FuelPrices_!AL448="","",FuelPrices_!AL448)</f>
        <v>Average</v>
      </c>
      <c r="C443">
        <f>IF(FuelPrices_!AM448="","",FuelPrices_!AM448)</f>
        <v>2033</v>
      </c>
      <c r="D443">
        <f>IF(FuelPrices_!AN448="","",FuelPrices_!AN448)</f>
        <v>0.13123123123123123</v>
      </c>
      <c r="E443">
        <f>IFERROR(VLOOKUP(A443,FuelPrices_!$B$49:$G$57,6,FALSE),"")</f>
        <v>5.4000000000000001E-4</v>
      </c>
      <c r="F443">
        <f>IFERROR(VLOOKUP(A443,FuelPrices_!$B$61:$G$69,6,FALSE),"")</f>
        <v>0</v>
      </c>
      <c r="G443">
        <f t="shared" si="13"/>
        <v>0.13177123123123125</v>
      </c>
    </row>
    <row r="444" spans="1:7" x14ac:dyDescent="0.25">
      <c r="A444" t="str">
        <f>IF(FuelPrices_!AK449="","",FuelPrices_!AK449)</f>
        <v>H2</v>
      </c>
      <c r="B444" t="str">
        <f>IF(FuelPrices_!AL449="","",FuelPrices_!AL449)</f>
        <v>Average</v>
      </c>
      <c r="C444">
        <f>IF(FuelPrices_!AM449="","",FuelPrices_!AM449)</f>
        <v>2034</v>
      </c>
      <c r="D444">
        <f>IF(FuelPrices_!AN449="","",FuelPrices_!AN449)</f>
        <v>0.13063063063063063</v>
      </c>
      <c r="E444">
        <f>IFERROR(VLOOKUP(A444,FuelPrices_!$B$49:$G$57,6,FALSE),"")</f>
        <v>5.4000000000000001E-4</v>
      </c>
      <c r="F444">
        <f>IFERROR(VLOOKUP(A444,FuelPrices_!$B$61:$G$69,6,FALSE),"")</f>
        <v>0</v>
      </c>
      <c r="G444">
        <f t="shared" si="13"/>
        <v>0.13117063063063064</v>
      </c>
    </row>
    <row r="445" spans="1:7" x14ac:dyDescent="0.25">
      <c r="A445" t="str">
        <f>IF(FuelPrices_!AK450="","",FuelPrices_!AK450)</f>
        <v>H2</v>
      </c>
      <c r="B445" t="str">
        <f>IF(FuelPrices_!AL450="","",FuelPrices_!AL450)</f>
        <v>Average</v>
      </c>
      <c r="C445">
        <f>IF(FuelPrices_!AM450="","",FuelPrices_!AM450)</f>
        <v>2035</v>
      </c>
      <c r="D445">
        <f>IF(FuelPrices_!AN450="","",FuelPrices_!AN450)</f>
        <v>0.20430180180180182</v>
      </c>
      <c r="E445">
        <f>IFERROR(VLOOKUP(A445,FuelPrices_!$B$49:$G$57,6,FALSE),"")</f>
        <v>5.4000000000000001E-4</v>
      </c>
      <c r="F445">
        <f>IFERROR(VLOOKUP(A445,FuelPrices_!$B$61:$G$69,6,FALSE),"")</f>
        <v>0</v>
      </c>
      <c r="G445">
        <f t="shared" si="13"/>
        <v>0.20484180180180184</v>
      </c>
    </row>
    <row r="446" spans="1:7" x14ac:dyDescent="0.25">
      <c r="A446" t="str">
        <f>IF(FuelPrices_!AK451="","",FuelPrices_!AK451)</f>
        <v>H2</v>
      </c>
      <c r="B446" t="str">
        <f>IF(FuelPrices_!AL451="","",FuelPrices_!AL451)</f>
        <v>Average</v>
      </c>
      <c r="C446">
        <f>IF(FuelPrices_!AM451="","",FuelPrices_!AM451)</f>
        <v>2036</v>
      </c>
      <c r="D446">
        <f>IF(FuelPrices_!AN451="","",FuelPrices_!AN451)</f>
        <v>0.12972972972972974</v>
      </c>
      <c r="E446">
        <f>IFERROR(VLOOKUP(A446,FuelPrices_!$B$49:$G$57,6,FALSE),"")</f>
        <v>5.4000000000000001E-4</v>
      </c>
      <c r="F446">
        <f>IFERROR(VLOOKUP(A446,FuelPrices_!$B$61:$G$69,6,FALSE),"")</f>
        <v>0</v>
      </c>
      <c r="G446">
        <f t="shared" si="13"/>
        <v>0.13026972972972975</v>
      </c>
    </row>
    <row r="447" spans="1:7" x14ac:dyDescent="0.25">
      <c r="A447" t="str">
        <f>IF(FuelPrices_!AK452="","",FuelPrices_!AK452)</f>
        <v>H2</v>
      </c>
      <c r="B447" t="str">
        <f>IF(FuelPrices_!AL452="","",FuelPrices_!AL452)</f>
        <v>Average</v>
      </c>
      <c r="C447">
        <f>IF(FuelPrices_!AM452="","",FuelPrices_!AM452)</f>
        <v>2037</v>
      </c>
      <c r="D447">
        <f>IF(FuelPrices_!AN452="","",FuelPrices_!AN452)</f>
        <v>0.12912912912912913</v>
      </c>
      <c r="E447">
        <f>IFERROR(VLOOKUP(A447,FuelPrices_!$B$49:$G$57,6,FALSE),"")</f>
        <v>5.4000000000000001E-4</v>
      </c>
      <c r="F447">
        <f>IFERROR(VLOOKUP(A447,FuelPrices_!$B$61:$G$69,6,FALSE),"")</f>
        <v>0</v>
      </c>
      <c r="G447">
        <f t="shared" si="13"/>
        <v>0.12966912912912915</v>
      </c>
    </row>
    <row r="448" spans="1:7" x14ac:dyDescent="0.25">
      <c r="A448" t="str">
        <f>IF(FuelPrices_!AK453="","",FuelPrices_!AK453)</f>
        <v>H2</v>
      </c>
      <c r="B448" t="str">
        <f>IF(FuelPrices_!AL453="","",FuelPrices_!AL453)</f>
        <v>Average</v>
      </c>
      <c r="C448">
        <f>IF(FuelPrices_!AM453="","",FuelPrices_!AM453)</f>
        <v>2038</v>
      </c>
      <c r="D448">
        <f>IF(FuelPrices_!AN453="","",FuelPrices_!AN453)</f>
        <v>0.12882882882882885</v>
      </c>
      <c r="E448">
        <f>IFERROR(VLOOKUP(A448,FuelPrices_!$B$49:$G$57,6,FALSE),"")</f>
        <v>5.4000000000000001E-4</v>
      </c>
      <c r="F448">
        <f>IFERROR(VLOOKUP(A448,FuelPrices_!$B$61:$G$69,6,FALSE),"")</f>
        <v>0</v>
      </c>
      <c r="G448">
        <f t="shared" si="13"/>
        <v>0.12936882882882886</v>
      </c>
    </row>
    <row r="449" spans="1:7" x14ac:dyDescent="0.25">
      <c r="A449" t="str">
        <f>IF(FuelPrices_!AK454="","",FuelPrices_!AK454)</f>
        <v>H2</v>
      </c>
      <c r="B449" t="str">
        <f>IF(FuelPrices_!AL454="","",FuelPrices_!AL454)</f>
        <v>Average</v>
      </c>
      <c r="C449">
        <f>IF(FuelPrices_!AM454="","",FuelPrices_!AM454)</f>
        <v>2039</v>
      </c>
      <c r="D449">
        <f>IF(FuelPrices_!AN454="","",FuelPrices_!AN454)</f>
        <v>0.12822822822822821</v>
      </c>
      <c r="E449">
        <f>IFERROR(VLOOKUP(A449,FuelPrices_!$B$49:$G$57,6,FALSE),"")</f>
        <v>5.4000000000000001E-4</v>
      </c>
      <c r="F449">
        <f>IFERROR(VLOOKUP(A449,FuelPrices_!$B$61:$G$69,6,FALSE),"")</f>
        <v>0</v>
      </c>
      <c r="G449">
        <f t="shared" si="13"/>
        <v>0.12876822822822823</v>
      </c>
    </row>
    <row r="450" spans="1:7" x14ac:dyDescent="0.25">
      <c r="A450" t="str">
        <f>IF(FuelPrices_!AK455="","",FuelPrices_!AK455)</f>
        <v>H2</v>
      </c>
      <c r="B450" t="str">
        <f>IF(FuelPrices_!AL455="","",FuelPrices_!AL455)</f>
        <v>Average</v>
      </c>
      <c r="C450">
        <f>IF(FuelPrices_!AM455="","",FuelPrices_!AM455)</f>
        <v>2040</v>
      </c>
      <c r="D450">
        <f>IF(FuelPrices_!AN455="","",FuelPrices_!AN455)</f>
        <v>0.11881381381381383</v>
      </c>
      <c r="E450">
        <f>IFERROR(VLOOKUP(A450,FuelPrices_!$B$49:$G$57,6,FALSE),"")</f>
        <v>5.4000000000000001E-4</v>
      </c>
      <c r="F450">
        <f>IFERROR(VLOOKUP(A450,FuelPrices_!$B$61:$G$69,6,FALSE),"")</f>
        <v>0</v>
      </c>
      <c r="G450">
        <f t="shared" si="13"/>
        <v>0.11935381381381382</v>
      </c>
    </row>
    <row r="451" spans="1:7" x14ac:dyDescent="0.25">
      <c r="A451" t="str">
        <f>IF(FuelPrices_!AK456="","",FuelPrices_!AK456)</f>
        <v>H2</v>
      </c>
      <c r="B451" t="str">
        <f>IF(FuelPrices_!AL456="","",FuelPrices_!AL456)</f>
        <v>Average</v>
      </c>
      <c r="C451">
        <f>IF(FuelPrices_!AM456="","",FuelPrices_!AM456)</f>
        <v>2041</v>
      </c>
      <c r="D451">
        <f>IF(FuelPrices_!AN456="","",FuelPrices_!AN456)</f>
        <v>0.12732732732732735</v>
      </c>
      <c r="E451">
        <f>IFERROR(VLOOKUP(A451,FuelPrices_!$B$49:$G$57,6,FALSE),"")</f>
        <v>5.4000000000000001E-4</v>
      </c>
      <c r="F451">
        <f>IFERROR(VLOOKUP(A451,FuelPrices_!$B$61:$G$69,6,FALSE),"")</f>
        <v>0</v>
      </c>
      <c r="G451">
        <f t="shared" si="13"/>
        <v>0.12786732732732736</v>
      </c>
    </row>
    <row r="452" spans="1:7" x14ac:dyDescent="0.25">
      <c r="A452" t="str">
        <f>IF(FuelPrices_!AK457="","",FuelPrices_!AK457)</f>
        <v>H2</v>
      </c>
      <c r="B452" t="str">
        <f>IF(FuelPrices_!AL457="","",FuelPrices_!AL457)</f>
        <v>Average</v>
      </c>
      <c r="C452">
        <f>IF(FuelPrices_!AM457="","",FuelPrices_!AM457)</f>
        <v>2042</v>
      </c>
      <c r="D452">
        <f>IF(FuelPrices_!AN457="","",FuelPrices_!AN457)</f>
        <v>0.12702702702702706</v>
      </c>
      <c r="E452">
        <f>IFERROR(VLOOKUP(A452,FuelPrices_!$B$49:$G$57,6,FALSE),"")</f>
        <v>5.4000000000000001E-4</v>
      </c>
      <c r="F452">
        <f>IFERROR(VLOOKUP(A452,FuelPrices_!$B$61:$G$69,6,FALSE),"")</f>
        <v>0</v>
      </c>
      <c r="G452">
        <f t="shared" si="13"/>
        <v>0.12756702702702707</v>
      </c>
    </row>
    <row r="453" spans="1:7" x14ac:dyDescent="0.25">
      <c r="A453" t="str">
        <f>IF(FuelPrices_!AK458="","",FuelPrices_!AK458)</f>
        <v>H2</v>
      </c>
      <c r="B453" t="str">
        <f>IF(FuelPrices_!AL458="","",FuelPrices_!AL458)</f>
        <v>Average</v>
      </c>
      <c r="C453">
        <f>IF(FuelPrices_!AM458="","",FuelPrices_!AM458)</f>
        <v>2043</v>
      </c>
      <c r="D453">
        <f>IF(FuelPrices_!AN458="","",FuelPrices_!AN458)</f>
        <v>0.12642642642642643</v>
      </c>
      <c r="E453">
        <f>IFERROR(VLOOKUP(A453,FuelPrices_!$B$49:$G$57,6,FALSE),"")</f>
        <v>5.4000000000000001E-4</v>
      </c>
      <c r="F453">
        <f>IFERROR(VLOOKUP(A453,FuelPrices_!$B$61:$G$69,6,FALSE),"")</f>
        <v>0</v>
      </c>
      <c r="G453">
        <f t="shared" si="13"/>
        <v>0.12696642642642644</v>
      </c>
    </row>
    <row r="454" spans="1:7" x14ac:dyDescent="0.25">
      <c r="A454" t="str">
        <f>IF(FuelPrices_!AK459="","",FuelPrices_!AK459)</f>
        <v>H2</v>
      </c>
      <c r="B454" t="str">
        <f>IF(FuelPrices_!AL459="","",FuelPrices_!AL459)</f>
        <v>Average</v>
      </c>
      <c r="C454">
        <f>IF(FuelPrices_!AM459="","",FuelPrices_!AM459)</f>
        <v>2044</v>
      </c>
      <c r="D454">
        <f>IF(FuelPrices_!AN459="","",FuelPrices_!AN459)</f>
        <v>0.12612612612612614</v>
      </c>
      <c r="E454">
        <f>IFERROR(VLOOKUP(A454,FuelPrices_!$B$49:$G$57,6,FALSE),"")</f>
        <v>5.4000000000000001E-4</v>
      </c>
      <c r="F454">
        <f>IFERROR(VLOOKUP(A454,FuelPrices_!$B$61:$G$69,6,FALSE),"")</f>
        <v>0</v>
      </c>
      <c r="G454">
        <f t="shared" si="13"/>
        <v>0.12666612612612616</v>
      </c>
    </row>
    <row r="455" spans="1:7" x14ac:dyDescent="0.25">
      <c r="A455" t="str">
        <f>IF(FuelPrices_!AK460="","",FuelPrices_!AK460)</f>
        <v>H2</v>
      </c>
      <c r="B455" t="str">
        <f>IF(FuelPrices_!AL460="","",FuelPrices_!AL460)</f>
        <v>Average</v>
      </c>
      <c r="C455">
        <f>IF(FuelPrices_!AM460="","",FuelPrices_!AM460)</f>
        <v>2045</v>
      </c>
      <c r="D455">
        <f>IF(FuelPrices_!AN460="","",FuelPrices_!AN460)</f>
        <v>0.12552552552552554</v>
      </c>
      <c r="E455">
        <f>IFERROR(VLOOKUP(A455,FuelPrices_!$B$49:$G$57,6,FALSE),"")</f>
        <v>5.4000000000000001E-4</v>
      </c>
      <c r="F455">
        <f>IFERROR(VLOOKUP(A455,FuelPrices_!$B$61:$G$69,6,FALSE),"")</f>
        <v>0</v>
      </c>
      <c r="G455">
        <f t="shared" si="13"/>
        <v>0.12606552552552555</v>
      </c>
    </row>
    <row r="456" spans="1:7" x14ac:dyDescent="0.25">
      <c r="A456" t="str">
        <f>IF(FuelPrices_!AK461="","",FuelPrices_!AK461)</f>
        <v>H2</v>
      </c>
      <c r="B456" t="str">
        <f>IF(FuelPrices_!AL461="","",FuelPrices_!AL461)</f>
        <v>Average</v>
      </c>
      <c r="C456">
        <f>IF(FuelPrices_!AM461="","",FuelPrices_!AM461)</f>
        <v>2046</v>
      </c>
      <c r="D456">
        <f>IF(FuelPrices_!AN461="","",FuelPrices_!AN461)</f>
        <v>0.12522522522522522</v>
      </c>
      <c r="E456">
        <f>IFERROR(VLOOKUP(A456,FuelPrices_!$B$49:$G$57,6,FALSE),"")</f>
        <v>5.4000000000000001E-4</v>
      </c>
      <c r="F456">
        <f>IFERROR(VLOOKUP(A456,FuelPrices_!$B$61:$G$69,6,FALSE),"")</f>
        <v>0</v>
      </c>
      <c r="G456">
        <f t="shared" si="13"/>
        <v>0.12576522522522524</v>
      </c>
    </row>
    <row r="457" spans="1:7" x14ac:dyDescent="0.25">
      <c r="A457" t="str">
        <f>IF(FuelPrices_!AK462="","",FuelPrices_!AK462)</f>
        <v>H2</v>
      </c>
      <c r="B457" t="str">
        <f>IF(FuelPrices_!AL462="","",FuelPrices_!AL462)</f>
        <v>Average</v>
      </c>
      <c r="C457">
        <f>IF(FuelPrices_!AM462="","",FuelPrices_!AM462)</f>
        <v>2047</v>
      </c>
      <c r="D457">
        <f>IF(FuelPrices_!AN462="","",FuelPrices_!AN462)</f>
        <v>0.12492492492492493</v>
      </c>
      <c r="E457">
        <f>IFERROR(VLOOKUP(A457,FuelPrices_!$B$49:$G$57,6,FALSE),"")</f>
        <v>5.4000000000000001E-4</v>
      </c>
      <c r="F457">
        <f>IFERROR(VLOOKUP(A457,FuelPrices_!$B$61:$G$69,6,FALSE),"")</f>
        <v>0</v>
      </c>
      <c r="G457">
        <f t="shared" si="13"/>
        <v>0.12546492492492495</v>
      </c>
    </row>
    <row r="458" spans="1:7" x14ac:dyDescent="0.25">
      <c r="A458" t="str">
        <f>IF(FuelPrices_!AK463="","",FuelPrices_!AK463)</f>
        <v>H2</v>
      </c>
      <c r="B458" t="str">
        <f>IF(FuelPrices_!AL463="","",FuelPrices_!AL463)</f>
        <v>Average</v>
      </c>
      <c r="C458">
        <f>IF(FuelPrices_!AM463="","",FuelPrices_!AM463)</f>
        <v>2048</v>
      </c>
      <c r="D458">
        <f>IF(FuelPrices_!AN463="","",FuelPrices_!AN463)</f>
        <v>0.12432432432432433</v>
      </c>
      <c r="E458">
        <f>IFERROR(VLOOKUP(A458,FuelPrices_!$B$49:$G$57,6,FALSE),"")</f>
        <v>5.4000000000000001E-4</v>
      </c>
      <c r="F458">
        <f>IFERROR(VLOOKUP(A458,FuelPrices_!$B$61:$G$69,6,FALSE),"")</f>
        <v>0</v>
      </c>
      <c r="G458">
        <f t="shared" si="13"/>
        <v>0.12486432432432433</v>
      </c>
    </row>
    <row r="459" spans="1:7" x14ac:dyDescent="0.25">
      <c r="A459" t="str">
        <f>IF(FuelPrices_!AK464="","",FuelPrices_!AK464)</f>
        <v>H2</v>
      </c>
      <c r="B459" t="str">
        <f>IF(FuelPrices_!AL464="","",FuelPrices_!AL464)</f>
        <v>Average</v>
      </c>
      <c r="C459">
        <f>IF(FuelPrices_!AM464="","",FuelPrices_!AM464)</f>
        <v>2049</v>
      </c>
      <c r="D459">
        <f>IF(FuelPrices_!AN464="","",FuelPrices_!AN464)</f>
        <v>0.12402402402402403</v>
      </c>
      <c r="E459">
        <f>IFERROR(VLOOKUP(A459,FuelPrices_!$B$49:$G$57,6,FALSE),"")</f>
        <v>5.4000000000000001E-4</v>
      </c>
      <c r="F459">
        <f>IFERROR(VLOOKUP(A459,FuelPrices_!$B$61:$G$69,6,FALSE),"")</f>
        <v>0</v>
      </c>
      <c r="G459">
        <f t="shared" si="13"/>
        <v>0.12456402402402403</v>
      </c>
    </row>
    <row r="460" spans="1:7" x14ac:dyDescent="0.25">
      <c r="A460" t="str">
        <f>IF(FuelPrices_!AK465="","",FuelPrices_!AK465)</f>
        <v>H2</v>
      </c>
      <c r="B460" t="str">
        <f>IF(FuelPrices_!AL465="","",FuelPrices_!AL465)</f>
        <v>Average</v>
      </c>
      <c r="C460">
        <f>IF(FuelPrices_!AM465="","",FuelPrices_!AM465)</f>
        <v>2050</v>
      </c>
      <c r="D460">
        <f>IF(FuelPrices_!AN465="","",FuelPrices_!AN465)</f>
        <v>4.8713663663663663E-2</v>
      </c>
      <c r="E460">
        <f>IFERROR(VLOOKUP(A460,FuelPrices_!$B$49:$G$57,6,FALSE),"")</f>
        <v>5.4000000000000001E-4</v>
      </c>
      <c r="F460">
        <f>IFERROR(VLOOKUP(A460,FuelPrices_!$B$61:$G$69,6,FALSE),"")</f>
        <v>0</v>
      </c>
      <c r="G460">
        <f t="shared" si="13"/>
        <v>4.9253663663663662E-2</v>
      </c>
    </row>
    <row r="461" spans="1:7" x14ac:dyDescent="0.25">
      <c r="A461" t="str">
        <f>IF(FuelPrices_!AK466="","",FuelPrices_!AK466)</f>
        <v>H2</v>
      </c>
      <c r="B461" t="str">
        <f>IF(FuelPrices_!AL466="","",FuelPrices_!AL466)</f>
        <v>Low</v>
      </c>
      <c r="C461">
        <f>IF(FuelPrices_!AM466="","",FuelPrices_!AM466)</f>
        <v>2024</v>
      </c>
      <c r="D461">
        <f>IF(FuelPrices_!AN466="","",FuelPrices_!AN466)</f>
        <v>0.17417417417417419</v>
      </c>
      <c r="E461">
        <f>IFERROR(VLOOKUP(A461,FuelPrices_!$B$49:$G$57,6,FALSE),"")</f>
        <v>5.4000000000000001E-4</v>
      </c>
      <c r="F461">
        <f>IFERROR(VLOOKUP(A461,FuelPrices_!$B$61:$G$69,6,FALSE),"")</f>
        <v>0</v>
      </c>
      <c r="G461">
        <f t="shared" si="13"/>
        <v>0.1747141741741742</v>
      </c>
    </row>
    <row r="462" spans="1:7" x14ac:dyDescent="0.25">
      <c r="A462" t="str">
        <f>IF(FuelPrices_!AK467="","",FuelPrices_!AK467)</f>
        <v>H2</v>
      </c>
      <c r="B462" t="str">
        <f>IF(FuelPrices_!AL467="","",FuelPrices_!AL467)</f>
        <v>Low</v>
      </c>
      <c r="C462">
        <f>IF(FuelPrices_!AM467="","",FuelPrices_!AM467)</f>
        <v>2025</v>
      </c>
      <c r="D462">
        <f>IF(FuelPrices_!AN467="","",FuelPrices_!AN467)</f>
        <v>0.21591591591591594</v>
      </c>
      <c r="E462">
        <f>IFERROR(VLOOKUP(A462,FuelPrices_!$B$49:$G$57,6,FALSE),"")</f>
        <v>5.4000000000000001E-4</v>
      </c>
      <c r="F462">
        <f>IFERROR(VLOOKUP(A462,FuelPrices_!$B$61:$G$69,6,FALSE),"")</f>
        <v>0</v>
      </c>
      <c r="G462">
        <f t="shared" si="13"/>
        <v>0.21645591591591595</v>
      </c>
    </row>
    <row r="463" spans="1:7" x14ac:dyDescent="0.25">
      <c r="A463" t="str">
        <f>IF(FuelPrices_!AK468="","",FuelPrices_!AK468)</f>
        <v>H2</v>
      </c>
      <c r="B463" t="str">
        <f>IF(FuelPrices_!AL468="","",FuelPrices_!AL468)</f>
        <v>Low</v>
      </c>
      <c r="C463">
        <f>IF(FuelPrices_!AM468="","",FuelPrices_!AM468)</f>
        <v>2026</v>
      </c>
      <c r="D463">
        <f>IF(FuelPrices_!AN468="","",FuelPrices_!AN468)</f>
        <v>0.19459459459459463</v>
      </c>
      <c r="E463">
        <f>IFERROR(VLOOKUP(A463,FuelPrices_!$B$49:$G$57,6,FALSE),"")</f>
        <v>5.4000000000000001E-4</v>
      </c>
      <c r="F463">
        <f>IFERROR(VLOOKUP(A463,FuelPrices_!$B$61:$G$69,6,FALSE),"")</f>
        <v>0</v>
      </c>
      <c r="G463">
        <f t="shared" si="13"/>
        <v>0.19513459459459465</v>
      </c>
    </row>
    <row r="464" spans="1:7" x14ac:dyDescent="0.25">
      <c r="A464" t="str">
        <f>IF(FuelPrices_!AK469="","",FuelPrices_!AK469)</f>
        <v>H2</v>
      </c>
      <c r="B464" t="str">
        <f>IF(FuelPrices_!AL469="","",FuelPrices_!AL469)</f>
        <v>Low</v>
      </c>
      <c r="C464">
        <f>IF(FuelPrices_!AM469="","",FuelPrices_!AM469)</f>
        <v>2027</v>
      </c>
      <c r="D464">
        <f>IF(FuelPrices_!AN469="","",FuelPrices_!AN469)</f>
        <v>0.17327327327327327</v>
      </c>
      <c r="E464">
        <f>IFERROR(VLOOKUP(A464,FuelPrices_!$B$49:$G$57,6,FALSE),"")</f>
        <v>5.4000000000000001E-4</v>
      </c>
      <c r="F464">
        <f>IFERROR(VLOOKUP(A464,FuelPrices_!$B$61:$G$69,6,FALSE),"")</f>
        <v>0</v>
      </c>
      <c r="G464">
        <f t="shared" si="13"/>
        <v>0.17381327327327328</v>
      </c>
    </row>
    <row r="465" spans="1:7" x14ac:dyDescent="0.25">
      <c r="A465" t="str">
        <f>IF(FuelPrices_!AK470="","",FuelPrices_!AK470)</f>
        <v>H2</v>
      </c>
      <c r="B465" t="str">
        <f>IF(FuelPrices_!AL470="","",FuelPrices_!AL470)</f>
        <v>Low</v>
      </c>
      <c r="C465">
        <f>IF(FuelPrices_!AM470="","",FuelPrices_!AM470)</f>
        <v>2028</v>
      </c>
      <c r="D465">
        <f>IF(FuelPrices_!AN470="","",FuelPrices_!AN470)</f>
        <v>0.15195195195195196</v>
      </c>
      <c r="E465">
        <f>IFERROR(VLOOKUP(A465,FuelPrices_!$B$49:$G$57,6,FALSE),"")</f>
        <v>5.4000000000000001E-4</v>
      </c>
      <c r="F465">
        <f>IFERROR(VLOOKUP(A465,FuelPrices_!$B$61:$G$69,6,FALSE),"")</f>
        <v>0</v>
      </c>
      <c r="G465">
        <f t="shared" si="13"/>
        <v>0.15249195195195198</v>
      </c>
    </row>
    <row r="466" spans="1:7" x14ac:dyDescent="0.25">
      <c r="A466" t="str">
        <f>IF(FuelPrices_!AK471="","",FuelPrices_!AK471)</f>
        <v>H2</v>
      </c>
      <c r="B466" t="str">
        <f>IF(FuelPrices_!AL471="","",FuelPrices_!AL471)</f>
        <v>Low</v>
      </c>
      <c r="C466">
        <f>IF(FuelPrices_!AM471="","",FuelPrices_!AM471)</f>
        <v>2029</v>
      </c>
      <c r="D466">
        <f>IF(FuelPrices_!AN471="","",FuelPrices_!AN471)</f>
        <v>0.13093093093093094</v>
      </c>
      <c r="E466">
        <f>IFERROR(VLOOKUP(A466,FuelPrices_!$B$49:$G$57,6,FALSE),"")</f>
        <v>5.4000000000000001E-4</v>
      </c>
      <c r="F466">
        <f>IFERROR(VLOOKUP(A466,FuelPrices_!$B$61:$G$69,6,FALSE),"")</f>
        <v>0</v>
      </c>
      <c r="G466">
        <f t="shared" si="13"/>
        <v>0.13147093093093096</v>
      </c>
    </row>
    <row r="467" spans="1:7" x14ac:dyDescent="0.25">
      <c r="A467" t="str">
        <f>IF(FuelPrices_!AK472="","",FuelPrices_!AK472)</f>
        <v>H2</v>
      </c>
      <c r="B467" t="str">
        <f>IF(FuelPrices_!AL472="","",FuelPrices_!AL472)</f>
        <v>Low</v>
      </c>
      <c r="C467">
        <f>IF(FuelPrices_!AM472="","",FuelPrices_!AM472)</f>
        <v>2030</v>
      </c>
      <c r="D467">
        <f>IF(FuelPrices_!AN472="","",FuelPrices_!AN472)</f>
        <v>0.17417417417417419</v>
      </c>
      <c r="E467">
        <f>IFERROR(VLOOKUP(A467,FuelPrices_!$B$49:$G$57,6,FALSE),"")</f>
        <v>5.4000000000000001E-4</v>
      </c>
      <c r="F467">
        <f>IFERROR(VLOOKUP(A467,FuelPrices_!$B$61:$G$69,6,FALSE),"")</f>
        <v>0</v>
      </c>
      <c r="G467">
        <f t="shared" si="13"/>
        <v>0.1747141741741742</v>
      </c>
    </row>
    <row r="468" spans="1:7" x14ac:dyDescent="0.25">
      <c r="A468" t="str">
        <f>IF(FuelPrices_!AK473="","",FuelPrices_!AK473)</f>
        <v>H2</v>
      </c>
      <c r="B468" t="str">
        <f>IF(FuelPrices_!AL473="","",FuelPrices_!AL473)</f>
        <v>Low</v>
      </c>
      <c r="C468">
        <f>IF(FuelPrices_!AM473="","",FuelPrices_!AM473)</f>
        <v>2031</v>
      </c>
      <c r="D468">
        <f>IF(FuelPrices_!AN473="","",FuelPrices_!AN473)</f>
        <v>0.10900900900900902</v>
      </c>
      <c r="E468">
        <f>IFERROR(VLOOKUP(A468,FuelPrices_!$B$49:$G$57,6,FALSE),"")</f>
        <v>5.4000000000000001E-4</v>
      </c>
      <c r="F468">
        <f>IFERROR(VLOOKUP(A468,FuelPrices_!$B$61:$G$69,6,FALSE),"")</f>
        <v>0</v>
      </c>
      <c r="G468">
        <f t="shared" si="13"/>
        <v>0.10954900900900902</v>
      </c>
    </row>
    <row r="469" spans="1:7" x14ac:dyDescent="0.25">
      <c r="A469" t="str">
        <f>IF(FuelPrices_!AK474="","",FuelPrices_!AK474)</f>
        <v>H2</v>
      </c>
      <c r="B469" t="str">
        <f>IF(FuelPrices_!AL474="","",FuelPrices_!AL474)</f>
        <v>Low</v>
      </c>
      <c r="C469">
        <f>IF(FuelPrices_!AM474="","",FuelPrices_!AM474)</f>
        <v>2032</v>
      </c>
      <c r="D469">
        <f>IF(FuelPrices_!AN474="","",FuelPrices_!AN474)</f>
        <v>0.10840840840840842</v>
      </c>
      <c r="E469">
        <f>IFERROR(VLOOKUP(A469,FuelPrices_!$B$49:$G$57,6,FALSE),"")</f>
        <v>5.4000000000000001E-4</v>
      </c>
      <c r="F469">
        <f>IFERROR(VLOOKUP(A469,FuelPrices_!$B$61:$G$69,6,FALSE),"")</f>
        <v>0</v>
      </c>
      <c r="G469">
        <f t="shared" si="13"/>
        <v>0.10894840840840841</v>
      </c>
    </row>
    <row r="470" spans="1:7" x14ac:dyDescent="0.25">
      <c r="A470" t="str">
        <f>IF(FuelPrices_!AK475="","",FuelPrices_!AK475)</f>
        <v>H2</v>
      </c>
      <c r="B470" t="str">
        <f>IF(FuelPrices_!AL475="","",FuelPrices_!AL475)</f>
        <v>Low</v>
      </c>
      <c r="C470">
        <f>IF(FuelPrices_!AM475="","",FuelPrices_!AM475)</f>
        <v>2033</v>
      </c>
      <c r="D470">
        <f>IF(FuelPrices_!AN475="","",FuelPrices_!AN475)</f>
        <v>0.10810810810810811</v>
      </c>
      <c r="E470">
        <f>IFERROR(VLOOKUP(A470,FuelPrices_!$B$49:$G$57,6,FALSE),"")</f>
        <v>5.4000000000000001E-4</v>
      </c>
      <c r="F470">
        <f>IFERROR(VLOOKUP(A470,FuelPrices_!$B$61:$G$69,6,FALSE),"")</f>
        <v>0</v>
      </c>
      <c r="G470">
        <f t="shared" si="13"/>
        <v>0.10864810810810811</v>
      </c>
    </row>
    <row r="471" spans="1:7" x14ac:dyDescent="0.25">
      <c r="A471" t="str">
        <f>IF(FuelPrices_!AK476="","",FuelPrices_!AK476)</f>
        <v>H2</v>
      </c>
      <c r="B471" t="str">
        <f>IF(FuelPrices_!AL476="","",FuelPrices_!AL476)</f>
        <v>Low</v>
      </c>
      <c r="C471">
        <f>IF(FuelPrices_!AM476="","",FuelPrices_!AM476)</f>
        <v>2034</v>
      </c>
      <c r="D471">
        <f>IF(FuelPrices_!AN476="","",FuelPrices_!AN476)</f>
        <v>0.10750750750750752</v>
      </c>
      <c r="E471">
        <f>IFERROR(VLOOKUP(A471,FuelPrices_!$B$49:$G$57,6,FALSE),"")</f>
        <v>5.4000000000000001E-4</v>
      </c>
      <c r="F471">
        <f>IFERROR(VLOOKUP(A471,FuelPrices_!$B$61:$G$69,6,FALSE),"")</f>
        <v>0</v>
      </c>
      <c r="G471">
        <f t="shared" ref="G471:G534" si="14">IFERROR(D471+E471+F471,"")</f>
        <v>0.10804750750750752</v>
      </c>
    </row>
    <row r="472" spans="1:7" x14ac:dyDescent="0.25">
      <c r="A472" t="str">
        <f>IF(FuelPrices_!AK477="","",FuelPrices_!AK477)</f>
        <v>H2</v>
      </c>
      <c r="B472" t="str">
        <f>IF(FuelPrices_!AL477="","",FuelPrices_!AL477)</f>
        <v>Low</v>
      </c>
      <c r="C472">
        <f>IF(FuelPrices_!AM477="","",FuelPrices_!AM477)</f>
        <v>2035</v>
      </c>
      <c r="D472">
        <f>IF(FuelPrices_!AN477="","",FuelPrices_!AN477)</f>
        <v>0.12279279279279279</v>
      </c>
      <c r="E472">
        <f>IFERROR(VLOOKUP(A472,FuelPrices_!$B$49:$G$57,6,FALSE),"")</f>
        <v>5.4000000000000001E-4</v>
      </c>
      <c r="F472">
        <f>IFERROR(VLOOKUP(A472,FuelPrices_!$B$61:$G$69,6,FALSE),"")</f>
        <v>0</v>
      </c>
      <c r="G472">
        <f t="shared" si="14"/>
        <v>0.12333279279279279</v>
      </c>
    </row>
    <row r="473" spans="1:7" x14ac:dyDescent="0.25">
      <c r="A473" t="str">
        <f>IF(FuelPrices_!AK478="","",FuelPrices_!AK478)</f>
        <v>H2</v>
      </c>
      <c r="B473" t="str">
        <f>IF(FuelPrices_!AL478="","",FuelPrices_!AL478)</f>
        <v>Low</v>
      </c>
      <c r="C473">
        <f>IF(FuelPrices_!AM478="","",FuelPrices_!AM478)</f>
        <v>2036</v>
      </c>
      <c r="D473">
        <f>IF(FuelPrices_!AN478="","",FuelPrices_!AN478)</f>
        <v>0.10630630630630632</v>
      </c>
      <c r="E473">
        <f>IFERROR(VLOOKUP(A473,FuelPrices_!$B$49:$G$57,6,FALSE),"")</f>
        <v>5.4000000000000001E-4</v>
      </c>
      <c r="F473">
        <f>IFERROR(VLOOKUP(A473,FuelPrices_!$B$61:$G$69,6,FALSE),"")</f>
        <v>0</v>
      </c>
      <c r="G473">
        <f t="shared" si="14"/>
        <v>0.10684630630630632</v>
      </c>
    </row>
    <row r="474" spans="1:7" x14ac:dyDescent="0.25">
      <c r="A474" t="str">
        <f>IF(FuelPrices_!AK479="","",FuelPrices_!AK479)</f>
        <v>H2</v>
      </c>
      <c r="B474" t="str">
        <f>IF(FuelPrices_!AL479="","",FuelPrices_!AL479)</f>
        <v>Low</v>
      </c>
      <c r="C474">
        <f>IF(FuelPrices_!AM479="","",FuelPrices_!AM479)</f>
        <v>2037</v>
      </c>
      <c r="D474">
        <f>IF(FuelPrices_!AN479="","",FuelPrices_!AN479)</f>
        <v>0.10600600600600601</v>
      </c>
      <c r="E474">
        <f>IFERROR(VLOOKUP(A474,FuelPrices_!$B$49:$G$57,6,FALSE),"")</f>
        <v>5.4000000000000001E-4</v>
      </c>
      <c r="F474">
        <f>IFERROR(VLOOKUP(A474,FuelPrices_!$B$61:$G$69,6,FALSE),"")</f>
        <v>0</v>
      </c>
      <c r="G474">
        <f t="shared" si="14"/>
        <v>0.10654600600600601</v>
      </c>
    </row>
    <row r="475" spans="1:7" x14ac:dyDescent="0.25">
      <c r="A475" t="str">
        <f>IF(FuelPrices_!AK480="","",FuelPrices_!AK480)</f>
        <v>H2</v>
      </c>
      <c r="B475" t="str">
        <f>IF(FuelPrices_!AL480="","",FuelPrices_!AL480)</f>
        <v>Low</v>
      </c>
      <c r="C475">
        <f>IF(FuelPrices_!AM480="","",FuelPrices_!AM480)</f>
        <v>2038</v>
      </c>
      <c r="D475">
        <f>IF(FuelPrices_!AN480="","",FuelPrices_!AN480)</f>
        <v>0.10540540540540541</v>
      </c>
      <c r="E475">
        <f>IFERROR(VLOOKUP(A475,FuelPrices_!$B$49:$G$57,6,FALSE),"")</f>
        <v>5.4000000000000001E-4</v>
      </c>
      <c r="F475">
        <f>IFERROR(VLOOKUP(A475,FuelPrices_!$B$61:$G$69,6,FALSE),"")</f>
        <v>0</v>
      </c>
      <c r="G475">
        <f t="shared" si="14"/>
        <v>0.10594540540540541</v>
      </c>
    </row>
    <row r="476" spans="1:7" x14ac:dyDescent="0.25">
      <c r="A476" t="str">
        <f>IF(FuelPrices_!AK481="","",FuelPrices_!AK481)</f>
        <v>H2</v>
      </c>
      <c r="B476" t="str">
        <f>IF(FuelPrices_!AL481="","",FuelPrices_!AL481)</f>
        <v>Low</v>
      </c>
      <c r="C476">
        <f>IF(FuelPrices_!AM481="","",FuelPrices_!AM481)</f>
        <v>2039</v>
      </c>
      <c r="D476">
        <f>IF(FuelPrices_!AN481="","",FuelPrices_!AN481)</f>
        <v>0.10510510510510511</v>
      </c>
      <c r="E476">
        <f>IFERROR(VLOOKUP(A476,FuelPrices_!$B$49:$G$57,6,FALSE),"")</f>
        <v>5.4000000000000001E-4</v>
      </c>
      <c r="F476">
        <f>IFERROR(VLOOKUP(A476,FuelPrices_!$B$61:$G$69,6,FALSE),"")</f>
        <v>0</v>
      </c>
      <c r="G476">
        <f t="shared" si="14"/>
        <v>0.10564510510510511</v>
      </c>
    </row>
    <row r="477" spans="1:7" x14ac:dyDescent="0.25">
      <c r="A477" t="str">
        <f>IF(FuelPrices_!AK482="","",FuelPrices_!AK482)</f>
        <v>H2</v>
      </c>
      <c r="B477" t="str">
        <f>IF(FuelPrices_!AL482="","",FuelPrices_!AL482)</f>
        <v>Low</v>
      </c>
      <c r="C477">
        <f>IF(FuelPrices_!AM482="","",FuelPrices_!AM482)</f>
        <v>2040</v>
      </c>
      <c r="D477">
        <f>IF(FuelPrices_!AN482="","",FuelPrices_!AN482)</f>
        <v>7.1411411411411413E-2</v>
      </c>
      <c r="E477">
        <f>IFERROR(VLOOKUP(A477,FuelPrices_!$B$49:$G$57,6,FALSE),"")</f>
        <v>5.4000000000000001E-4</v>
      </c>
      <c r="F477">
        <f>IFERROR(VLOOKUP(A477,FuelPrices_!$B$61:$G$69,6,FALSE),"")</f>
        <v>0</v>
      </c>
      <c r="G477">
        <f t="shared" si="14"/>
        <v>7.1951411411411412E-2</v>
      </c>
    </row>
    <row r="478" spans="1:7" x14ac:dyDescent="0.25">
      <c r="A478" t="str">
        <f>IF(FuelPrices_!AK483="","",FuelPrices_!AK483)</f>
        <v>H2</v>
      </c>
      <c r="B478" t="str">
        <f>IF(FuelPrices_!AL483="","",FuelPrices_!AL483)</f>
        <v>Low</v>
      </c>
      <c r="C478">
        <f>IF(FuelPrices_!AM483="","",FuelPrices_!AM483)</f>
        <v>2041</v>
      </c>
      <c r="D478">
        <f>IF(FuelPrices_!AN483="","",FuelPrices_!AN483)</f>
        <v>0.10870870870870872</v>
      </c>
      <c r="E478">
        <f>IFERROR(VLOOKUP(A478,FuelPrices_!$B$49:$G$57,6,FALSE),"")</f>
        <v>5.4000000000000001E-4</v>
      </c>
      <c r="F478">
        <f>IFERROR(VLOOKUP(A478,FuelPrices_!$B$61:$G$69,6,FALSE),"")</f>
        <v>0</v>
      </c>
      <c r="G478">
        <f t="shared" si="14"/>
        <v>0.10924870870870872</v>
      </c>
    </row>
    <row r="479" spans="1:7" x14ac:dyDescent="0.25">
      <c r="A479" t="str">
        <f>IF(FuelPrices_!AK484="","",FuelPrices_!AK484)</f>
        <v>H2</v>
      </c>
      <c r="B479" t="str">
        <f>IF(FuelPrices_!AL484="","",FuelPrices_!AL484)</f>
        <v>Low</v>
      </c>
      <c r="C479">
        <f>IF(FuelPrices_!AM484="","",FuelPrices_!AM484)</f>
        <v>2042</v>
      </c>
      <c r="D479">
        <f>IF(FuelPrices_!AN484="","",FuelPrices_!AN484)</f>
        <v>0.11291291291291292</v>
      </c>
      <c r="E479">
        <f>IFERROR(VLOOKUP(A479,FuelPrices_!$B$49:$G$57,6,FALSE),"")</f>
        <v>5.4000000000000001E-4</v>
      </c>
      <c r="F479">
        <f>IFERROR(VLOOKUP(A479,FuelPrices_!$B$61:$G$69,6,FALSE),"")</f>
        <v>0</v>
      </c>
      <c r="G479">
        <f t="shared" si="14"/>
        <v>0.11345291291291291</v>
      </c>
    </row>
    <row r="480" spans="1:7" x14ac:dyDescent="0.25">
      <c r="A480" t="str">
        <f>IF(FuelPrices_!AK485="","",FuelPrices_!AK485)</f>
        <v>H2</v>
      </c>
      <c r="B480" t="str">
        <f>IF(FuelPrices_!AL485="","",FuelPrices_!AL485)</f>
        <v>Low</v>
      </c>
      <c r="C480">
        <f>IF(FuelPrices_!AM485="","",FuelPrices_!AM485)</f>
        <v>2043</v>
      </c>
      <c r="D480">
        <f>IF(FuelPrices_!AN485="","",FuelPrices_!AN485)</f>
        <v>0.11711711711711713</v>
      </c>
      <c r="E480">
        <f>IFERROR(VLOOKUP(A480,FuelPrices_!$B$49:$G$57,6,FALSE),"")</f>
        <v>5.4000000000000001E-4</v>
      </c>
      <c r="F480">
        <f>IFERROR(VLOOKUP(A480,FuelPrices_!$B$61:$G$69,6,FALSE),"")</f>
        <v>0</v>
      </c>
      <c r="G480">
        <f t="shared" si="14"/>
        <v>0.11765711711711713</v>
      </c>
    </row>
    <row r="481" spans="1:7" x14ac:dyDescent="0.25">
      <c r="A481" t="str">
        <f>IF(FuelPrices_!AK486="","",FuelPrices_!AK486)</f>
        <v>H2</v>
      </c>
      <c r="B481" t="str">
        <f>IF(FuelPrices_!AL486="","",FuelPrices_!AL486)</f>
        <v>Low</v>
      </c>
      <c r="C481">
        <f>IF(FuelPrices_!AM486="","",FuelPrices_!AM486)</f>
        <v>2044</v>
      </c>
      <c r="D481">
        <f>IF(FuelPrices_!AN486="","",FuelPrices_!AN486)</f>
        <v>0.12132132132132133</v>
      </c>
      <c r="E481">
        <f>IFERROR(VLOOKUP(A481,FuelPrices_!$B$49:$G$57,6,FALSE),"")</f>
        <v>5.4000000000000001E-4</v>
      </c>
      <c r="F481">
        <f>IFERROR(VLOOKUP(A481,FuelPrices_!$B$61:$G$69,6,FALSE),"")</f>
        <v>0</v>
      </c>
      <c r="G481">
        <f t="shared" si="14"/>
        <v>0.12186132132132133</v>
      </c>
    </row>
    <row r="482" spans="1:7" x14ac:dyDescent="0.25">
      <c r="A482" t="str">
        <f>IF(FuelPrices_!AK487="","",FuelPrices_!AK487)</f>
        <v>H2</v>
      </c>
      <c r="B482" t="str">
        <f>IF(FuelPrices_!AL487="","",FuelPrices_!AL487)</f>
        <v>Low</v>
      </c>
      <c r="C482">
        <f>IF(FuelPrices_!AM487="","",FuelPrices_!AM487)</f>
        <v>2045</v>
      </c>
      <c r="D482">
        <f>IF(FuelPrices_!AN487="","",FuelPrices_!AN487)</f>
        <v>0.12552552552552554</v>
      </c>
      <c r="E482">
        <f>IFERROR(VLOOKUP(A482,FuelPrices_!$B$49:$G$57,6,FALSE),"")</f>
        <v>5.4000000000000001E-4</v>
      </c>
      <c r="F482">
        <f>IFERROR(VLOOKUP(A482,FuelPrices_!$B$61:$G$69,6,FALSE),"")</f>
        <v>0</v>
      </c>
      <c r="G482">
        <f t="shared" si="14"/>
        <v>0.12606552552552555</v>
      </c>
    </row>
    <row r="483" spans="1:7" x14ac:dyDescent="0.25">
      <c r="A483" t="str">
        <f>IF(FuelPrices_!AK488="","",FuelPrices_!AK488)</f>
        <v>H2</v>
      </c>
      <c r="B483" t="str">
        <f>IF(FuelPrices_!AL488="","",FuelPrices_!AL488)</f>
        <v>Low</v>
      </c>
      <c r="C483">
        <f>IF(FuelPrices_!AM488="","",FuelPrices_!AM488)</f>
        <v>2046</v>
      </c>
      <c r="D483">
        <f>IF(FuelPrices_!AN488="","",FuelPrices_!AN488)</f>
        <v>0.12522522522522522</v>
      </c>
      <c r="E483">
        <f>IFERROR(VLOOKUP(A483,FuelPrices_!$B$49:$G$57,6,FALSE),"")</f>
        <v>5.4000000000000001E-4</v>
      </c>
      <c r="F483">
        <f>IFERROR(VLOOKUP(A483,FuelPrices_!$B$61:$G$69,6,FALSE),"")</f>
        <v>0</v>
      </c>
      <c r="G483">
        <f t="shared" si="14"/>
        <v>0.12576522522522524</v>
      </c>
    </row>
    <row r="484" spans="1:7" x14ac:dyDescent="0.25">
      <c r="A484" t="str">
        <f>IF(FuelPrices_!AK489="","",FuelPrices_!AK489)</f>
        <v>H2</v>
      </c>
      <c r="B484" t="str">
        <f>IF(FuelPrices_!AL489="","",FuelPrices_!AL489)</f>
        <v>Low</v>
      </c>
      <c r="C484">
        <f>IF(FuelPrices_!AM489="","",FuelPrices_!AM489)</f>
        <v>2047</v>
      </c>
      <c r="D484">
        <f>IF(FuelPrices_!AN489="","",FuelPrices_!AN489)</f>
        <v>0.12492492492492493</v>
      </c>
      <c r="E484">
        <f>IFERROR(VLOOKUP(A484,FuelPrices_!$B$49:$G$57,6,FALSE),"")</f>
        <v>5.4000000000000001E-4</v>
      </c>
      <c r="F484">
        <f>IFERROR(VLOOKUP(A484,FuelPrices_!$B$61:$G$69,6,FALSE),"")</f>
        <v>0</v>
      </c>
      <c r="G484">
        <f t="shared" si="14"/>
        <v>0.12546492492492495</v>
      </c>
    </row>
    <row r="485" spans="1:7" x14ac:dyDescent="0.25">
      <c r="A485" t="str">
        <f>IF(FuelPrices_!AK490="","",FuelPrices_!AK490)</f>
        <v>H2</v>
      </c>
      <c r="B485" t="str">
        <f>IF(FuelPrices_!AL490="","",FuelPrices_!AL490)</f>
        <v>Low</v>
      </c>
      <c r="C485">
        <f>IF(FuelPrices_!AM490="","",FuelPrices_!AM490)</f>
        <v>2048</v>
      </c>
      <c r="D485">
        <f>IF(FuelPrices_!AN490="","",FuelPrices_!AN490)</f>
        <v>0.12432432432432433</v>
      </c>
      <c r="E485">
        <f>IFERROR(VLOOKUP(A485,FuelPrices_!$B$49:$G$57,6,FALSE),"")</f>
        <v>5.4000000000000001E-4</v>
      </c>
      <c r="F485">
        <f>IFERROR(VLOOKUP(A485,FuelPrices_!$B$61:$G$69,6,FALSE),"")</f>
        <v>0</v>
      </c>
      <c r="G485">
        <f t="shared" si="14"/>
        <v>0.12486432432432433</v>
      </c>
    </row>
    <row r="486" spans="1:7" x14ac:dyDescent="0.25">
      <c r="A486" t="str">
        <f>IF(FuelPrices_!AK491="","",FuelPrices_!AK491)</f>
        <v>H2</v>
      </c>
      <c r="B486" t="str">
        <f>IF(FuelPrices_!AL491="","",FuelPrices_!AL491)</f>
        <v>Low</v>
      </c>
      <c r="C486">
        <f>IF(FuelPrices_!AM491="","",FuelPrices_!AM491)</f>
        <v>2049</v>
      </c>
      <c r="D486">
        <f>IF(FuelPrices_!AN491="","",FuelPrices_!AN491)</f>
        <v>0.12402402402402403</v>
      </c>
      <c r="E486">
        <f>IFERROR(VLOOKUP(A486,FuelPrices_!$B$49:$G$57,6,FALSE),"")</f>
        <v>5.4000000000000001E-4</v>
      </c>
      <c r="F486">
        <f>IFERROR(VLOOKUP(A486,FuelPrices_!$B$61:$G$69,6,FALSE),"")</f>
        <v>0</v>
      </c>
      <c r="G486">
        <f t="shared" si="14"/>
        <v>0.12456402402402403</v>
      </c>
    </row>
    <row r="487" spans="1:7" x14ac:dyDescent="0.25">
      <c r="A487" t="str">
        <f>IF(FuelPrices_!AK492="","",FuelPrices_!AK492)</f>
        <v>H2</v>
      </c>
      <c r="B487" t="str">
        <f>IF(FuelPrices_!AL492="","",FuelPrices_!AL492)</f>
        <v>Low</v>
      </c>
      <c r="C487">
        <f>IF(FuelPrices_!AM492="","",FuelPrices_!AM492)</f>
        <v>2050</v>
      </c>
      <c r="D487">
        <f>IF(FuelPrices_!AN492="","",FuelPrices_!AN492)</f>
        <v>2.9278678678678678E-2</v>
      </c>
      <c r="E487">
        <f>IFERROR(VLOOKUP(A487,FuelPrices_!$B$49:$G$57,6,FALSE),"")</f>
        <v>5.4000000000000001E-4</v>
      </c>
      <c r="F487">
        <f>IFERROR(VLOOKUP(A487,FuelPrices_!$B$61:$G$69,6,FALSE),"")</f>
        <v>0</v>
      </c>
      <c r="G487">
        <f t="shared" si="14"/>
        <v>2.9818678678678677E-2</v>
      </c>
    </row>
    <row r="488" spans="1:7" x14ac:dyDescent="0.25">
      <c r="A488" t="str">
        <f>IF(FuelPrices_!AK493="","",FuelPrices_!AK493)</f>
        <v/>
      </c>
      <c r="B488" t="str">
        <f>IF(FuelPrices_!AL493="","",FuelPrices_!AL493)</f>
        <v/>
      </c>
      <c r="C488" t="str">
        <f>IF(FuelPrices_!AM493="","",FuelPrices_!AM493)</f>
        <v/>
      </c>
      <c r="D488" t="str">
        <f>IF(FuelPrices_!AN493="","",FuelPrices_!AN493)</f>
        <v/>
      </c>
      <c r="E488" t="str">
        <f>IFERROR(VLOOKUP(A488,FuelPrices_!$B$49:$G$57,6,FALSE),"")</f>
        <v/>
      </c>
      <c r="F488" t="str">
        <f>IFERROR(VLOOKUP(A488,FuelPrices_!$B$61:$G$69,6,FALSE),"")</f>
        <v/>
      </c>
      <c r="G488" t="str">
        <f t="shared" si="14"/>
        <v/>
      </c>
    </row>
    <row r="489" spans="1:7" x14ac:dyDescent="0.25">
      <c r="A489" t="str">
        <f>IF(FuelPrices_!AK494="","",FuelPrices_!AK494)</f>
        <v/>
      </c>
      <c r="B489" t="str">
        <f>IF(FuelPrices_!AL494="","",FuelPrices_!AL494)</f>
        <v/>
      </c>
      <c r="C489" t="str">
        <f>IF(FuelPrices_!AM494="","",FuelPrices_!AM494)</f>
        <v/>
      </c>
      <c r="D489" t="str">
        <f>IF(FuelPrices_!AN494="","",FuelPrices_!AN494)</f>
        <v/>
      </c>
      <c r="E489" t="str">
        <f>IFERROR(VLOOKUP(A489,FuelPrices_!$B$49:$G$57,6,FALSE),"")</f>
        <v/>
      </c>
      <c r="F489" t="str">
        <f>IFERROR(VLOOKUP(A489,FuelPrices_!$B$61:$G$69,6,FALSE),"")</f>
        <v/>
      </c>
      <c r="G489" t="str">
        <f t="shared" si="14"/>
        <v/>
      </c>
    </row>
    <row r="490" spans="1:7" x14ac:dyDescent="0.25">
      <c r="A490" t="str">
        <f>IF(FuelPrices_!AK495="","",FuelPrices_!AK495)</f>
        <v/>
      </c>
      <c r="B490" t="str">
        <f>IF(FuelPrices_!AL495="","",FuelPrices_!AL495)</f>
        <v/>
      </c>
      <c r="C490" t="str">
        <f>IF(FuelPrices_!AM495="","",FuelPrices_!AM495)</f>
        <v/>
      </c>
      <c r="D490" t="str">
        <f>IF(FuelPrices_!AN495="","",FuelPrices_!AN495)</f>
        <v/>
      </c>
      <c r="E490" t="str">
        <f>IFERROR(VLOOKUP(A490,FuelPrices_!$B$49:$G$57,6,FALSE),"")</f>
        <v/>
      </c>
      <c r="F490" t="str">
        <f>IFERROR(VLOOKUP(A490,FuelPrices_!$B$61:$G$69,6,FALSE),"")</f>
        <v/>
      </c>
      <c r="G490" t="str">
        <f t="shared" si="14"/>
        <v/>
      </c>
    </row>
    <row r="491" spans="1:7" x14ac:dyDescent="0.25">
      <c r="A491" t="str">
        <f>IF(FuelPrices_!AK496="","",FuelPrices_!AK496)</f>
        <v/>
      </c>
      <c r="B491" t="str">
        <f>IF(FuelPrices_!AL496="","",FuelPrices_!AL496)</f>
        <v/>
      </c>
      <c r="C491" t="str">
        <f>IF(FuelPrices_!AM496="","",FuelPrices_!AM496)</f>
        <v/>
      </c>
      <c r="D491" t="str">
        <f>IF(FuelPrices_!AN496="","",FuelPrices_!AN496)</f>
        <v/>
      </c>
      <c r="E491" t="str">
        <f>IFERROR(VLOOKUP(A491,FuelPrices_!$B$49:$G$57,6,FALSE),"")</f>
        <v/>
      </c>
      <c r="F491" t="str">
        <f>IFERROR(VLOOKUP(A491,FuelPrices_!$B$61:$G$69,6,FALSE),"")</f>
        <v/>
      </c>
      <c r="G491" t="str">
        <f t="shared" si="14"/>
        <v/>
      </c>
    </row>
    <row r="492" spans="1:7" x14ac:dyDescent="0.25">
      <c r="A492" t="str">
        <f>IF(FuelPrices_!AK497="","",FuelPrices_!AK497)</f>
        <v/>
      </c>
      <c r="B492" t="str">
        <f>IF(FuelPrices_!AL497="","",FuelPrices_!AL497)</f>
        <v/>
      </c>
      <c r="C492" t="str">
        <f>IF(FuelPrices_!AM497="","",FuelPrices_!AM497)</f>
        <v/>
      </c>
      <c r="D492" t="str">
        <f>IF(FuelPrices_!AN497="","",FuelPrices_!AN497)</f>
        <v/>
      </c>
      <c r="E492" t="str">
        <f>IFERROR(VLOOKUP(A492,FuelPrices_!$B$49:$G$57,6,FALSE),"")</f>
        <v/>
      </c>
      <c r="F492" t="str">
        <f>IFERROR(VLOOKUP(A492,FuelPrices_!$B$61:$G$69,6,FALSE),"")</f>
        <v/>
      </c>
      <c r="G492" t="str">
        <f t="shared" si="14"/>
        <v/>
      </c>
    </row>
    <row r="493" spans="1:7" x14ac:dyDescent="0.25">
      <c r="A493" t="str">
        <f>IF(FuelPrices_!AK498="","",FuelPrices_!AK498)</f>
        <v/>
      </c>
      <c r="B493" t="str">
        <f>IF(FuelPrices_!AL498="","",FuelPrices_!AL498)</f>
        <v/>
      </c>
      <c r="C493" t="str">
        <f>IF(FuelPrices_!AM498="","",FuelPrices_!AM498)</f>
        <v/>
      </c>
      <c r="D493" t="str">
        <f>IF(FuelPrices_!AN498="","",FuelPrices_!AN498)</f>
        <v/>
      </c>
      <c r="E493" t="str">
        <f>IFERROR(VLOOKUP(A493,FuelPrices_!$B$49:$G$57,6,FALSE),"")</f>
        <v/>
      </c>
      <c r="F493" t="str">
        <f>IFERROR(VLOOKUP(A493,FuelPrices_!$B$61:$G$69,6,FALSE),"")</f>
        <v/>
      </c>
      <c r="G493" t="str">
        <f t="shared" si="14"/>
        <v/>
      </c>
    </row>
    <row r="494" spans="1:7" x14ac:dyDescent="0.25">
      <c r="A494" t="str">
        <f>IF(FuelPrices_!AK499="","",FuelPrices_!AK499)</f>
        <v/>
      </c>
      <c r="B494" t="str">
        <f>IF(FuelPrices_!AL499="","",FuelPrices_!AL499)</f>
        <v/>
      </c>
      <c r="C494" t="str">
        <f>IF(FuelPrices_!AM499="","",FuelPrices_!AM499)</f>
        <v/>
      </c>
      <c r="D494" t="str">
        <f>IF(FuelPrices_!AN499="","",FuelPrices_!AN499)</f>
        <v/>
      </c>
      <c r="E494" t="str">
        <f>IFERROR(VLOOKUP(A494,FuelPrices_!$B$49:$G$57,6,FALSE),"")</f>
        <v/>
      </c>
      <c r="F494" t="str">
        <f>IFERROR(VLOOKUP(A494,FuelPrices_!$B$61:$G$69,6,FALSE),"")</f>
        <v/>
      </c>
      <c r="G494" t="str">
        <f t="shared" si="14"/>
        <v/>
      </c>
    </row>
    <row r="495" spans="1:7" x14ac:dyDescent="0.25">
      <c r="A495" t="str">
        <f>IF(FuelPrices_!AK500="","",FuelPrices_!AK500)</f>
        <v/>
      </c>
      <c r="B495" t="str">
        <f>IF(FuelPrices_!AL500="","",FuelPrices_!AL500)</f>
        <v/>
      </c>
      <c r="C495" t="str">
        <f>IF(FuelPrices_!AM500="","",FuelPrices_!AM500)</f>
        <v/>
      </c>
      <c r="D495" t="str">
        <f>IF(FuelPrices_!AN500="","",FuelPrices_!AN500)</f>
        <v/>
      </c>
      <c r="E495" t="str">
        <f>IFERROR(VLOOKUP(A495,FuelPrices_!$B$49:$G$57,6,FALSE),"")</f>
        <v/>
      </c>
      <c r="F495" t="str">
        <f>IFERROR(VLOOKUP(A495,FuelPrices_!$B$61:$G$69,6,FALSE),"")</f>
        <v/>
      </c>
      <c r="G495" t="str">
        <f t="shared" si="14"/>
        <v/>
      </c>
    </row>
    <row r="496" spans="1:7" x14ac:dyDescent="0.25">
      <c r="A496" t="str">
        <f>IF(FuelPrices_!AK501="","",FuelPrices_!AK501)</f>
        <v/>
      </c>
      <c r="B496" t="str">
        <f>IF(FuelPrices_!AL501="","",FuelPrices_!AL501)</f>
        <v/>
      </c>
      <c r="C496" t="str">
        <f>IF(FuelPrices_!AM501="","",FuelPrices_!AM501)</f>
        <v/>
      </c>
      <c r="D496" t="str">
        <f>IF(FuelPrices_!AN501="","",FuelPrices_!AN501)</f>
        <v/>
      </c>
      <c r="E496" t="str">
        <f>IFERROR(VLOOKUP(A496,FuelPrices_!$B$49:$G$57,6,FALSE),"")</f>
        <v/>
      </c>
      <c r="F496" t="str">
        <f>IFERROR(VLOOKUP(A496,FuelPrices_!$B$61:$G$69,6,FALSE),"")</f>
        <v/>
      </c>
      <c r="G496" t="str">
        <f t="shared" si="14"/>
        <v/>
      </c>
    </row>
    <row r="497" spans="1:7" x14ac:dyDescent="0.25">
      <c r="A497" t="str">
        <f>IF(FuelPrices_!AK502="","",FuelPrices_!AK502)</f>
        <v/>
      </c>
      <c r="B497" t="str">
        <f>IF(FuelPrices_!AL502="","",FuelPrices_!AL502)</f>
        <v/>
      </c>
      <c r="C497" t="str">
        <f>IF(FuelPrices_!AM502="","",FuelPrices_!AM502)</f>
        <v/>
      </c>
      <c r="D497" t="str">
        <f>IF(FuelPrices_!AN502="","",FuelPrices_!AN502)</f>
        <v/>
      </c>
      <c r="E497" t="str">
        <f>IFERROR(VLOOKUP(A497,FuelPrices_!$B$49:$G$57,6,FALSE),"")</f>
        <v/>
      </c>
      <c r="F497" t="str">
        <f>IFERROR(VLOOKUP(A497,FuelPrices_!$B$61:$G$69,6,FALSE),"")</f>
        <v/>
      </c>
      <c r="G497" t="str">
        <f t="shared" si="14"/>
        <v/>
      </c>
    </row>
    <row r="498" spans="1:7" x14ac:dyDescent="0.25">
      <c r="A498" t="str">
        <f>IF(FuelPrices_!AK503="","",FuelPrices_!AK503)</f>
        <v/>
      </c>
      <c r="B498" t="str">
        <f>IF(FuelPrices_!AL503="","",FuelPrices_!AL503)</f>
        <v/>
      </c>
      <c r="C498" t="str">
        <f>IF(FuelPrices_!AM503="","",FuelPrices_!AM503)</f>
        <v/>
      </c>
      <c r="D498" t="str">
        <f>IF(FuelPrices_!AN503="","",FuelPrices_!AN503)</f>
        <v/>
      </c>
      <c r="E498" t="str">
        <f>IFERROR(VLOOKUP(A498,FuelPrices_!$B$49:$G$57,6,FALSE),"")</f>
        <v/>
      </c>
      <c r="F498" t="str">
        <f>IFERROR(VLOOKUP(A498,FuelPrices_!$B$61:$G$69,6,FALSE),"")</f>
        <v/>
      </c>
      <c r="G498" t="str">
        <f t="shared" si="14"/>
        <v/>
      </c>
    </row>
    <row r="499" spans="1:7" x14ac:dyDescent="0.25">
      <c r="A499" t="str">
        <f>IF(FuelPrices_!AK504="","",FuelPrices_!AK504)</f>
        <v/>
      </c>
      <c r="B499" t="str">
        <f>IF(FuelPrices_!AL504="","",FuelPrices_!AL504)</f>
        <v/>
      </c>
      <c r="C499" t="str">
        <f>IF(FuelPrices_!AM504="","",FuelPrices_!AM504)</f>
        <v/>
      </c>
      <c r="D499" t="str">
        <f>IF(FuelPrices_!AN504="","",FuelPrices_!AN504)</f>
        <v/>
      </c>
      <c r="E499" t="str">
        <f>IFERROR(VLOOKUP(A499,FuelPrices_!$B$49:$G$57,6,FALSE),"")</f>
        <v/>
      </c>
      <c r="F499" t="str">
        <f>IFERROR(VLOOKUP(A499,FuelPrices_!$B$61:$G$69,6,FALSE),"")</f>
        <v/>
      </c>
      <c r="G499" t="str">
        <f t="shared" si="14"/>
        <v/>
      </c>
    </row>
    <row r="500" spans="1:7" x14ac:dyDescent="0.25">
      <c r="A500" t="str">
        <f>IF(FuelPrices_!AK505="","",FuelPrices_!AK505)</f>
        <v/>
      </c>
      <c r="B500" t="str">
        <f>IF(FuelPrices_!AL505="","",FuelPrices_!AL505)</f>
        <v/>
      </c>
      <c r="C500" t="str">
        <f>IF(FuelPrices_!AM505="","",FuelPrices_!AM505)</f>
        <v/>
      </c>
      <c r="D500" t="str">
        <f>IF(FuelPrices_!AN505="","",FuelPrices_!AN505)</f>
        <v/>
      </c>
      <c r="E500" t="str">
        <f>IFERROR(VLOOKUP(A500,FuelPrices_!$B$49:$G$57,6,FALSE),"")</f>
        <v/>
      </c>
      <c r="F500" t="str">
        <f>IFERROR(VLOOKUP(A500,FuelPrices_!$B$61:$G$69,6,FALSE),"")</f>
        <v/>
      </c>
      <c r="G500" t="str">
        <f t="shared" si="14"/>
        <v/>
      </c>
    </row>
    <row r="501" spans="1:7" x14ac:dyDescent="0.25">
      <c r="A501" t="str">
        <f>IF(FuelPrices_!AK506="","",FuelPrices_!AK506)</f>
        <v/>
      </c>
      <c r="B501" t="str">
        <f>IF(FuelPrices_!AL506="","",FuelPrices_!AL506)</f>
        <v/>
      </c>
      <c r="C501" t="str">
        <f>IF(FuelPrices_!AM506="","",FuelPrices_!AM506)</f>
        <v/>
      </c>
      <c r="D501" t="str">
        <f>IF(FuelPrices_!AN506="","",FuelPrices_!AN506)</f>
        <v/>
      </c>
      <c r="E501" t="str">
        <f>IFERROR(VLOOKUP(A501,FuelPrices_!$B$49:$G$57,6,FALSE),"")</f>
        <v/>
      </c>
      <c r="F501" t="str">
        <f>IFERROR(VLOOKUP(A501,FuelPrices_!$B$61:$G$69,6,FALSE),"")</f>
        <v/>
      </c>
      <c r="G501" t="str">
        <f t="shared" si="14"/>
        <v/>
      </c>
    </row>
    <row r="502" spans="1:7" x14ac:dyDescent="0.25">
      <c r="A502" t="str">
        <f>IF(FuelPrices_!AK507="","",FuelPrices_!AK507)</f>
        <v/>
      </c>
      <c r="B502" t="str">
        <f>IF(FuelPrices_!AL507="","",FuelPrices_!AL507)</f>
        <v/>
      </c>
      <c r="C502" t="str">
        <f>IF(FuelPrices_!AM507="","",FuelPrices_!AM507)</f>
        <v/>
      </c>
      <c r="D502" t="str">
        <f>IF(FuelPrices_!AN507="","",FuelPrices_!AN507)</f>
        <v/>
      </c>
      <c r="E502" t="str">
        <f>IFERROR(VLOOKUP(A502,FuelPrices_!$B$49:$G$57,6,FALSE),"")</f>
        <v/>
      </c>
      <c r="F502" t="str">
        <f>IFERROR(VLOOKUP(A502,FuelPrices_!$B$61:$G$69,6,FALSE),"")</f>
        <v/>
      </c>
      <c r="G502" t="str">
        <f t="shared" si="14"/>
        <v/>
      </c>
    </row>
    <row r="503" spans="1:7" x14ac:dyDescent="0.25">
      <c r="A503" t="str">
        <f>IF(FuelPrices_!AK508="","",FuelPrices_!AK508)</f>
        <v/>
      </c>
      <c r="B503" t="str">
        <f>IF(FuelPrices_!AL508="","",FuelPrices_!AL508)</f>
        <v/>
      </c>
      <c r="C503" t="str">
        <f>IF(FuelPrices_!AM508="","",FuelPrices_!AM508)</f>
        <v/>
      </c>
      <c r="D503" t="str">
        <f>IF(FuelPrices_!AN508="","",FuelPrices_!AN508)</f>
        <v/>
      </c>
      <c r="E503" t="str">
        <f>IFERROR(VLOOKUP(A503,FuelPrices_!$B$49:$G$57,6,FALSE),"")</f>
        <v/>
      </c>
      <c r="F503" t="str">
        <f>IFERROR(VLOOKUP(A503,FuelPrices_!$B$61:$G$69,6,FALSE),"")</f>
        <v/>
      </c>
      <c r="G503" t="str">
        <f t="shared" si="14"/>
        <v/>
      </c>
    </row>
    <row r="504" spans="1:7" x14ac:dyDescent="0.25">
      <c r="A504" t="str">
        <f>IF(FuelPrices_!AK509="","",FuelPrices_!AK509)</f>
        <v/>
      </c>
      <c r="B504" t="str">
        <f>IF(FuelPrices_!AL509="","",FuelPrices_!AL509)</f>
        <v/>
      </c>
      <c r="C504" t="str">
        <f>IF(FuelPrices_!AM509="","",FuelPrices_!AM509)</f>
        <v/>
      </c>
      <c r="D504" t="str">
        <f>IF(FuelPrices_!AN509="","",FuelPrices_!AN509)</f>
        <v/>
      </c>
      <c r="E504" t="str">
        <f>IFERROR(VLOOKUP(A504,FuelPrices_!$B$49:$G$57,6,FALSE),"")</f>
        <v/>
      </c>
      <c r="F504" t="str">
        <f>IFERROR(VLOOKUP(A504,FuelPrices_!$B$61:$G$69,6,FALSE),"")</f>
        <v/>
      </c>
      <c r="G504" t="str">
        <f t="shared" si="14"/>
        <v/>
      </c>
    </row>
    <row r="505" spans="1:7" x14ac:dyDescent="0.25">
      <c r="A505" t="str">
        <f>IF(FuelPrices_!AK510="","",FuelPrices_!AK510)</f>
        <v/>
      </c>
      <c r="B505" t="str">
        <f>IF(FuelPrices_!AL510="","",FuelPrices_!AL510)</f>
        <v/>
      </c>
      <c r="C505" t="str">
        <f>IF(FuelPrices_!AM510="","",FuelPrices_!AM510)</f>
        <v/>
      </c>
      <c r="D505" t="str">
        <f>IF(FuelPrices_!AN510="","",FuelPrices_!AN510)</f>
        <v/>
      </c>
      <c r="E505" t="str">
        <f>IFERROR(VLOOKUP(A505,FuelPrices_!$B$49:$G$57,6,FALSE),"")</f>
        <v/>
      </c>
      <c r="F505" t="str">
        <f>IFERROR(VLOOKUP(A505,FuelPrices_!$B$61:$G$69,6,FALSE),"")</f>
        <v/>
      </c>
      <c r="G505" t="str">
        <f t="shared" si="14"/>
        <v/>
      </c>
    </row>
    <row r="506" spans="1:7" x14ac:dyDescent="0.25">
      <c r="A506" t="str">
        <f>IF(FuelPrices_!AK511="","",FuelPrices_!AK511)</f>
        <v/>
      </c>
      <c r="B506" t="str">
        <f>IF(FuelPrices_!AL511="","",FuelPrices_!AL511)</f>
        <v/>
      </c>
      <c r="C506" t="str">
        <f>IF(FuelPrices_!AM511="","",FuelPrices_!AM511)</f>
        <v/>
      </c>
      <c r="D506" t="str">
        <f>IF(FuelPrices_!AN511="","",FuelPrices_!AN511)</f>
        <v/>
      </c>
      <c r="E506" t="str">
        <f>IFERROR(VLOOKUP(A506,FuelPrices_!$B$49:$G$57,6,FALSE),"")</f>
        <v/>
      </c>
      <c r="F506" t="str">
        <f>IFERROR(VLOOKUP(A506,FuelPrices_!$B$61:$G$69,6,FALSE),"")</f>
        <v/>
      </c>
      <c r="G506" t="str">
        <f t="shared" si="14"/>
        <v/>
      </c>
    </row>
    <row r="507" spans="1:7" x14ac:dyDescent="0.25">
      <c r="A507" t="str">
        <f>IF(FuelPrices_!AK512="","",FuelPrices_!AK512)</f>
        <v/>
      </c>
      <c r="B507" t="str">
        <f>IF(FuelPrices_!AL512="","",FuelPrices_!AL512)</f>
        <v/>
      </c>
      <c r="C507" t="str">
        <f>IF(FuelPrices_!AM512="","",FuelPrices_!AM512)</f>
        <v/>
      </c>
      <c r="D507" t="str">
        <f>IF(FuelPrices_!AN512="","",FuelPrices_!AN512)</f>
        <v/>
      </c>
      <c r="E507" t="str">
        <f>IFERROR(VLOOKUP(A507,FuelPrices_!$B$49:$G$57,6,FALSE),"")</f>
        <v/>
      </c>
      <c r="F507" t="str">
        <f>IFERROR(VLOOKUP(A507,FuelPrices_!$B$61:$G$69,6,FALSE),"")</f>
        <v/>
      </c>
      <c r="G507" t="str">
        <f t="shared" si="14"/>
        <v/>
      </c>
    </row>
    <row r="508" spans="1:7" x14ac:dyDescent="0.25">
      <c r="A508" t="str">
        <f>IF(FuelPrices_!AK513="","",FuelPrices_!AK513)</f>
        <v/>
      </c>
      <c r="B508" t="str">
        <f>IF(FuelPrices_!AL513="","",FuelPrices_!AL513)</f>
        <v/>
      </c>
      <c r="C508" t="str">
        <f>IF(FuelPrices_!AM513="","",FuelPrices_!AM513)</f>
        <v/>
      </c>
      <c r="D508" t="str">
        <f>IF(FuelPrices_!AN513="","",FuelPrices_!AN513)</f>
        <v/>
      </c>
      <c r="E508" t="str">
        <f>IFERROR(VLOOKUP(A508,FuelPrices_!$B$49:$G$57,6,FALSE),"")</f>
        <v/>
      </c>
      <c r="F508" t="str">
        <f>IFERROR(VLOOKUP(A508,FuelPrices_!$B$61:$G$69,6,FALSE),"")</f>
        <v/>
      </c>
      <c r="G508" t="str">
        <f t="shared" si="14"/>
        <v/>
      </c>
    </row>
    <row r="509" spans="1:7" x14ac:dyDescent="0.25">
      <c r="A509" t="str">
        <f>IF(FuelPrices_!AK514="","",FuelPrices_!AK514)</f>
        <v/>
      </c>
      <c r="B509" t="str">
        <f>IF(FuelPrices_!AL514="","",FuelPrices_!AL514)</f>
        <v/>
      </c>
      <c r="C509" t="str">
        <f>IF(FuelPrices_!AM514="","",FuelPrices_!AM514)</f>
        <v/>
      </c>
      <c r="D509" t="str">
        <f>IF(FuelPrices_!AN514="","",FuelPrices_!AN514)</f>
        <v/>
      </c>
      <c r="E509" t="str">
        <f>IFERROR(VLOOKUP(A509,FuelPrices_!$B$49:$G$57,6,FALSE),"")</f>
        <v/>
      </c>
      <c r="F509" t="str">
        <f>IFERROR(VLOOKUP(A509,FuelPrices_!$B$61:$G$69,6,FALSE),"")</f>
        <v/>
      </c>
      <c r="G509" t="str">
        <f t="shared" si="14"/>
        <v/>
      </c>
    </row>
    <row r="510" spans="1:7" x14ac:dyDescent="0.25">
      <c r="A510" t="str">
        <f>IF(FuelPrices_!AK515="","",FuelPrices_!AK515)</f>
        <v/>
      </c>
      <c r="B510" t="str">
        <f>IF(FuelPrices_!AL515="","",FuelPrices_!AL515)</f>
        <v/>
      </c>
      <c r="C510" t="str">
        <f>IF(FuelPrices_!AM515="","",FuelPrices_!AM515)</f>
        <v/>
      </c>
      <c r="D510" t="str">
        <f>IF(FuelPrices_!AN515="","",FuelPrices_!AN515)</f>
        <v/>
      </c>
      <c r="E510" t="str">
        <f>IFERROR(VLOOKUP(A510,FuelPrices_!$B$49:$G$57,6,FALSE),"")</f>
        <v/>
      </c>
      <c r="F510" t="str">
        <f>IFERROR(VLOOKUP(A510,FuelPrices_!$B$61:$G$69,6,FALSE),"")</f>
        <v/>
      </c>
      <c r="G510" t="str">
        <f t="shared" si="14"/>
        <v/>
      </c>
    </row>
    <row r="511" spans="1:7" x14ac:dyDescent="0.25">
      <c r="A511" t="str">
        <f>IF(FuelPrices_!AK516="","",FuelPrices_!AK516)</f>
        <v/>
      </c>
      <c r="B511" t="str">
        <f>IF(FuelPrices_!AL516="","",FuelPrices_!AL516)</f>
        <v/>
      </c>
      <c r="C511" t="str">
        <f>IF(FuelPrices_!AM516="","",FuelPrices_!AM516)</f>
        <v/>
      </c>
      <c r="D511" t="str">
        <f>IF(FuelPrices_!AN516="","",FuelPrices_!AN516)</f>
        <v/>
      </c>
      <c r="E511" t="str">
        <f>IFERROR(VLOOKUP(A511,FuelPrices_!$B$49:$G$57,6,FALSE),"")</f>
        <v/>
      </c>
      <c r="F511" t="str">
        <f>IFERROR(VLOOKUP(A511,FuelPrices_!$B$61:$G$69,6,FALSE),"")</f>
        <v/>
      </c>
      <c r="G511" t="str">
        <f t="shared" si="14"/>
        <v/>
      </c>
    </row>
    <row r="512" spans="1:7" x14ac:dyDescent="0.25">
      <c r="A512" t="str">
        <f>IF(FuelPrices_!AK517="","",FuelPrices_!AK517)</f>
        <v/>
      </c>
      <c r="B512" t="str">
        <f>IF(FuelPrices_!AL517="","",FuelPrices_!AL517)</f>
        <v/>
      </c>
      <c r="C512" t="str">
        <f>IF(FuelPrices_!AM517="","",FuelPrices_!AM517)</f>
        <v/>
      </c>
      <c r="D512" t="str">
        <f>IF(FuelPrices_!AN517="","",FuelPrices_!AN517)</f>
        <v/>
      </c>
      <c r="E512" t="str">
        <f>IFERROR(VLOOKUP(A512,FuelPrices_!$B$49:$G$57,6,FALSE),"")</f>
        <v/>
      </c>
      <c r="F512" t="str">
        <f>IFERROR(VLOOKUP(A512,FuelPrices_!$B$61:$G$69,6,FALSE),"")</f>
        <v/>
      </c>
      <c r="G512" t="str">
        <f t="shared" si="14"/>
        <v/>
      </c>
    </row>
    <row r="513" spans="1:7" x14ac:dyDescent="0.25">
      <c r="A513" t="str">
        <f>IF(FuelPrices_!AK518="","",FuelPrices_!AK518)</f>
        <v/>
      </c>
      <c r="B513" t="str">
        <f>IF(FuelPrices_!AL518="","",FuelPrices_!AL518)</f>
        <v/>
      </c>
      <c r="C513" t="str">
        <f>IF(FuelPrices_!AM518="","",FuelPrices_!AM518)</f>
        <v/>
      </c>
      <c r="D513" t="str">
        <f>IF(FuelPrices_!AN518="","",FuelPrices_!AN518)</f>
        <v/>
      </c>
      <c r="E513" t="str">
        <f>IFERROR(VLOOKUP(A513,FuelPrices_!$B$49:$G$57,6,FALSE),"")</f>
        <v/>
      </c>
      <c r="F513" t="str">
        <f>IFERROR(VLOOKUP(A513,FuelPrices_!$B$61:$G$69,6,FALSE),"")</f>
        <v/>
      </c>
      <c r="G513" t="str">
        <f t="shared" si="14"/>
        <v/>
      </c>
    </row>
    <row r="514" spans="1:7" x14ac:dyDescent="0.25">
      <c r="A514" t="str">
        <f>IF(FuelPrices_!AK519="","",FuelPrices_!AK519)</f>
        <v/>
      </c>
      <c r="B514" t="str">
        <f>IF(FuelPrices_!AL519="","",FuelPrices_!AL519)</f>
        <v/>
      </c>
      <c r="C514" t="str">
        <f>IF(FuelPrices_!AM519="","",FuelPrices_!AM519)</f>
        <v/>
      </c>
      <c r="D514" t="str">
        <f>IF(FuelPrices_!AN519="","",FuelPrices_!AN519)</f>
        <v/>
      </c>
      <c r="E514" t="str">
        <f>IFERROR(VLOOKUP(A514,FuelPrices_!$B$49:$G$57,6,FALSE),"")</f>
        <v/>
      </c>
      <c r="F514" t="str">
        <f>IFERROR(VLOOKUP(A514,FuelPrices_!$B$61:$G$69,6,FALSE),"")</f>
        <v/>
      </c>
      <c r="G514" t="str">
        <f t="shared" si="14"/>
        <v/>
      </c>
    </row>
    <row r="515" spans="1:7" x14ac:dyDescent="0.25">
      <c r="A515" t="str">
        <f>IF(FuelPrices_!AK520="","",FuelPrices_!AK520)</f>
        <v/>
      </c>
      <c r="B515" t="str">
        <f>IF(FuelPrices_!AL520="","",FuelPrices_!AL520)</f>
        <v/>
      </c>
      <c r="C515" t="str">
        <f>IF(FuelPrices_!AM520="","",FuelPrices_!AM520)</f>
        <v/>
      </c>
      <c r="D515" t="str">
        <f>IF(FuelPrices_!AN520="","",FuelPrices_!AN520)</f>
        <v/>
      </c>
      <c r="E515" t="str">
        <f>IFERROR(VLOOKUP(A515,FuelPrices_!$B$49:$G$57,6,FALSE),"")</f>
        <v/>
      </c>
      <c r="F515" t="str">
        <f>IFERROR(VLOOKUP(A515,FuelPrices_!$B$61:$G$69,6,FALSE),"")</f>
        <v/>
      </c>
      <c r="G515" t="str">
        <f t="shared" si="14"/>
        <v/>
      </c>
    </row>
    <row r="516" spans="1:7" x14ac:dyDescent="0.25">
      <c r="A516" t="str">
        <f>IF(FuelPrices_!AK521="","",FuelPrices_!AK521)</f>
        <v/>
      </c>
      <c r="B516" t="str">
        <f>IF(FuelPrices_!AL521="","",FuelPrices_!AL521)</f>
        <v/>
      </c>
      <c r="C516" t="str">
        <f>IF(FuelPrices_!AM521="","",FuelPrices_!AM521)</f>
        <v/>
      </c>
      <c r="D516" t="str">
        <f>IF(FuelPrices_!AN521="","",FuelPrices_!AN521)</f>
        <v/>
      </c>
      <c r="E516" t="str">
        <f>IFERROR(VLOOKUP(A516,FuelPrices_!$B$49:$G$57,6,FALSE),"")</f>
        <v/>
      </c>
      <c r="F516" t="str">
        <f>IFERROR(VLOOKUP(A516,FuelPrices_!$B$61:$G$69,6,FALSE),"")</f>
        <v/>
      </c>
      <c r="G516" t="str">
        <f t="shared" si="14"/>
        <v/>
      </c>
    </row>
    <row r="517" spans="1:7" x14ac:dyDescent="0.25">
      <c r="A517" t="str">
        <f>IF(FuelPrices_!AK522="","",FuelPrices_!AK522)</f>
        <v/>
      </c>
      <c r="B517" t="str">
        <f>IF(FuelPrices_!AL522="","",FuelPrices_!AL522)</f>
        <v/>
      </c>
      <c r="C517" t="str">
        <f>IF(FuelPrices_!AM522="","",FuelPrices_!AM522)</f>
        <v/>
      </c>
      <c r="D517" t="str">
        <f>IF(FuelPrices_!AN522="","",FuelPrices_!AN522)</f>
        <v/>
      </c>
      <c r="E517" t="str">
        <f>IFERROR(VLOOKUP(A517,FuelPrices_!$B$49:$G$57,6,FALSE),"")</f>
        <v/>
      </c>
      <c r="F517" t="str">
        <f>IFERROR(VLOOKUP(A517,FuelPrices_!$B$61:$G$69,6,FALSE),"")</f>
        <v/>
      </c>
      <c r="G517" t="str">
        <f t="shared" si="14"/>
        <v/>
      </c>
    </row>
    <row r="518" spans="1:7" x14ac:dyDescent="0.25">
      <c r="A518" t="str">
        <f>IF(FuelPrices_!AK523="","",FuelPrices_!AK523)</f>
        <v/>
      </c>
      <c r="B518" t="str">
        <f>IF(FuelPrices_!AL523="","",FuelPrices_!AL523)</f>
        <v/>
      </c>
      <c r="C518" t="str">
        <f>IF(FuelPrices_!AM523="","",FuelPrices_!AM523)</f>
        <v/>
      </c>
      <c r="D518" t="str">
        <f>IF(FuelPrices_!AN523="","",FuelPrices_!AN523)</f>
        <v/>
      </c>
      <c r="E518" t="str">
        <f>IFERROR(VLOOKUP(A518,FuelPrices_!$B$49:$G$57,6,FALSE),"")</f>
        <v/>
      </c>
      <c r="F518" t="str">
        <f>IFERROR(VLOOKUP(A518,FuelPrices_!$B$61:$G$69,6,FALSE),"")</f>
        <v/>
      </c>
      <c r="G518" t="str">
        <f t="shared" si="14"/>
        <v/>
      </c>
    </row>
    <row r="519" spans="1:7" x14ac:dyDescent="0.25">
      <c r="A519" t="str">
        <f>IF(FuelPrices_!AK524="","",FuelPrices_!AK524)</f>
        <v/>
      </c>
      <c r="B519" t="str">
        <f>IF(FuelPrices_!AL524="","",FuelPrices_!AL524)</f>
        <v/>
      </c>
      <c r="C519" t="str">
        <f>IF(FuelPrices_!AM524="","",FuelPrices_!AM524)</f>
        <v/>
      </c>
      <c r="D519" t="str">
        <f>IF(FuelPrices_!AN524="","",FuelPrices_!AN524)</f>
        <v/>
      </c>
      <c r="E519" t="str">
        <f>IFERROR(VLOOKUP(A519,FuelPrices_!$B$49:$G$57,6,FALSE),"")</f>
        <v/>
      </c>
      <c r="F519" t="str">
        <f>IFERROR(VLOOKUP(A519,FuelPrices_!$B$61:$G$69,6,FALSE),"")</f>
        <v/>
      </c>
      <c r="G519" t="str">
        <f t="shared" si="14"/>
        <v/>
      </c>
    </row>
    <row r="520" spans="1:7" x14ac:dyDescent="0.25">
      <c r="A520" t="str">
        <f>IF(FuelPrices_!AK525="","",FuelPrices_!AK525)</f>
        <v/>
      </c>
      <c r="B520" t="str">
        <f>IF(FuelPrices_!AL525="","",FuelPrices_!AL525)</f>
        <v/>
      </c>
      <c r="C520" t="str">
        <f>IF(FuelPrices_!AM525="","",FuelPrices_!AM525)</f>
        <v/>
      </c>
      <c r="D520" t="str">
        <f>IF(FuelPrices_!AN525="","",FuelPrices_!AN525)</f>
        <v/>
      </c>
      <c r="E520" t="str">
        <f>IFERROR(VLOOKUP(A520,FuelPrices_!$B$49:$G$57,6,FALSE),"")</f>
        <v/>
      </c>
      <c r="F520" t="str">
        <f>IFERROR(VLOOKUP(A520,FuelPrices_!$B$61:$G$69,6,FALSE),"")</f>
        <v/>
      </c>
      <c r="G520" t="str">
        <f t="shared" si="14"/>
        <v/>
      </c>
    </row>
    <row r="521" spans="1:7" x14ac:dyDescent="0.25">
      <c r="A521" t="str">
        <f>IF(FuelPrices_!AK526="","",FuelPrices_!AK526)</f>
        <v/>
      </c>
      <c r="B521" t="str">
        <f>IF(FuelPrices_!AL526="","",FuelPrices_!AL526)</f>
        <v/>
      </c>
      <c r="C521" t="str">
        <f>IF(FuelPrices_!AM526="","",FuelPrices_!AM526)</f>
        <v/>
      </c>
      <c r="D521" t="str">
        <f>IF(FuelPrices_!AN526="","",FuelPrices_!AN526)</f>
        <v/>
      </c>
      <c r="E521" t="str">
        <f>IFERROR(VLOOKUP(A521,FuelPrices_!$B$49:$G$57,6,FALSE),"")</f>
        <v/>
      </c>
      <c r="F521" t="str">
        <f>IFERROR(VLOOKUP(A521,FuelPrices_!$B$61:$G$69,6,FALSE),"")</f>
        <v/>
      </c>
      <c r="G521" t="str">
        <f t="shared" si="14"/>
        <v/>
      </c>
    </row>
    <row r="522" spans="1:7" x14ac:dyDescent="0.25">
      <c r="A522" t="str">
        <f>IF(FuelPrices_!AK527="","",FuelPrices_!AK527)</f>
        <v/>
      </c>
      <c r="B522" t="str">
        <f>IF(FuelPrices_!AL527="","",FuelPrices_!AL527)</f>
        <v/>
      </c>
      <c r="C522" t="str">
        <f>IF(FuelPrices_!AM527="","",FuelPrices_!AM527)</f>
        <v/>
      </c>
      <c r="D522" t="str">
        <f>IF(FuelPrices_!AN527="","",FuelPrices_!AN527)</f>
        <v/>
      </c>
      <c r="E522" t="str">
        <f>IFERROR(VLOOKUP(A522,FuelPrices_!$B$49:$G$57,6,FALSE),"")</f>
        <v/>
      </c>
      <c r="F522" t="str">
        <f>IFERROR(VLOOKUP(A522,FuelPrices_!$B$61:$G$69,6,FALSE),"")</f>
        <v/>
      </c>
      <c r="G522" t="str">
        <f t="shared" si="14"/>
        <v/>
      </c>
    </row>
    <row r="523" spans="1:7" x14ac:dyDescent="0.25">
      <c r="A523" t="str">
        <f>IF(FuelPrices_!AK528="","",FuelPrices_!AK528)</f>
        <v/>
      </c>
      <c r="B523" t="str">
        <f>IF(FuelPrices_!AL528="","",FuelPrices_!AL528)</f>
        <v/>
      </c>
      <c r="C523" t="str">
        <f>IF(FuelPrices_!AM528="","",FuelPrices_!AM528)</f>
        <v/>
      </c>
      <c r="D523" t="str">
        <f>IF(FuelPrices_!AN528="","",FuelPrices_!AN528)</f>
        <v/>
      </c>
      <c r="E523" t="str">
        <f>IFERROR(VLOOKUP(A523,FuelPrices_!$B$49:$G$57,6,FALSE),"")</f>
        <v/>
      </c>
      <c r="F523" t="str">
        <f>IFERROR(VLOOKUP(A523,FuelPrices_!$B$61:$G$69,6,FALSE),"")</f>
        <v/>
      </c>
      <c r="G523" t="str">
        <f t="shared" si="14"/>
        <v/>
      </c>
    </row>
    <row r="524" spans="1:7" x14ac:dyDescent="0.25">
      <c r="A524" t="str">
        <f>IF(FuelPrices_!AK529="","",FuelPrices_!AK529)</f>
        <v/>
      </c>
      <c r="B524" t="str">
        <f>IF(FuelPrices_!AL529="","",FuelPrices_!AL529)</f>
        <v/>
      </c>
      <c r="C524" t="str">
        <f>IF(FuelPrices_!AM529="","",FuelPrices_!AM529)</f>
        <v/>
      </c>
      <c r="D524" t="str">
        <f>IF(FuelPrices_!AN529="","",FuelPrices_!AN529)</f>
        <v/>
      </c>
      <c r="E524" t="str">
        <f>IFERROR(VLOOKUP(A524,FuelPrices_!$B$49:$G$57,6,FALSE),"")</f>
        <v/>
      </c>
      <c r="F524" t="str">
        <f>IFERROR(VLOOKUP(A524,FuelPrices_!$B$61:$G$69,6,FALSE),"")</f>
        <v/>
      </c>
      <c r="G524" t="str">
        <f t="shared" si="14"/>
        <v/>
      </c>
    </row>
    <row r="525" spans="1:7" x14ac:dyDescent="0.25">
      <c r="A525" t="str">
        <f>IF(FuelPrices_!AK530="","",FuelPrices_!AK530)</f>
        <v/>
      </c>
      <c r="B525" t="str">
        <f>IF(FuelPrices_!AL530="","",FuelPrices_!AL530)</f>
        <v/>
      </c>
      <c r="C525" t="str">
        <f>IF(FuelPrices_!AM530="","",FuelPrices_!AM530)</f>
        <v/>
      </c>
      <c r="D525" t="str">
        <f>IF(FuelPrices_!AN530="","",FuelPrices_!AN530)</f>
        <v/>
      </c>
      <c r="E525" t="str">
        <f>IFERROR(VLOOKUP(A525,FuelPrices_!$B$49:$G$57,6,FALSE),"")</f>
        <v/>
      </c>
      <c r="F525" t="str">
        <f>IFERROR(VLOOKUP(A525,FuelPrices_!$B$61:$G$69,6,FALSE),"")</f>
        <v/>
      </c>
      <c r="G525" t="str">
        <f t="shared" si="14"/>
        <v/>
      </c>
    </row>
    <row r="526" spans="1:7" x14ac:dyDescent="0.25">
      <c r="A526" t="str">
        <f>IF(FuelPrices_!AK531="","",FuelPrices_!AK531)</f>
        <v/>
      </c>
      <c r="B526" t="str">
        <f>IF(FuelPrices_!AL531="","",FuelPrices_!AL531)</f>
        <v/>
      </c>
      <c r="C526" t="str">
        <f>IF(FuelPrices_!AM531="","",FuelPrices_!AM531)</f>
        <v/>
      </c>
      <c r="D526" t="str">
        <f>IF(FuelPrices_!AN531="","",FuelPrices_!AN531)</f>
        <v/>
      </c>
      <c r="E526" t="str">
        <f>IFERROR(VLOOKUP(A526,FuelPrices_!$B$49:$G$57,6,FALSE),"")</f>
        <v/>
      </c>
      <c r="F526" t="str">
        <f>IFERROR(VLOOKUP(A526,FuelPrices_!$B$61:$G$69,6,FALSE),"")</f>
        <v/>
      </c>
      <c r="G526" t="str">
        <f t="shared" si="14"/>
        <v/>
      </c>
    </row>
    <row r="527" spans="1:7" x14ac:dyDescent="0.25">
      <c r="A527" t="str">
        <f>IF(FuelPrices_!AK532="","",FuelPrices_!AK532)</f>
        <v/>
      </c>
      <c r="B527" t="str">
        <f>IF(FuelPrices_!AL532="","",FuelPrices_!AL532)</f>
        <v/>
      </c>
      <c r="C527" t="str">
        <f>IF(FuelPrices_!AM532="","",FuelPrices_!AM532)</f>
        <v/>
      </c>
      <c r="D527" t="str">
        <f>IF(FuelPrices_!AN532="","",FuelPrices_!AN532)</f>
        <v/>
      </c>
      <c r="E527" t="str">
        <f>IFERROR(VLOOKUP(A527,FuelPrices_!$B$49:$G$57,6,FALSE),"")</f>
        <v/>
      </c>
      <c r="F527" t="str">
        <f>IFERROR(VLOOKUP(A527,FuelPrices_!$B$61:$G$69,6,FALSE),"")</f>
        <v/>
      </c>
      <c r="G527" t="str">
        <f t="shared" si="14"/>
        <v/>
      </c>
    </row>
    <row r="528" spans="1:7" x14ac:dyDescent="0.25">
      <c r="A528" t="str">
        <f>IF(FuelPrices_!AK533="","",FuelPrices_!AK533)</f>
        <v/>
      </c>
      <c r="B528" t="str">
        <f>IF(FuelPrices_!AL533="","",FuelPrices_!AL533)</f>
        <v/>
      </c>
      <c r="C528" t="str">
        <f>IF(FuelPrices_!AM533="","",FuelPrices_!AM533)</f>
        <v/>
      </c>
      <c r="D528" t="str">
        <f>IF(FuelPrices_!AN533="","",FuelPrices_!AN533)</f>
        <v/>
      </c>
      <c r="E528" t="str">
        <f>IFERROR(VLOOKUP(A528,FuelPrices_!$B$49:$G$57,6,FALSE),"")</f>
        <v/>
      </c>
      <c r="F528" t="str">
        <f>IFERROR(VLOOKUP(A528,FuelPrices_!$B$61:$G$69,6,FALSE),"")</f>
        <v/>
      </c>
      <c r="G528" t="str">
        <f t="shared" si="14"/>
        <v/>
      </c>
    </row>
    <row r="529" spans="1:7" x14ac:dyDescent="0.25">
      <c r="A529" t="str">
        <f>IF(FuelPrices_!AK534="","",FuelPrices_!AK534)</f>
        <v/>
      </c>
      <c r="B529" t="str">
        <f>IF(FuelPrices_!AL534="","",FuelPrices_!AL534)</f>
        <v/>
      </c>
      <c r="C529" t="str">
        <f>IF(FuelPrices_!AM534="","",FuelPrices_!AM534)</f>
        <v/>
      </c>
      <c r="D529" t="str">
        <f>IF(FuelPrices_!AN534="","",FuelPrices_!AN534)</f>
        <v/>
      </c>
      <c r="E529" t="str">
        <f>IFERROR(VLOOKUP(A529,FuelPrices_!$B$49:$G$57,6,FALSE),"")</f>
        <v/>
      </c>
      <c r="F529" t="str">
        <f>IFERROR(VLOOKUP(A529,FuelPrices_!$B$61:$G$69,6,FALSE),"")</f>
        <v/>
      </c>
      <c r="G529" t="str">
        <f t="shared" si="14"/>
        <v/>
      </c>
    </row>
    <row r="530" spans="1:7" x14ac:dyDescent="0.25">
      <c r="A530" t="str">
        <f>IF(FuelPrices_!AK535="","",FuelPrices_!AK535)</f>
        <v/>
      </c>
      <c r="B530" t="str">
        <f>IF(FuelPrices_!AL535="","",FuelPrices_!AL535)</f>
        <v/>
      </c>
      <c r="C530" t="str">
        <f>IF(FuelPrices_!AM535="","",FuelPrices_!AM535)</f>
        <v/>
      </c>
      <c r="D530" t="str">
        <f>IF(FuelPrices_!AN535="","",FuelPrices_!AN535)</f>
        <v/>
      </c>
      <c r="E530" t="str">
        <f>IFERROR(VLOOKUP(A530,FuelPrices_!$B$49:$G$57,6,FALSE),"")</f>
        <v/>
      </c>
      <c r="F530" t="str">
        <f>IFERROR(VLOOKUP(A530,FuelPrices_!$B$61:$G$69,6,FALSE),"")</f>
        <v/>
      </c>
      <c r="G530" t="str">
        <f t="shared" si="14"/>
        <v/>
      </c>
    </row>
    <row r="531" spans="1:7" x14ac:dyDescent="0.25">
      <c r="A531" t="str">
        <f>IF(FuelPrices_!AK536="","",FuelPrices_!AK536)</f>
        <v/>
      </c>
      <c r="B531" t="str">
        <f>IF(FuelPrices_!AL536="","",FuelPrices_!AL536)</f>
        <v/>
      </c>
      <c r="C531" t="str">
        <f>IF(FuelPrices_!AM536="","",FuelPrices_!AM536)</f>
        <v/>
      </c>
      <c r="D531" t="str">
        <f>IF(FuelPrices_!AN536="","",FuelPrices_!AN536)</f>
        <v/>
      </c>
      <c r="E531" t="str">
        <f>IFERROR(VLOOKUP(A531,FuelPrices_!$B$49:$G$57,6,FALSE),"")</f>
        <v/>
      </c>
      <c r="F531" t="str">
        <f>IFERROR(VLOOKUP(A531,FuelPrices_!$B$61:$G$69,6,FALSE),"")</f>
        <v/>
      </c>
      <c r="G531" t="str">
        <f t="shared" si="14"/>
        <v/>
      </c>
    </row>
    <row r="532" spans="1:7" x14ac:dyDescent="0.25">
      <c r="A532" t="str">
        <f>IF(FuelPrices_!AK537="","",FuelPrices_!AK537)</f>
        <v/>
      </c>
      <c r="B532" t="str">
        <f>IF(FuelPrices_!AL537="","",FuelPrices_!AL537)</f>
        <v/>
      </c>
      <c r="C532" t="str">
        <f>IF(FuelPrices_!AM537="","",FuelPrices_!AM537)</f>
        <v/>
      </c>
      <c r="D532" t="str">
        <f>IF(FuelPrices_!AN537="","",FuelPrices_!AN537)</f>
        <v/>
      </c>
      <c r="E532" t="str">
        <f>IFERROR(VLOOKUP(A532,FuelPrices_!$B$49:$G$57,6,FALSE),"")</f>
        <v/>
      </c>
      <c r="F532" t="str">
        <f>IFERROR(VLOOKUP(A532,FuelPrices_!$B$61:$G$69,6,FALSE),"")</f>
        <v/>
      </c>
      <c r="G532" t="str">
        <f t="shared" si="14"/>
        <v/>
      </c>
    </row>
    <row r="533" spans="1:7" x14ac:dyDescent="0.25">
      <c r="A533" t="str">
        <f>IF(FuelPrices_!AK538="","",FuelPrices_!AK538)</f>
        <v/>
      </c>
      <c r="B533" t="str">
        <f>IF(FuelPrices_!AL538="","",FuelPrices_!AL538)</f>
        <v/>
      </c>
      <c r="C533" t="str">
        <f>IF(FuelPrices_!AM538="","",FuelPrices_!AM538)</f>
        <v/>
      </c>
      <c r="D533" t="str">
        <f>IF(FuelPrices_!AN538="","",FuelPrices_!AN538)</f>
        <v/>
      </c>
      <c r="E533" t="str">
        <f>IFERROR(VLOOKUP(A533,FuelPrices_!$B$49:$G$57,6,FALSE),"")</f>
        <v/>
      </c>
      <c r="F533" t="str">
        <f>IFERROR(VLOOKUP(A533,FuelPrices_!$B$61:$G$69,6,FALSE),"")</f>
        <v/>
      </c>
      <c r="G533" t="str">
        <f t="shared" si="14"/>
        <v/>
      </c>
    </row>
    <row r="534" spans="1:7" x14ac:dyDescent="0.25">
      <c r="A534" t="str">
        <f>IF(FuelPrices_!AK539="","",FuelPrices_!AK539)</f>
        <v/>
      </c>
      <c r="B534" t="str">
        <f>IF(FuelPrices_!AL539="","",FuelPrices_!AL539)</f>
        <v/>
      </c>
      <c r="C534" t="str">
        <f>IF(FuelPrices_!AM539="","",FuelPrices_!AM539)</f>
        <v/>
      </c>
      <c r="D534" t="str">
        <f>IF(FuelPrices_!AN539="","",FuelPrices_!AN539)</f>
        <v/>
      </c>
      <c r="E534" t="str">
        <f>IFERROR(VLOOKUP(A534,FuelPrices_!$B$49:$G$57,6,FALSE),"")</f>
        <v/>
      </c>
      <c r="F534" t="str">
        <f>IFERROR(VLOOKUP(A534,FuelPrices_!$B$61:$G$69,6,FALSE),"")</f>
        <v/>
      </c>
      <c r="G534" t="str">
        <f t="shared" si="14"/>
        <v/>
      </c>
    </row>
    <row r="535" spans="1:7" x14ac:dyDescent="0.25">
      <c r="A535" t="str">
        <f>IF(FuelPrices_!AK540="","",FuelPrices_!AK540)</f>
        <v/>
      </c>
      <c r="B535" t="str">
        <f>IF(FuelPrices_!AL540="","",FuelPrices_!AL540)</f>
        <v/>
      </c>
      <c r="C535" t="str">
        <f>IF(FuelPrices_!AM540="","",FuelPrices_!AM540)</f>
        <v/>
      </c>
      <c r="D535" t="str">
        <f>IF(FuelPrices_!AN540="","",FuelPrices_!AN540)</f>
        <v/>
      </c>
      <c r="E535" t="str">
        <f>IFERROR(VLOOKUP(A535,FuelPrices_!$B$49:$G$57,6,FALSE),"")</f>
        <v/>
      </c>
      <c r="F535" t="str">
        <f>IFERROR(VLOOKUP(A535,FuelPrices_!$B$61:$G$69,6,FALSE),"")</f>
        <v/>
      </c>
      <c r="G535" t="str">
        <f t="shared" ref="G535:G598" si="15">IFERROR(D535+E535+F535,"")</f>
        <v/>
      </c>
    </row>
    <row r="536" spans="1:7" x14ac:dyDescent="0.25">
      <c r="A536" t="str">
        <f>IF(FuelPrices_!AK541="","",FuelPrices_!AK541)</f>
        <v/>
      </c>
      <c r="B536" t="str">
        <f>IF(FuelPrices_!AL541="","",FuelPrices_!AL541)</f>
        <v/>
      </c>
      <c r="C536" t="str">
        <f>IF(FuelPrices_!AM541="","",FuelPrices_!AM541)</f>
        <v/>
      </c>
      <c r="D536" t="str">
        <f>IF(FuelPrices_!AN541="","",FuelPrices_!AN541)</f>
        <v/>
      </c>
      <c r="E536" t="str">
        <f>IFERROR(VLOOKUP(A536,FuelPrices_!$B$49:$G$57,6,FALSE),"")</f>
        <v/>
      </c>
      <c r="F536" t="str">
        <f>IFERROR(VLOOKUP(A536,FuelPrices_!$B$61:$G$69,6,FALSE),"")</f>
        <v/>
      </c>
      <c r="G536" t="str">
        <f t="shared" si="15"/>
        <v/>
      </c>
    </row>
    <row r="537" spans="1:7" x14ac:dyDescent="0.25">
      <c r="A537" t="str">
        <f>IF(FuelPrices_!AK542="","",FuelPrices_!AK542)</f>
        <v/>
      </c>
      <c r="B537" t="str">
        <f>IF(FuelPrices_!AL542="","",FuelPrices_!AL542)</f>
        <v/>
      </c>
      <c r="C537" t="str">
        <f>IF(FuelPrices_!AM542="","",FuelPrices_!AM542)</f>
        <v/>
      </c>
      <c r="D537" t="str">
        <f>IF(FuelPrices_!AN542="","",FuelPrices_!AN542)</f>
        <v/>
      </c>
      <c r="E537" t="str">
        <f>IFERROR(VLOOKUP(A537,FuelPrices_!$B$49:$G$57,6,FALSE),"")</f>
        <v/>
      </c>
      <c r="F537" t="str">
        <f>IFERROR(VLOOKUP(A537,FuelPrices_!$B$61:$G$69,6,FALSE),"")</f>
        <v/>
      </c>
      <c r="G537" t="str">
        <f t="shared" si="15"/>
        <v/>
      </c>
    </row>
    <row r="538" spans="1:7" x14ac:dyDescent="0.25">
      <c r="A538" t="str">
        <f>IF(FuelPrices_!AK543="","",FuelPrices_!AK543)</f>
        <v/>
      </c>
      <c r="B538" t="str">
        <f>IF(FuelPrices_!AL543="","",FuelPrices_!AL543)</f>
        <v/>
      </c>
      <c r="C538" t="str">
        <f>IF(FuelPrices_!AM543="","",FuelPrices_!AM543)</f>
        <v/>
      </c>
      <c r="D538" t="str">
        <f>IF(FuelPrices_!AN543="","",FuelPrices_!AN543)</f>
        <v/>
      </c>
      <c r="E538" t="str">
        <f>IFERROR(VLOOKUP(A538,FuelPrices_!$B$49:$G$57,6,FALSE),"")</f>
        <v/>
      </c>
      <c r="F538" t="str">
        <f>IFERROR(VLOOKUP(A538,FuelPrices_!$B$61:$G$69,6,FALSE),"")</f>
        <v/>
      </c>
      <c r="G538" t="str">
        <f t="shared" si="15"/>
        <v/>
      </c>
    </row>
    <row r="539" spans="1:7" x14ac:dyDescent="0.25">
      <c r="A539" t="str">
        <f>IF(FuelPrices_!AK544="","",FuelPrices_!AK544)</f>
        <v/>
      </c>
      <c r="B539" t="str">
        <f>IF(FuelPrices_!AL544="","",FuelPrices_!AL544)</f>
        <v/>
      </c>
      <c r="C539" t="str">
        <f>IF(FuelPrices_!AM544="","",FuelPrices_!AM544)</f>
        <v/>
      </c>
      <c r="D539" t="str">
        <f>IF(FuelPrices_!AN544="","",FuelPrices_!AN544)</f>
        <v/>
      </c>
      <c r="E539" t="str">
        <f>IFERROR(VLOOKUP(A539,FuelPrices_!$B$49:$G$57,6,FALSE),"")</f>
        <v/>
      </c>
      <c r="F539" t="str">
        <f>IFERROR(VLOOKUP(A539,FuelPrices_!$B$61:$G$69,6,FALSE),"")</f>
        <v/>
      </c>
      <c r="G539" t="str">
        <f t="shared" si="15"/>
        <v/>
      </c>
    </row>
    <row r="540" spans="1:7" x14ac:dyDescent="0.25">
      <c r="A540" t="str">
        <f>IF(FuelPrices_!AK545="","",FuelPrices_!AK545)</f>
        <v/>
      </c>
      <c r="B540" t="str">
        <f>IF(FuelPrices_!AL545="","",FuelPrices_!AL545)</f>
        <v/>
      </c>
      <c r="C540" t="str">
        <f>IF(FuelPrices_!AM545="","",FuelPrices_!AM545)</f>
        <v/>
      </c>
      <c r="D540" t="str">
        <f>IF(FuelPrices_!AN545="","",FuelPrices_!AN545)</f>
        <v/>
      </c>
      <c r="E540" t="str">
        <f>IFERROR(VLOOKUP(A540,FuelPrices_!$B$49:$G$57,6,FALSE),"")</f>
        <v/>
      </c>
      <c r="F540" t="str">
        <f>IFERROR(VLOOKUP(A540,FuelPrices_!$B$61:$G$69,6,FALSE),"")</f>
        <v/>
      </c>
      <c r="G540" t="str">
        <f t="shared" si="15"/>
        <v/>
      </c>
    </row>
    <row r="541" spans="1:7" x14ac:dyDescent="0.25">
      <c r="A541" t="str">
        <f>IF(FuelPrices_!AK546="","",FuelPrices_!AK546)</f>
        <v/>
      </c>
      <c r="B541" t="str">
        <f>IF(FuelPrices_!AL546="","",FuelPrices_!AL546)</f>
        <v/>
      </c>
      <c r="C541" t="str">
        <f>IF(FuelPrices_!AM546="","",FuelPrices_!AM546)</f>
        <v/>
      </c>
      <c r="D541" t="str">
        <f>IF(FuelPrices_!AN546="","",FuelPrices_!AN546)</f>
        <v/>
      </c>
      <c r="E541" t="str">
        <f>IFERROR(VLOOKUP(A541,FuelPrices_!$B$49:$G$57,6,FALSE),"")</f>
        <v/>
      </c>
      <c r="F541" t="str">
        <f>IFERROR(VLOOKUP(A541,FuelPrices_!$B$61:$G$69,6,FALSE),"")</f>
        <v/>
      </c>
      <c r="G541" t="str">
        <f t="shared" si="15"/>
        <v/>
      </c>
    </row>
    <row r="542" spans="1:7" x14ac:dyDescent="0.25">
      <c r="A542" t="str">
        <f>IF(FuelPrices_!AK547="","",FuelPrices_!AK547)</f>
        <v/>
      </c>
      <c r="B542" t="str">
        <f>IF(FuelPrices_!AL547="","",FuelPrices_!AL547)</f>
        <v/>
      </c>
      <c r="C542" t="str">
        <f>IF(FuelPrices_!AM547="","",FuelPrices_!AM547)</f>
        <v/>
      </c>
      <c r="D542" t="str">
        <f>IF(FuelPrices_!AN547="","",FuelPrices_!AN547)</f>
        <v/>
      </c>
      <c r="E542" t="str">
        <f>IFERROR(VLOOKUP(A542,FuelPrices_!$B$49:$G$57,6,FALSE),"")</f>
        <v/>
      </c>
      <c r="F542" t="str">
        <f>IFERROR(VLOOKUP(A542,FuelPrices_!$B$61:$G$69,6,FALSE),"")</f>
        <v/>
      </c>
      <c r="G542" t="str">
        <f t="shared" si="15"/>
        <v/>
      </c>
    </row>
    <row r="543" spans="1:7" x14ac:dyDescent="0.25">
      <c r="A543" t="str">
        <f>IF(FuelPrices_!AK548="","",FuelPrices_!AK548)</f>
        <v/>
      </c>
      <c r="B543" t="str">
        <f>IF(FuelPrices_!AL548="","",FuelPrices_!AL548)</f>
        <v/>
      </c>
      <c r="C543" t="str">
        <f>IF(FuelPrices_!AM548="","",FuelPrices_!AM548)</f>
        <v/>
      </c>
      <c r="D543" t="str">
        <f>IF(FuelPrices_!AN548="","",FuelPrices_!AN548)</f>
        <v/>
      </c>
      <c r="E543" t="str">
        <f>IFERROR(VLOOKUP(A543,FuelPrices_!$B$49:$G$57,6,FALSE),"")</f>
        <v/>
      </c>
      <c r="F543" t="str">
        <f>IFERROR(VLOOKUP(A543,FuelPrices_!$B$61:$G$69,6,FALSE),"")</f>
        <v/>
      </c>
      <c r="G543" t="str">
        <f t="shared" si="15"/>
        <v/>
      </c>
    </row>
    <row r="544" spans="1:7" x14ac:dyDescent="0.25">
      <c r="A544" t="str">
        <f>IF(FuelPrices_!AK549="","",FuelPrices_!AK549)</f>
        <v/>
      </c>
      <c r="B544" t="str">
        <f>IF(FuelPrices_!AL549="","",FuelPrices_!AL549)</f>
        <v/>
      </c>
      <c r="C544" t="str">
        <f>IF(FuelPrices_!AM549="","",FuelPrices_!AM549)</f>
        <v/>
      </c>
      <c r="D544" t="str">
        <f>IF(FuelPrices_!AN549="","",FuelPrices_!AN549)</f>
        <v/>
      </c>
      <c r="E544" t="str">
        <f>IFERROR(VLOOKUP(A544,FuelPrices_!$B$49:$G$57,6,FALSE),"")</f>
        <v/>
      </c>
      <c r="F544" t="str">
        <f>IFERROR(VLOOKUP(A544,FuelPrices_!$B$61:$G$69,6,FALSE),"")</f>
        <v/>
      </c>
      <c r="G544" t="str">
        <f t="shared" si="15"/>
        <v/>
      </c>
    </row>
    <row r="545" spans="1:7" x14ac:dyDescent="0.25">
      <c r="A545" t="str">
        <f>IF(FuelPrices_!AK550="","",FuelPrices_!AK550)</f>
        <v/>
      </c>
      <c r="B545" t="str">
        <f>IF(FuelPrices_!AL550="","",FuelPrices_!AL550)</f>
        <v/>
      </c>
      <c r="C545" t="str">
        <f>IF(FuelPrices_!AM550="","",FuelPrices_!AM550)</f>
        <v/>
      </c>
      <c r="D545" t="str">
        <f>IF(FuelPrices_!AN550="","",FuelPrices_!AN550)</f>
        <v/>
      </c>
      <c r="E545" t="str">
        <f>IFERROR(VLOOKUP(A545,FuelPrices_!$B$49:$G$57,6,FALSE),"")</f>
        <v/>
      </c>
      <c r="F545" t="str">
        <f>IFERROR(VLOOKUP(A545,FuelPrices_!$B$61:$G$69,6,FALSE),"")</f>
        <v/>
      </c>
      <c r="G545" t="str">
        <f t="shared" si="15"/>
        <v/>
      </c>
    </row>
    <row r="546" spans="1:7" x14ac:dyDescent="0.25">
      <c r="A546" t="str">
        <f>IF(FuelPrices_!AK551="","",FuelPrices_!AK551)</f>
        <v/>
      </c>
      <c r="B546" t="str">
        <f>IF(FuelPrices_!AL551="","",FuelPrices_!AL551)</f>
        <v/>
      </c>
      <c r="C546" t="str">
        <f>IF(FuelPrices_!AM551="","",FuelPrices_!AM551)</f>
        <v/>
      </c>
      <c r="D546" t="str">
        <f>IF(FuelPrices_!AN551="","",FuelPrices_!AN551)</f>
        <v/>
      </c>
      <c r="E546" t="str">
        <f>IFERROR(VLOOKUP(A546,FuelPrices_!$B$49:$G$57,6,FALSE),"")</f>
        <v/>
      </c>
      <c r="F546" t="str">
        <f>IFERROR(VLOOKUP(A546,FuelPrices_!$B$61:$G$69,6,FALSE),"")</f>
        <v/>
      </c>
      <c r="G546" t="str">
        <f t="shared" si="15"/>
        <v/>
      </c>
    </row>
    <row r="547" spans="1:7" x14ac:dyDescent="0.25">
      <c r="A547" t="str">
        <f>IF(FuelPrices_!AK552="","",FuelPrices_!AK552)</f>
        <v/>
      </c>
      <c r="B547" t="str">
        <f>IF(FuelPrices_!AL552="","",FuelPrices_!AL552)</f>
        <v/>
      </c>
      <c r="C547" t="str">
        <f>IF(FuelPrices_!AM552="","",FuelPrices_!AM552)</f>
        <v/>
      </c>
      <c r="D547" t="str">
        <f>IF(FuelPrices_!AN552="","",FuelPrices_!AN552)</f>
        <v/>
      </c>
      <c r="E547" t="str">
        <f>IFERROR(VLOOKUP(A547,FuelPrices_!$B$49:$G$57,6,FALSE),"")</f>
        <v/>
      </c>
      <c r="F547" t="str">
        <f>IFERROR(VLOOKUP(A547,FuelPrices_!$B$61:$G$69,6,FALSE),"")</f>
        <v/>
      </c>
      <c r="G547" t="str">
        <f t="shared" si="15"/>
        <v/>
      </c>
    </row>
    <row r="548" spans="1:7" x14ac:dyDescent="0.25">
      <c r="A548" t="str">
        <f>IF(FuelPrices_!AK553="","",FuelPrices_!AK553)</f>
        <v/>
      </c>
      <c r="B548" t="str">
        <f>IF(FuelPrices_!AL553="","",FuelPrices_!AL553)</f>
        <v/>
      </c>
      <c r="C548" t="str">
        <f>IF(FuelPrices_!AM553="","",FuelPrices_!AM553)</f>
        <v/>
      </c>
      <c r="D548" t="str">
        <f>IF(FuelPrices_!AN553="","",FuelPrices_!AN553)</f>
        <v/>
      </c>
      <c r="E548" t="str">
        <f>IFERROR(VLOOKUP(A548,FuelPrices_!$B$49:$G$57,6,FALSE),"")</f>
        <v/>
      </c>
      <c r="F548" t="str">
        <f>IFERROR(VLOOKUP(A548,FuelPrices_!$B$61:$G$69,6,FALSE),"")</f>
        <v/>
      </c>
      <c r="G548" t="str">
        <f t="shared" si="15"/>
        <v/>
      </c>
    </row>
    <row r="549" spans="1:7" x14ac:dyDescent="0.25">
      <c r="A549" t="str">
        <f>IF(FuelPrices_!AK554="","",FuelPrices_!AK554)</f>
        <v/>
      </c>
      <c r="B549" t="str">
        <f>IF(FuelPrices_!AL554="","",FuelPrices_!AL554)</f>
        <v/>
      </c>
      <c r="C549" t="str">
        <f>IF(FuelPrices_!AM554="","",FuelPrices_!AM554)</f>
        <v/>
      </c>
      <c r="D549" t="str">
        <f>IF(FuelPrices_!AN554="","",FuelPrices_!AN554)</f>
        <v/>
      </c>
      <c r="E549" t="str">
        <f>IFERROR(VLOOKUP(A549,FuelPrices_!$B$49:$G$57,6,FALSE),"")</f>
        <v/>
      </c>
      <c r="F549" t="str">
        <f>IFERROR(VLOOKUP(A549,FuelPrices_!$B$61:$G$69,6,FALSE),"")</f>
        <v/>
      </c>
      <c r="G549" t="str">
        <f t="shared" si="15"/>
        <v/>
      </c>
    </row>
    <row r="550" spans="1:7" x14ac:dyDescent="0.25">
      <c r="A550" t="str">
        <f>IF(FuelPrices_!AK555="","",FuelPrices_!AK555)</f>
        <v/>
      </c>
      <c r="B550" t="str">
        <f>IF(FuelPrices_!AL555="","",FuelPrices_!AL555)</f>
        <v/>
      </c>
      <c r="C550" t="str">
        <f>IF(FuelPrices_!AM555="","",FuelPrices_!AM555)</f>
        <v/>
      </c>
      <c r="D550" t="str">
        <f>IF(FuelPrices_!AN555="","",FuelPrices_!AN555)</f>
        <v/>
      </c>
      <c r="E550" t="str">
        <f>IFERROR(VLOOKUP(A550,FuelPrices_!$B$49:$G$57,6,FALSE),"")</f>
        <v/>
      </c>
      <c r="F550" t="str">
        <f>IFERROR(VLOOKUP(A550,FuelPrices_!$B$61:$G$69,6,FALSE),"")</f>
        <v/>
      </c>
      <c r="G550" t="str">
        <f t="shared" si="15"/>
        <v/>
      </c>
    </row>
    <row r="551" spans="1:7" x14ac:dyDescent="0.25">
      <c r="A551" t="str">
        <f>IF(FuelPrices_!AK556="","",FuelPrices_!AK556)</f>
        <v/>
      </c>
      <c r="B551" t="str">
        <f>IF(FuelPrices_!AL556="","",FuelPrices_!AL556)</f>
        <v/>
      </c>
      <c r="C551" t="str">
        <f>IF(FuelPrices_!AM556="","",FuelPrices_!AM556)</f>
        <v/>
      </c>
      <c r="D551" t="str">
        <f>IF(FuelPrices_!AN556="","",FuelPrices_!AN556)</f>
        <v/>
      </c>
      <c r="E551" t="str">
        <f>IFERROR(VLOOKUP(A551,FuelPrices_!$B$49:$G$57,6,FALSE),"")</f>
        <v/>
      </c>
      <c r="F551" t="str">
        <f>IFERROR(VLOOKUP(A551,FuelPrices_!$B$61:$G$69,6,FALSE),"")</f>
        <v/>
      </c>
      <c r="G551" t="str">
        <f t="shared" si="15"/>
        <v/>
      </c>
    </row>
    <row r="552" spans="1:7" x14ac:dyDescent="0.25">
      <c r="A552" t="str">
        <f>IF(FuelPrices_!AK557="","",FuelPrices_!AK557)</f>
        <v/>
      </c>
      <c r="B552" t="str">
        <f>IF(FuelPrices_!AL557="","",FuelPrices_!AL557)</f>
        <v/>
      </c>
      <c r="C552" t="str">
        <f>IF(FuelPrices_!AM557="","",FuelPrices_!AM557)</f>
        <v/>
      </c>
      <c r="D552" t="str">
        <f>IF(FuelPrices_!AN557="","",FuelPrices_!AN557)</f>
        <v/>
      </c>
      <c r="E552" t="str">
        <f>IFERROR(VLOOKUP(A552,FuelPrices_!$B$49:$G$57,6,FALSE),"")</f>
        <v/>
      </c>
      <c r="F552" t="str">
        <f>IFERROR(VLOOKUP(A552,FuelPrices_!$B$61:$G$69,6,FALSE),"")</f>
        <v/>
      </c>
      <c r="G552" t="str">
        <f t="shared" si="15"/>
        <v/>
      </c>
    </row>
    <row r="553" spans="1:7" x14ac:dyDescent="0.25">
      <c r="A553" t="str">
        <f>IF(FuelPrices_!AK558="","",FuelPrices_!AK558)</f>
        <v/>
      </c>
      <c r="B553" t="str">
        <f>IF(FuelPrices_!AL558="","",FuelPrices_!AL558)</f>
        <v/>
      </c>
      <c r="C553" t="str">
        <f>IF(FuelPrices_!AM558="","",FuelPrices_!AM558)</f>
        <v/>
      </c>
      <c r="D553" t="str">
        <f>IF(FuelPrices_!AN558="","",FuelPrices_!AN558)</f>
        <v/>
      </c>
      <c r="E553" t="str">
        <f>IFERROR(VLOOKUP(A553,FuelPrices_!$B$49:$G$57,6,FALSE),"")</f>
        <v/>
      </c>
      <c r="F553" t="str">
        <f>IFERROR(VLOOKUP(A553,FuelPrices_!$B$61:$G$69,6,FALSE),"")</f>
        <v/>
      </c>
      <c r="G553" t="str">
        <f t="shared" si="15"/>
        <v/>
      </c>
    </row>
    <row r="554" spans="1:7" x14ac:dyDescent="0.25">
      <c r="A554" t="str">
        <f>IF(FuelPrices_!AK559="","",FuelPrices_!AK559)</f>
        <v/>
      </c>
      <c r="B554" t="str">
        <f>IF(FuelPrices_!AL559="","",FuelPrices_!AL559)</f>
        <v/>
      </c>
      <c r="C554" t="str">
        <f>IF(FuelPrices_!AM559="","",FuelPrices_!AM559)</f>
        <v/>
      </c>
      <c r="D554" t="str">
        <f>IF(FuelPrices_!AN559="","",FuelPrices_!AN559)</f>
        <v/>
      </c>
      <c r="E554" t="str">
        <f>IFERROR(VLOOKUP(A554,FuelPrices_!$B$49:$G$57,6,FALSE),"")</f>
        <v/>
      </c>
      <c r="F554" t="str">
        <f>IFERROR(VLOOKUP(A554,FuelPrices_!$B$61:$G$69,6,FALSE),"")</f>
        <v/>
      </c>
      <c r="G554" t="str">
        <f t="shared" si="15"/>
        <v/>
      </c>
    </row>
    <row r="555" spans="1:7" x14ac:dyDescent="0.25">
      <c r="A555" t="str">
        <f>IF(FuelPrices_!AK560="","",FuelPrices_!AK560)</f>
        <v/>
      </c>
      <c r="B555" t="str">
        <f>IF(FuelPrices_!AL560="","",FuelPrices_!AL560)</f>
        <v/>
      </c>
      <c r="C555" t="str">
        <f>IF(FuelPrices_!AM560="","",FuelPrices_!AM560)</f>
        <v/>
      </c>
      <c r="D555" t="str">
        <f>IF(FuelPrices_!AN560="","",FuelPrices_!AN560)</f>
        <v/>
      </c>
      <c r="E555" t="str">
        <f>IFERROR(VLOOKUP(A555,FuelPrices_!$B$49:$G$57,6,FALSE),"")</f>
        <v/>
      </c>
      <c r="F555" t="str">
        <f>IFERROR(VLOOKUP(A555,FuelPrices_!$B$61:$G$69,6,FALSE),"")</f>
        <v/>
      </c>
      <c r="G555" t="str">
        <f t="shared" si="15"/>
        <v/>
      </c>
    </row>
    <row r="556" spans="1:7" x14ac:dyDescent="0.25">
      <c r="A556" t="str">
        <f>IF(FuelPrices_!AK561="","",FuelPrices_!AK561)</f>
        <v/>
      </c>
      <c r="B556" t="str">
        <f>IF(FuelPrices_!AL561="","",FuelPrices_!AL561)</f>
        <v/>
      </c>
      <c r="C556" t="str">
        <f>IF(FuelPrices_!AM561="","",FuelPrices_!AM561)</f>
        <v/>
      </c>
      <c r="D556" t="str">
        <f>IF(FuelPrices_!AN561="","",FuelPrices_!AN561)</f>
        <v/>
      </c>
      <c r="E556" t="str">
        <f>IFERROR(VLOOKUP(A556,FuelPrices_!$B$49:$G$57,6,FALSE),"")</f>
        <v/>
      </c>
      <c r="F556" t="str">
        <f>IFERROR(VLOOKUP(A556,FuelPrices_!$B$61:$G$69,6,FALSE),"")</f>
        <v/>
      </c>
      <c r="G556" t="str">
        <f t="shared" si="15"/>
        <v/>
      </c>
    </row>
    <row r="557" spans="1:7" x14ac:dyDescent="0.25">
      <c r="A557" t="str">
        <f>IF(FuelPrices_!AK562="","",FuelPrices_!AK562)</f>
        <v/>
      </c>
      <c r="B557" t="str">
        <f>IF(FuelPrices_!AL562="","",FuelPrices_!AL562)</f>
        <v/>
      </c>
      <c r="C557" t="str">
        <f>IF(FuelPrices_!AM562="","",FuelPrices_!AM562)</f>
        <v/>
      </c>
      <c r="D557" t="str">
        <f>IF(FuelPrices_!AN562="","",FuelPrices_!AN562)</f>
        <v/>
      </c>
      <c r="E557" t="str">
        <f>IFERROR(VLOOKUP(A557,FuelPrices_!$B$49:$G$57,6,FALSE),"")</f>
        <v/>
      </c>
      <c r="F557" t="str">
        <f>IFERROR(VLOOKUP(A557,FuelPrices_!$B$61:$G$69,6,FALSE),"")</f>
        <v/>
      </c>
      <c r="G557" t="str">
        <f t="shared" si="15"/>
        <v/>
      </c>
    </row>
    <row r="558" spans="1:7" x14ac:dyDescent="0.25">
      <c r="A558" t="str">
        <f>IF(FuelPrices_!AK563="","",FuelPrices_!AK563)</f>
        <v/>
      </c>
      <c r="B558" t="str">
        <f>IF(FuelPrices_!AL563="","",FuelPrices_!AL563)</f>
        <v/>
      </c>
      <c r="C558" t="str">
        <f>IF(FuelPrices_!AM563="","",FuelPrices_!AM563)</f>
        <v/>
      </c>
      <c r="D558" t="str">
        <f>IF(FuelPrices_!AN563="","",FuelPrices_!AN563)</f>
        <v/>
      </c>
      <c r="E558" t="str">
        <f>IFERROR(VLOOKUP(A558,FuelPrices_!$B$49:$G$57,6,FALSE),"")</f>
        <v/>
      </c>
      <c r="F558" t="str">
        <f>IFERROR(VLOOKUP(A558,FuelPrices_!$B$61:$G$69,6,FALSE),"")</f>
        <v/>
      </c>
      <c r="G558" t="str">
        <f t="shared" si="15"/>
        <v/>
      </c>
    </row>
    <row r="559" spans="1:7" x14ac:dyDescent="0.25">
      <c r="A559" t="str">
        <f>IF(FuelPrices_!AK564="","",FuelPrices_!AK564)</f>
        <v/>
      </c>
      <c r="B559" t="str">
        <f>IF(FuelPrices_!AL564="","",FuelPrices_!AL564)</f>
        <v/>
      </c>
      <c r="C559" t="str">
        <f>IF(FuelPrices_!AM564="","",FuelPrices_!AM564)</f>
        <v/>
      </c>
      <c r="D559" t="str">
        <f>IF(FuelPrices_!AN564="","",FuelPrices_!AN564)</f>
        <v/>
      </c>
      <c r="E559" t="str">
        <f>IFERROR(VLOOKUP(A559,FuelPrices_!$B$49:$G$57,6,FALSE),"")</f>
        <v/>
      </c>
      <c r="F559" t="str">
        <f>IFERROR(VLOOKUP(A559,FuelPrices_!$B$61:$G$69,6,FALSE),"")</f>
        <v/>
      </c>
      <c r="G559" t="str">
        <f t="shared" si="15"/>
        <v/>
      </c>
    </row>
    <row r="560" spans="1:7" x14ac:dyDescent="0.25">
      <c r="A560" t="str">
        <f>IF(FuelPrices_!AK565="","",FuelPrices_!AK565)</f>
        <v/>
      </c>
      <c r="B560" t="str">
        <f>IF(FuelPrices_!AL565="","",FuelPrices_!AL565)</f>
        <v/>
      </c>
      <c r="C560" t="str">
        <f>IF(FuelPrices_!AM565="","",FuelPrices_!AM565)</f>
        <v/>
      </c>
      <c r="D560" t="str">
        <f>IF(FuelPrices_!AN565="","",FuelPrices_!AN565)</f>
        <v/>
      </c>
      <c r="E560" t="str">
        <f>IFERROR(VLOOKUP(A560,FuelPrices_!$B$49:$G$57,6,FALSE),"")</f>
        <v/>
      </c>
      <c r="F560" t="str">
        <f>IFERROR(VLOOKUP(A560,FuelPrices_!$B$61:$G$69,6,FALSE),"")</f>
        <v/>
      </c>
      <c r="G560" t="str">
        <f t="shared" si="15"/>
        <v/>
      </c>
    </row>
    <row r="561" spans="1:7" x14ac:dyDescent="0.25">
      <c r="A561" t="str">
        <f>IF(FuelPrices_!AK566="","",FuelPrices_!AK566)</f>
        <v/>
      </c>
      <c r="B561" t="str">
        <f>IF(FuelPrices_!AL566="","",FuelPrices_!AL566)</f>
        <v/>
      </c>
      <c r="C561" t="str">
        <f>IF(FuelPrices_!AM566="","",FuelPrices_!AM566)</f>
        <v/>
      </c>
      <c r="D561" t="str">
        <f>IF(FuelPrices_!AN566="","",FuelPrices_!AN566)</f>
        <v/>
      </c>
      <c r="E561" t="str">
        <f>IFERROR(VLOOKUP(A561,FuelPrices_!$B$49:$G$57,6,FALSE),"")</f>
        <v/>
      </c>
      <c r="F561" t="str">
        <f>IFERROR(VLOOKUP(A561,FuelPrices_!$B$61:$G$69,6,FALSE),"")</f>
        <v/>
      </c>
      <c r="G561" t="str">
        <f t="shared" si="15"/>
        <v/>
      </c>
    </row>
    <row r="562" spans="1:7" x14ac:dyDescent="0.25">
      <c r="A562" t="str">
        <f>IF(FuelPrices_!AK567="","",FuelPrices_!AK567)</f>
        <v/>
      </c>
      <c r="B562" t="str">
        <f>IF(FuelPrices_!AL567="","",FuelPrices_!AL567)</f>
        <v/>
      </c>
      <c r="C562" t="str">
        <f>IF(FuelPrices_!AM567="","",FuelPrices_!AM567)</f>
        <v/>
      </c>
      <c r="D562" t="str">
        <f>IF(FuelPrices_!AN567="","",FuelPrices_!AN567)</f>
        <v/>
      </c>
      <c r="E562" t="str">
        <f>IFERROR(VLOOKUP(A562,FuelPrices_!$B$49:$G$57,6,FALSE),"")</f>
        <v/>
      </c>
      <c r="F562" t="str">
        <f>IFERROR(VLOOKUP(A562,FuelPrices_!$B$61:$G$69,6,FALSE),"")</f>
        <v/>
      </c>
      <c r="G562" t="str">
        <f t="shared" si="15"/>
        <v/>
      </c>
    </row>
    <row r="563" spans="1:7" x14ac:dyDescent="0.25">
      <c r="A563" t="str">
        <f>IF(FuelPrices_!AK568="","",FuelPrices_!AK568)</f>
        <v/>
      </c>
      <c r="B563" t="str">
        <f>IF(FuelPrices_!AL568="","",FuelPrices_!AL568)</f>
        <v/>
      </c>
      <c r="C563" t="str">
        <f>IF(FuelPrices_!AM568="","",FuelPrices_!AM568)</f>
        <v/>
      </c>
      <c r="D563" t="str">
        <f>IF(FuelPrices_!AN568="","",FuelPrices_!AN568)</f>
        <v/>
      </c>
      <c r="E563" t="str">
        <f>IFERROR(VLOOKUP(A563,FuelPrices_!$B$49:$G$57,6,FALSE),"")</f>
        <v/>
      </c>
      <c r="F563" t="str">
        <f>IFERROR(VLOOKUP(A563,FuelPrices_!$B$61:$G$69,6,FALSE),"")</f>
        <v/>
      </c>
      <c r="G563" t="str">
        <f t="shared" si="15"/>
        <v/>
      </c>
    </row>
    <row r="564" spans="1:7" x14ac:dyDescent="0.25">
      <c r="A564" t="str">
        <f>IF(FuelPrices_!AK569="","",FuelPrices_!AK569)</f>
        <v/>
      </c>
      <c r="B564" t="str">
        <f>IF(FuelPrices_!AL569="","",FuelPrices_!AL569)</f>
        <v/>
      </c>
      <c r="C564" t="str">
        <f>IF(FuelPrices_!AM569="","",FuelPrices_!AM569)</f>
        <v/>
      </c>
      <c r="D564" t="str">
        <f>IF(FuelPrices_!AN569="","",FuelPrices_!AN569)</f>
        <v/>
      </c>
      <c r="E564" t="str">
        <f>IFERROR(VLOOKUP(A564,FuelPrices_!$B$49:$G$57,6,FALSE),"")</f>
        <v/>
      </c>
      <c r="F564" t="str">
        <f>IFERROR(VLOOKUP(A564,FuelPrices_!$B$61:$G$69,6,FALSE),"")</f>
        <v/>
      </c>
      <c r="G564" t="str">
        <f t="shared" si="15"/>
        <v/>
      </c>
    </row>
    <row r="565" spans="1:7" x14ac:dyDescent="0.25">
      <c r="A565" t="str">
        <f>IF(FuelPrices_!AK570="","",FuelPrices_!AK570)</f>
        <v/>
      </c>
      <c r="B565" t="str">
        <f>IF(FuelPrices_!AL570="","",FuelPrices_!AL570)</f>
        <v/>
      </c>
      <c r="C565" t="str">
        <f>IF(FuelPrices_!AM570="","",FuelPrices_!AM570)</f>
        <v/>
      </c>
      <c r="D565" t="str">
        <f>IF(FuelPrices_!AN570="","",FuelPrices_!AN570)</f>
        <v/>
      </c>
      <c r="E565" t="str">
        <f>IFERROR(VLOOKUP(A565,FuelPrices_!$B$49:$G$57,6,FALSE),"")</f>
        <v/>
      </c>
      <c r="F565" t="str">
        <f>IFERROR(VLOOKUP(A565,FuelPrices_!$B$61:$G$69,6,FALSE),"")</f>
        <v/>
      </c>
      <c r="G565" t="str">
        <f t="shared" si="15"/>
        <v/>
      </c>
    </row>
    <row r="566" spans="1:7" x14ac:dyDescent="0.25">
      <c r="A566" t="str">
        <f>IF(FuelPrices_!AK571="","",FuelPrices_!AK571)</f>
        <v/>
      </c>
      <c r="B566" t="str">
        <f>IF(FuelPrices_!AL571="","",FuelPrices_!AL571)</f>
        <v/>
      </c>
      <c r="C566" t="str">
        <f>IF(FuelPrices_!AM571="","",FuelPrices_!AM571)</f>
        <v/>
      </c>
      <c r="D566" t="str">
        <f>IF(FuelPrices_!AN571="","",FuelPrices_!AN571)</f>
        <v/>
      </c>
      <c r="E566" t="str">
        <f>IFERROR(VLOOKUP(A566,FuelPrices_!$B$49:$G$57,6,FALSE),"")</f>
        <v/>
      </c>
      <c r="F566" t="str">
        <f>IFERROR(VLOOKUP(A566,FuelPrices_!$B$61:$G$69,6,FALSE),"")</f>
        <v/>
      </c>
      <c r="G566" t="str">
        <f t="shared" si="15"/>
        <v/>
      </c>
    </row>
    <row r="567" spans="1:7" x14ac:dyDescent="0.25">
      <c r="A567" t="str">
        <f>IF(FuelPrices_!AK572="","",FuelPrices_!AK572)</f>
        <v/>
      </c>
      <c r="B567" t="str">
        <f>IF(FuelPrices_!AL572="","",FuelPrices_!AL572)</f>
        <v/>
      </c>
      <c r="C567" t="str">
        <f>IF(FuelPrices_!AM572="","",FuelPrices_!AM572)</f>
        <v/>
      </c>
      <c r="D567" t="str">
        <f>IF(FuelPrices_!AN572="","",FuelPrices_!AN572)</f>
        <v/>
      </c>
      <c r="E567" t="str">
        <f>IFERROR(VLOOKUP(A567,FuelPrices_!$B$49:$G$57,6,FALSE),"")</f>
        <v/>
      </c>
      <c r="F567" t="str">
        <f>IFERROR(VLOOKUP(A567,FuelPrices_!$B$61:$G$69,6,FALSE),"")</f>
        <v/>
      </c>
      <c r="G567" t="str">
        <f t="shared" si="15"/>
        <v/>
      </c>
    </row>
    <row r="568" spans="1:7" x14ac:dyDescent="0.25">
      <c r="A568" t="str">
        <f>IF(FuelPrices_!AK573="","",FuelPrices_!AK573)</f>
        <v/>
      </c>
      <c r="B568" t="str">
        <f>IF(FuelPrices_!AL573="","",FuelPrices_!AL573)</f>
        <v/>
      </c>
      <c r="C568" t="str">
        <f>IF(FuelPrices_!AM573="","",FuelPrices_!AM573)</f>
        <v/>
      </c>
      <c r="D568" t="str">
        <f>IF(FuelPrices_!AN573="","",FuelPrices_!AN573)</f>
        <v/>
      </c>
      <c r="E568" t="str">
        <f>IFERROR(VLOOKUP(A568,FuelPrices_!$B$49:$G$57,6,FALSE),"")</f>
        <v/>
      </c>
      <c r="F568" t="str">
        <f>IFERROR(VLOOKUP(A568,FuelPrices_!$B$61:$G$69,6,FALSE),"")</f>
        <v/>
      </c>
      <c r="G568" t="str">
        <f t="shared" si="15"/>
        <v/>
      </c>
    </row>
    <row r="569" spans="1:7" x14ac:dyDescent="0.25">
      <c r="A569" t="str">
        <f>IF(FuelPrices_!AK574="","",FuelPrices_!AK574)</f>
        <v/>
      </c>
      <c r="B569" t="str">
        <f>IF(FuelPrices_!AL574="","",FuelPrices_!AL574)</f>
        <v/>
      </c>
      <c r="C569" t="str">
        <f>IF(FuelPrices_!AM574="","",FuelPrices_!AM574)</f>
        <v/>
      </c>
      <c r="D569" t="str">
        <f>IF(FuelPrices_!AN574="","",FuelPrices_!AN574)</f>
        <v/>
      </c>
      <c r="E569" t="str">
        <f>IFERROR(VLOOKUP(A569,FuelPrices_!$B$49:$G$57,6,FALSE),"")</f>
        <v/>
      </c>
      <c r="F569" t="str">
        <f>IFERROR(VLOOKUP(A569,FuelPrices_!$B$61:$G$69,6,FALSE),"")</f>
        <v/>
      </c>
      <c r="G569" t="str">
        <f t="shared" si="15"/>
        <v/>
      </c>
    </row>
    <row r="570" spans="1:7" x14ac:dyDescent="0.25">
      <c r="A570" t="str">
        <f>IF(FuelPrices_!AK575="","",FuelPrices_!AK575)</f>
        <v/>
      </c>
      <c r="B570" t="str">
        <f>IF(FuelPrices_!AL575="","",FuelPrices_!AL575)</f>
        <v/>
      </c>
      <c r="C570" t="str">
        <f>IF(FuelPrices_!AM575="","",FuelPrices_!AM575)</f>
        <v/>
      </c>
      <c r="D570" t="str">
        <f>IF(FuelPrices_!AN575="","",FuelPrices_!AN575)</f>
        <v/>
      </c>
      <c r="E570" t="str">
        <f>IFERROR(VLOOKUP(A570,FuelPrices_!$B$49:$G$57,6,FALSE),"")</f>
        <v/>
      </c>
      <c r="F570" t="str">
        <f>IFERROR(VLOOKUP(A570,FuelPrices_!$B$61:$G$69,6,FALSE),"")</f>
        <v/>
      </c>
      <c r="G570" t="str">
        <f t="shared" si="15"/>
        <v/>
      </c>
    </row>
    <row r="571" spans="1:7" x14ac:dyDescent="0.25">
      <c r="A571" t="str">
        <f>IF(FuelPrices_!AK576="","",FuelPrices_!AK576)</f>
        <v/>
      </c>
      <c r="B571" t="str">
        <f>IF(FuelPrices_!AL576="","",FuelPrices_!AL576)</f>
        <v/>
      </c>
      <c r="C571" t="str">
        <f>IF(FuelPrices_!AM576="","",FuelPrices_!AM576)</f>
        <v/>
      </c>
      <c r="D571" t="str">
        <f>IF(FuelPrices_!AN576="","",FuelPrices_!AN576)</f>
        <v/>
      </c>
      <c r="E571" t="str">
        <f>IFERROR(VLOOKUP(A571,FuelPrices_!$B$49:$G$57,6,FALSE),"")</f>
        <v/>
      </c>
      <c r="F571" t="str">
        <f>IFERROR(VLOOKUP(A571,FuelPrices_!$B$61:$G$69,6,FALSE),"")</f>
        <v/>
      </c>
      <c r="G571" t="str">
        <f t="shared" si="15"/>
        <v/>
      </c>
    </row>
    <row r="572" spans="1:7" x14ac:dyDescent="0.25">
      <c r="A572" t="str">
        <f>IF(FuelPrices_!AK577="","",FuelPrices_!AK577)</f>
        <v/>
      </c>
      <c r="B572" t="str">
        <f>IF(FuelPrices_!AL577="","",FuelPrices_!AL577)</f>
        <v/>
      </c>
      <c r="C572" t="str">
        <f>IF(FuelPrices_!AM577="","",FuelPrices_!AM577)</f>
        <v/>
      </c>
      <c r="D572" t="str">
        <f>IF(FuelPrices_!AN577="","",FuelPrices_!AN577)</f>
        <v/>
      </c>
      <c r="E572" t="str">
        <f>IFERROR(VLOOKUP(A572,FuelPrices_!$B$49:$G$57,6,FALSE),"")</f>
        <v/>
      </c>
      <c r="F572" t="str">
        <f>IFERROR(VLOOKUP(A572,FuelPrices_!$B$61:$G$69,6,FALSE),"")</f>
        <v/>
      </c>
      <c r="G572" t="str">
        <f t="shared" si="15"/>
        <v/>
      </c>
    </row>
    <row r="573" spans="1:7" x14ac:dyDescent="0.25">
      <c r="A573" t="str">
        <f>IF(FuelPrices_!AK578="","",FuelPrices_!AK578)</f>
        <v/>
      </c>
      <c r="B573" t="str">
        <f>IF(FuelPrices_!AL578="","",FuelPrices_!AL578)</f>
        <v/>
      </c>
      <c r="C573" t="str">
        <f>IF(FuelPrices_!AM578="","",FuelPrices_!AM578)</f>
        <v/>
      </c>
      <c r="D573" t="str">
        <f>IF(FuelPrices_!AN578="","",FuelPrices_!AN578)</f>
        <v/>
      </c>
      <c r="E573" t="str">
        <f>IFERROR(VLOOKUP(A573,FuelPrices_!$B$49:$G$57,6,FALSE),"")</f>
        <v/>
      </c>
      <c r="F573" t="str">
        <f>IFERROR(VLOOKUP(A573,FuelPrices_!$B$61:$G$69,6,FALSE),"")</f>
        <v/>
      </c>
      <c r="G573" t="str">
        <f t="shared" si="15"/>
        <v/>
      </c>
    </row>
    <row r="574" spans="1:7" x14ac:dyDescent="0.25">
      <c r="A574" t="str">
        <f>IF(FuelPrices_!AK579="","",FuelPrices_!AK579)</f>
        <v/>
      </c>
      <c r="B574" t="str">
        <f>IF(FuelPrices_!AL579="","",FuelPrices_!AL579)</f>
        <v/>
      </c>
      <c r="C574" t="str">
        <f>IF(FuelPrices_!AM579="","",FuelPrices_!AM579)</f>
        <v/>
      </c>
      <c r="D574" t="str">
        <f>IF(FuelPrices_!AN579="","",FuelPrices_!AN579)</f>
        <v/>
      </c>
      <c r="E574" t="str">
        <f>IFERROR(VLOOKUP(A574,FuelPrices_!$B$49:$G$57,6,FALSE),"")</f>
        <v/>
      </c>
      <c r="F574" t="str">
        <f>IFERROR(VLOOKUP(A574,FuelPrices_!$B$61:$G$69,6,FALSE),"")</f>
        <v/>
      </c>
      <c r="G574" t="str">
        <f t="shared" si="15"/>
        <v/>
      </c>
    </row>
    <row r="575" spans="1:7" x14ac:dyDescent="0.25">
      <c r="A575" t="str">
        <f>IF(FuelPrices_!AK580="","",FuelPrices_!AK580)</f>
        <v/>
      </c>
      <c r="B575" t="str">
        <f>IF(FuelPrices_!AL580="","",FuelPrices_!AL580)</f>
        <v/>
      </c>
      <c r="C575" t="str">
        <f>IF(FuelPrices_!AM580="","",FuelPrices_!AM580)</f>
        <v/>
      </c>
      <c r="D575" t="str">
        <f>IF(FuelPrices_!AN580="","",FuelPrices_!AN580)</f>
        <v/>
      </c>
      <c r="E575" t="str">
        <f>IFERROR(VLOOKUP(A575,FuelPrices_!$B$49:$G$57,6,FALSE),"")</f>
        <v/>
      </c>
      <c r="F575" t="str">
        <f>IFERROR(VLOOKUP(A575,FuelPrices_!$B$61:$G$69,6,FALSE),"")</f>
        <v/>
      </c>
      <c r="G575" t="str">
        <f t="shared" si="15"/>
        <v/>
      </c>
    </row>
    <row r="576" spans="1:7" x14ac:dyDescent="0.25">
      <c r="A576" t="str">
        <f>IF(FuelPrices_!AK581="","",FuelPrices_!AK581)</f>
        <v/>
      </c>
      <c r="B576" t="str">
        <f>IF(FuelPrices_!AL581="","",FuelPrices_!AL581)</f>
        <v/>
      </c>
      <c r="C576" t="str">
        <f>IF(FuelPrices_!AM581="","",FuelPrices_!AM581)</f>
        <v/>
      </c>
      <c r="D576" t="str">
        <f>IF(FuelPrices_!AN581="","",FuelPrices_!AN581)</f>
        <v/>
      </c>
      <c r="E576" t="str">
        <f>IFERROR(VLOOKUP(A576,FuelPrices_!$B$49:$G$57,6,FALSE),"")</f>
        <v/>
      </c>
      <c r="F576" t="str">
        <f>IFERROR(VLOOKUP(A576,FuelPrices_!$B$61:$G$69,6,FALSE),"")</f>
        <v/>
      </c>
      <c r="G576" t="str">
        <f t="shared" si="15"/>
        <v/>
      </c>
    </row>
    <row r="577" spans="1:7" x14ac:dyDescent="0.25">
      <c r="A577" t="str">
        <f>IF(FuelPrices_!AK582="","",FuelPrices_!AK582)</f>
        <v/>
      </c>
      <c r="B577" t="str">
        <f>IF(FuelPrices_!AL582="","",FuelPrices_!AL582)</f>
        <v/>
      </c>
      <c r="C577" t="str">
        <f>IF(FuelPrices_!AM582="","",FuelPrices_!AM582)</f>
        <v/>
      </c>
      <c r="D577" t="str">
        <f>IF(FuelPrices_!AN582="","",FuelPrices_!AN582)</f>
        <v/>
      </c>
      <c r="E577" t="str">
        <f>IFERROR(VLOOKUP(A577,FuelPrices_!$B$49:$G$57,6,FALSE),"")</f>
        <v/>
      </c>
      <c r="F577" t="str">
        <f>IFERROR(VLOOKUP(A577,FuelPrices_!$B$61:$G$69,6,FALSE),"")</f>
        <v/>
      </c>
      <c r="G577" t="str">
        <f t="shared" si="15"/>
        <v/>
      </c>
    </row>
    <row r="578" spans="1:7" x14ac:dyDescent="0.25">
      <c r="A578" t="str">
        <f>IF(FuelPrices_!AK583="","",FuelPrices_!AK583)</f>
        <v/>
      </c>
      <c r="B578" t="str">
        <f>IF(FuelPrices_!AL583="","",FuelPrices_!AL583)</f>
        <v/>
      </c>
      <c r="C578" t="str">
        <f>IF(FuelPrices_!AM583="","",FuelPrices_!AM583)</f>
        <v/>
      </c>
      <c r="D578" t="str">
        <f>IF(FuelPrices_!AN583="","",FuelPrices_!AN583)</f>
        <v/>
      </c>
      <c r="E578" t="str">
        <f>IFERROR(VLOOKUP(A578,FuelPrices_!$B$49:$G$57,6,FALSE),"")</f>
        <v/>
      </c>
      <c r="F578" t="str">
        <f>IFERROR(VLOOKUP(A578,FuelPrices_!$B$61:$G$69,6,FALSE),"")</f>
        <v/>
      </c>
      <c r="G578" t="str">
        <f t="shared" si="15"/>
        <v/>
      </c>
    </row>
    <row r="579" spans="1:7" x14ac:dyDescent="0.25">
      <c r="A579" t="str">
        <f>IF(FuelPrices_!AK584="","",FuelPrices_!AK584)</f>
        <v/>
      </c>
      <c r="B579" t="str">
        <f>IF(FuelPrices_!AL584="","",FuelPrices_!AL584)</f>
        <v/>
      </c>
      <c r="C579" t="str">
        <f>IF(FuelPrices_!AM584="","",FuelPrices_!AM584)</f>
        <v/>
      </c>
      <c r="D579" t="str">
        <f>IF(FuelPrices_!AN584="","",FuelPrices_!AN584)</f>
        <v/>
      </c>
      <c r="E579" t="str">
        <f>IFERROR(VLOOKUP(A579,FuelPrices_!$B$49:$G$57,6,FALSE),"")</f>
        <v/>
      </c>
      <c r="F579" t="str">
        <f>IFERROR(VLOOKUP(A579,FuelPrices_!$B$61:$G$69,6,FALSE),"")</f>
        <v/>
      </c>
      <c r="G579" t="str">
        <f t="shared" si="15"/>
        <v/>
      </c>
    </row>
    <row r="580" spans="1:7" x14ac:dyDescent="0.25">
      <c r="A580" t="str">
        <f>IF(FuelPrices_!AK585="","",FuelPrices_!AK585)</f>
        <v/>
      </c>
      <c r="B580" t="str">
        <f>IF(FuelPrices_!AL585="","",FuelPrices_!AL585)</f>
        <v/>
      </c>
      <c r="C580" t="str">
        <f>IF(FuelPrices_!AM585="","",FuelPrices_!AM585)</f>
        <v/>
      </c>
      <c r="D580" t="str">
        <f>IF(FuelPrices_!AN585="","",FuelPrices_!AN585)</f>
        <v/>
      </c>
      <c r="E580" t="str">
        <f>IFERROR(VLOOKUP(A580,FuelPrices_!$B$49:$G$57,6,FALSE),"")</f>
        <v/>
      </c>
      <c r="F580" t="str">
        <f>IFERROR(VLOOKUP(A580,FuelPrices_!$B$61:$G$69,6,FALSE),"")</f>
        <v/>
      </c>
      <c r="G580" t="str">
        <f t="shared" si="15"/>
        <v/>
      </c>
    </row>
    <row r="581" spans="1:7" x14ac:dyDescent="0.25">
      <c r="A581" t="str">
        <f>IF(FuelPrices_!AK586="","",FuelPrices_!AK586)</f>
        <v/>
      </c>
      <c r="B581" t="str">
        <f>IF(FuelPrices_!AL586="","",FuelPrices_!AL586)</f>
        <v/>
      </c>
      <c r="C581" t="str">
        <f>IF(FuelPrices_!AM586="","",FuelPrices_!AM586)</f>
        <v/>
      </c>
      <c r="D581" t="str">
        <f>IF(FuelPrices_!AN586="","",FuelPrices_!AN586)</f>
        <v/>
      </c>
      <c r="E581" t="str">
        <f>IFERROR(VLOOKUP(A581,FuelPrices_!$B$49:$G$57,6,FALSE),"")</f>
        <v/>
      </c>
      <c r="F581" t="str">
        <f>IFERROR(VLOOKUP(A581,FuelPrices_!$B$61:$G$69,6,FALSE),"")</f>
        <v/>
      </c>
      <c r="G581" t="str">
        <f t="shared" si="15"/>
        <v/>
      </c>
    </row>
    <row r="582" spans="1:7" x14ac:dyDescent="0.25">
      <c r="A582" t="str">
        <f>IF(FuelPrices_!AK587="","",FuelPrices_!AK587)</f>
        <v/>
      </c>
      <c r="B582" t="str">
        <f>IF(FuelPrices_!AL587="","",FuelPrices_!AL587)</f>
        <v/>
      </c>
      <c r="C582" t="str">
        <f>IF(FuelPrices_!AM587="","",FuelPrices_!AM587)</f>
        <v/>
      </c>
      <c r="D582" t="str">
        <f>IF(FuelPrices_!AN587="","",FuelPrices_!AN587)</f>
        <v/>
      </c>
      <c r="E582" t="str">
        <f>IFERROR(VLOOKUP(A582,FuelPrices_!$B$49:$G$57,6,FALSE),"")</f>
        <v/>
      </c>
      <c r="F582" t="str">
        <f>IFERROR(VLOOKUP(A582,FuelPrices_!$B$61:$G$69,6,FALSE),"")</f>
        <v/>
      </c>
      <c r="G582" t="str">
        <f t="shared" si="15"/>
        <v/>
      </c>
    </row>
    <row r="583" spans="1:7" x14ac:dyDescent="0.25">
      <c r="A583" t="str">
        <f>IF(FuelPrices_!AK588="","",FuelPrices_!AK588)</f>
        <v/>
      </c>
      <c r="B583" t="str">
        <f>IF(FuelPrices_!AL588="","",FuelPrices_!AL588)</f>
        <v/>
      </c>
      <c r="C583" t="str">
        <f>IF(FuelPrices_!AM588="","",FuelPrices_!AM588)</f>
        <v/>
      </c>
      <c r="D583" t="str">
        <f>IF(FuelPrices_!AN588="","",FuelPrices_!AN588)</f>
        <v/>
      </c>
      <c r="E583" t="str">
        <f>IFERROR(VLOOKUP(A583,FuelPrices_!$B$49:$G$57,6,FALSE),"")</f>
        <v/>
      </c>
      <c r="F583" t="str">
        <f>IFERROR(VLOOKUP(A583,FuelPrices_!$B$61:$G$69,6,FALSE),"")</f>
        <v/>
      </c>
      <c r="G583" t="str">
        <f t="shared" si="15"/>
        <v/>
      </c>
    </row>
    <row r="584" spans="1:7" x14ac:dyDescent="0.25">
      <c r="A584" t="str">
        <f>IF(FuelPrices_!AK589="","",FuelPrices_!AK589)</f>
        <v/>
      </c>
      <c r="B584" t="str">
        <f>IF(FuelPrices_!AL589="","",FuelPrices_!AL589)</f>
        <v/>
      </c>
      <c r="C584" t="str">
        <f>IF(FuelPrices_!AM589="","",FuelPrices_!AM589)</f>
        <v/>
      </c>
      <c r="D584" t="str">
        <f>IF(FuelPrices_!AN589="","",FuelPrices_!AN589)</f>
        <v/>
      </c>
      <c r="E584" t="str">
        <f>IFERROR(VLOOKUP(A584,FuelPrices_!$B$49:$G$57,6,FALSE),"")</f>
        <v/>
      </c>
      <c r="F584" t="str">
        <f>IFERROR(VLOOKUP(A584,FuelPrices_!$B$61:$G$69,6,FALSE),"")</f>
        <v/>
      </c>
      <c r="G584" t="str">
        <f t="shared" si="15"/>
        <v/>
      </c>
    </row>
    <row r="585" spans="1:7" x14ac:dyDescent="0.25">
      <c r="A585" t="str">
        <f>IF(FuelPrices_!AK590="","",FuelPrices_!AK590)</f>
        <v/>
      </c>
      <c r="B585" t="str">
        <f>IF(FuelPrices_!AL590="","",FuelPrices_!AL590)</f>
        <v/>
      </c>
      <c r="C585" t="str">
        <f>IF(FuelPrices_!AM590="","",FuelPrices_!AM590)</f>
        <v/>
      </c>
      <c r="D585" t="str">
        <f>IF(FuelPrices_!AN590="","",FuelPrices_!AN590)</f>
        <v/>
      </c>
      <c r="E585" t="str">
        <f>IFERROR(VLOOKUP(A585,FuelPrices_!$B$49:$G$57,6,FALSE),"")</f>
        <v/>
      </c>
      <c r="F585" t="str">
        <f>IFERROR(VLOOKUP(A585,FuelPrices_!$B$61:$G$69,6,FALSE),"")</f>
        <v/>
      </c>
      <c r="G585" t="str">
        <f t="shared" si="15"/>
        <v/>
      </c>
    </row>
    <row r="586" spans="1:7" x14ac:dyDescent="0.25">
      <c r="A586" t="str">
        <f>IF(FuelPrices_!AK591="","",FuelPrices_!AK591)</f>
        <v/>
      </c>
      <c r="B586" t="str">
        <f>IF(FuelPrices_!AL591="","",FuelPrices_!AL591)</f>
        <v/>
      </c>
      <c r="C586" t="str">
        <f>IF(FuelPrices_!AM591="","",FuelPrices_!AM591)</f>
        <v/>
      </c>
      <c r="D586" t="str">
        <f>IF(FuelPrices_!AN591="","",FuelPrices_!AN591)</f>
        <v/>
      </c>
      <c r="E586" t="str">
        <f>IFERROR(VLOOKUP(A586,FuelPrices_!$B$49:$G$57,6,FALSE),"")</f>
        <v/>
      </c>
      <c r="F586" t="str">
        <f>IFERROR(VLOOKUP(A586,FuelPrices_!$B$61:$G$69,6,FALSE),"")</f>
        <v/>
      </c>
      <c r="G586" t="str">
        <f t="shared" si="15"/>
        <v/>
      </c>
    </row>
    <row r="587" spans="1:7" x14ac:dyDescent="0.25">
      <c r="A587" t="str">
        <f>IF(FuelPrices_!AK592="","",FuelPrices_!AK592)</f>
        <v/>
      </c>
      <c r="B587" t="str">
        <f>IF(FuelPrices_!AL592="","",FuelPrices_!AL592)</f>
        <v/>
      </c>
      <c r="C587" t="str">
        <f>IF(FuelPrices_!AM592="","",FuelPrices_!AM592)</f>
        <v/>
      </c>
      <c r="D587" t="str">
        <f>IF(FuelPrices_!AN592="","",FuelPrices_!AN592)</f>
        <v/>
      </c>
      <c r="E587" t="str">
        <f>IFERROR(VLOOKUP(A587,FuelPrices_!$B$49:$G$57,6,FALSE),"")</f>
        <v/>
      </c>
      <c r="F587" t="str">
        <f>IFERROR(VLOOKUP(A587,FuelPrices_!$B$61:$G$69,6,FALSE),"")</f>
        <v/>
      </c>
      <c r="G587" t="str">
        <f t="shared" si="15"/>
        <v/>
      </c>
    </row>
    <row r="588" spans="1:7" x14ac:dyDescent="0.25">
      <c r="A588" t="str">
        <f>IF(FuelPrices_!AK593="","",FuelPrices_!AK593)</f>
        <v/>
      </c>
      <c r="B588" t="str">
        <f>IF(FuelPrices_!AL593="","",FuelPrices_!AL593)</f>
        <v/>
      </c>
      <c r="C588" t="str">
        <f>IF(FuelPrices_!AM593="","",FuelPrices_!AM593)</f>
        <v/>
      </c>
      <c r="D588" t="str">
        <f>IF(FuelPrices_!AN593="","",FuelPrices_!AN593)</f>
        <v/>
      </c>
      <c r="E588" t="str">
        <f>IFERROR(VLOOKUP(A588,FuelPrices_!$B$49:$G$57,6,FALSE),"")</f>
        <v/>
      </c>
      <c r="F588" t="str">
        <f>IFERROR(VLOOKUP(A588,FuelPrices_!$B$61:$G$69,6,FALSE),"")</f>
        <v/>
      </c>
      <c r="G588" t="str">
        <f t="shared" si="15"/>
        <v/>
      </c>
    </row>
    <row r="589" spans="1:7" x14ac:dyDescent="0.25">
      <c r="A589" t="str">
        <f>IF(FuelPrices_!AK594="","",FuelPrices_!AK594)</f>
        <v/>
      </c>
      <c r="B589" t="str">
        <f>IF(FuelPrices_!AL594="","",FuelPrices_!AL594)</f>
        <v/>
      </c>
      <c r="C589" t="str">
        <f>IF(FuelPrices_!AM594="","",FuelPrices_!AM594)</f>
        <v/>
      </c>
      <c r="D589" t="str">
        <f>IF(FuelPrices_!AN594="","",FuelPrices_!AN594)</f>
        <v/>
      </c>
      <c r="E589" t="str">
        <f>IFERROR(VLOOKUP(A589,FuelPrices_!$B$49:$G$57,6,FALSE),"")</f>
        <v/>
      </c>
      <c r="F589" t="str">
        <f>IFERROR(VLOOKUP(A589,FuelPrices_!$B$61:$G$69,6,FALSE),"")</f>
        <v/>
      </c>
      <c r="G589" t="str">
        <f t="shared" si="15"/>
        <v/>
      </c>
    </row>
    <row r="590" spans="1:7" x14ac:dyDescent="0.25">
      <c r="A590" t="str">
        <f>IF(FuelPrices_!AK595="","",FuelPrices_!AK595)</f>
        <v/>
      </c>
      <c r="B590" t="str">
        <f>IF(FuelPrices_!AL595="","",FuelPrices_!AL595)</f>
        <v/>
      </c>
      <c r="C590" t="str">
        <f>IF(FuelPrices_!AM595="","",FuelPrices_!AM595)</f>
        <v/>
      </c>
      <c r="D590" t="str">
        <f>IF(FuelPrices_!AN595="","",FuelPrices_!AN595)</f>
        <v/>
      </c>
      <c r="E590" t="str">
        <f>IFERROR(VLOOKUP(A590,FuelPrices_!$B$49:$G$57,6,FALSE),"")</f>
        <v/>
      </c>
      <c r="F590" t="str">
        <f>IFERROR(VLOOKUP(A590,FuelPrices_!$B$61:$G$69,6,FALSE),"")</f>
        <v/>
      </c>
      <c r="G590" t="str">
        <f t="shared" si="15"/>
        <v/>
      </c>
    </row>
    <row r="591" spans="1:7" x14ac:dyDescent="0.25">
      <c r="A591" t="str">
        <f>IF(FuelPrices_!AK596="","",FuelPrices_!AK596)</f>
        <v/>
      </c>
      <c r="B591" t="str">
        <f>IF(FuelPrices_!AL596="","",FuelPrices_!AL596)</f>
        <v/>
      </c>
      <c r="C591" t="str">
        <f>IF(FuelPrices_!AM596="","",FuelPrices_!AM596)</f>
        <v/>
      </c>
      <c r="D591" t="str">
        <f>IF(FuelPrices_!AN596="","",FuelPrices_!AN596)</f>
        <v/>
      </c>
      <c r="E591" t="str">
        <f>IFERROR(VLOOKUP(A591,FuelPrices_!$B$49:$G$57,6,FALSE),"")</f>
        <v/>
      </c>
      <c r="F591" t="str">
        <f>IFERROR(VLOOKUP(A591,FuelPrices_!$B$61:$G$69,6,FALSE),"")</f>
        <v/>
      </c>
      <c r="G591" t="str">
        <f t="shared" si="15"/>
        <v/>
      </c>
    </row>
    <row r="592" spans="1:7" x14ac:dyDescent="0.25">
      <c r="A592" t="str">
        <f>IF(FuelPrices_!AK597="","",FuelPrices_!AK597)</f>
        <v/>
      </c>
      <c r="B592" t="str">
        <f>IF(FuelPrices_!AL597="","",FuelPrices_!AL597)</f>
        <v/>
      </c>
      <c r="C592" t="str">
        <f>IF(FuelPrices_!AM597="","",FuelPrices_!AM597)</f>
        <v/>
      </c>
      <c r="D592" t="str">
        <f>IF(FuelPrices_!AN597="","",FuelPrices_!AN597)</f>
        <v/>
      </c>
      <c r="E592" t="str">
        <f>IFERROR(VLOOKUP(A592,FuelPrices_!$B$49:$G$57,6,FALSE),"")</f>
        <v/>
      </c>
      <c r="F592" t="str">
        <f>IFERROR(VLOOKUP(A592,FuelPrices_!$B$61:$G$69,6,FALSE),"")</f>
        <v/>
      </c>
      <c r="G592" t="str">
        <f t="shared" si="15"/>
        <v/>
      </c>
    </row>
    <row r="593" spans="1:7" x14ac:dyDescent="0.25">
      <c r="A593" t="str">
        <f>IF(FuelPrices_!AK598="","",FuelPrices_!AK598)</f>
        <v/>
      </c>
      <c r="B593" t="str">
        <f>IF(FuelPrices_!AL598="","",FuelPrices_!AL598)</f>
        <v/>
      </c>
      <c r="C593" t="str">
        <f>IF(FuelPrices_!AM598="","",FuelPrices_!AM598)</f>
        <v/>
      </c>
      <c r="D593" t="str">
        <f>IF(FuelPrices_!AN598="","",FuelPrices_!AN598)</f>
        <v/>
      </c>
      <c r="E593" t="str">
        <f>IFERROR(VLOOKUP(A593,FuelPrices_!$B$49:$G$57,6,FALSE),"")</f>
        <v/>
      </c>
      <c r="F593" t="str">
        <f>IFERROR(VLOOKUP(A593,FuelPrices_!$B$61:$G$69,6,FALSE),"")</f>
        <v/>
      </c>
      <c r="G593" t="str">
        <f t="shared" si="15"/>
        <v/>
      </c>
    </row>
    <row r="594" spans="1:7" x14ac:dyDescent="0.25">
      <c r="A594" t="str">
        <f>IF(FuelPrices_!AK599="","",FuelPrices_!AK599)</f>
        <v/>
      </c>
      <c r="B594" t="str">
        <f>IF(FuelPrices_!AL599="","",FuelPrices_!AL599)</f>
        <v/>
      </c>
      <c r="C594" t="str">
        <f>IF(FuelPrices_!AM599="","",FuelPrices_!AM599)</f>
        <v/>
      </c>
      <c r="D594" t="str">
        <f>IF(FuelPrices_!AN599="","",FuelPrices_!AN599)</f>
        <v/>
      </c>
      <c r="E594" t="str">
        <f>IFERROR(VLOOKUP(A594,FuelPrices_!$B$49:$G$57,6,FALSE),"")</f>
        <v/>
      </c>
      <c r="F594" t="str">
        <f>IFERROR(VLOOKUP(A594,FuelPrices_!$B$61:$G$69,6,FALSE),"")</f>
        <v/>
      </c>
      <c r="G594" t="str">
        <f t="shared" si="15"/>
        <v/>
      </c>
    </row>
    <row r="595" spans="1:7" x14ac:dyDescent="0.25">
      <c r="A595" t="str">
        <f>IF(FuelPrices_!AK600="","",FuelPrices_!AK600)</f>
        <v/>
      </c>
      <c r="B595" t="str">
        <f>IF(FuelPrices_!AL600="","",FuelPrices_!AL600)</f>
        <v/>
      </c>
      <c r="C595" t="str">
        <f>IF(FuelPrices_!AM600="","",FuelPrices_!AM600)</f>
        <v/>
      </c>
      <c r="D595" t="str">
        <f>IF(FuelPrices_!AN600="","",FuelPrices_!AN600)</f>
        <v/>
      </c>
      <c r="E595" t="str">
        <f>IFERROR(VLOOKUP(A595,FuelPrices_!$B$49:$G$57,6,FALSE),"")</f>
        <v/>
      </c>
      <c r="F595" t="str">
        <f>IFERROR(VLOOKUP(A595,FuelPrices_!$B$61:$G$69,6,FALSE),"")</f>
        <v/>
      </c>
      <c r="G595" t="str">
        <f t="shared" si="15"/>
        <v/>
      </c>
    </row>
    <row r="596" spans="1:7" x14ac:dyDescent="0.25">
      <c r="A596" t="str">
        <f>IF(FuelPrices_!AK601="","",FuelPrices_!AK601)</f>
        <v/>
      </c>
      <c r="B596" t="str">
        <f>IF(FuelPrices_!AL601="","",FuelPrices_!AL601)</f>
        <v/>
      </c>
      <c r="C596" t="str">
        <f>IF(FuelPrices_!AM601="","",FuelPrices_!AM601)</f>
        <v/>
      </c>
      <c r="D596" t="str">
        <f>IF(FuelPrices_!AN601="","",FuelPrices_!AN601)</f>
        <v/>
      </c>
      <c r="E596" t="str">
        <f>IFERROR(VLOOKUP(A596,FuelPrices_!$B$49:$G$57,6,FALSE),"")</f>
        <v/>
      </c>
      <c r="F596" t="str">
        <f>IFERROR(VLOOKUP(A596,FuelPrices_!$B$61:$G$69,6,FALSE),"")</f>
        <v/>
      </c>
      <c r="G596" t="str">
        <f t="shared" si="15"/>
        <v/>
      </c>
    </row>
    <row r="597" spans="1:7" x14ac:dyDescent="0.25">
      <c r="A597" t="str">
        <f>IF(FuelPrices_!AK602="","",FuelPrices_!AK602)</f>
        <v/>
      </c>
      <c r="B597" t="str">
        <f>IF(FuelPrices_!AL602="","",FuelPrices_!AL602)</f>
        <v/>
      </c>
      <c r="C597" t="str">
        <f>IF(FuelPrices_!AM602="","",FuelPrices_!AM602)</f>
        <v/>
      </c>
      <c r="D597" t="str">
        <f>IF(FuelPrices_!AN602="","",FuelPrices_!AN602)</f>
        <v/>
      </c>
      <c r="E597" t="str">
        <f>IFERROR(VLOOKUP(A597,FuelPrices_!$B$49:$G$57,6,FALSE),"")</f>
        <v/>
      </c>
      <c r="F597" t="str">
        <f>IFERROR(VLOOKUP(A597,FuelPrices_!$B$61:$G$69,6,FALSE),"")</f>
        <v/>
      </c>
      <c r="G597" t="str">
        <f t="shared" si="15"/>
        <v/>
      </c>
    </row>
    <row r="598" spans="1:7" x14ac:dyDescent="0.25">
      <c r="A598" t="str">
        <f>IF(FuelPrices_!AK603="","",FuelPrices_!AK603)</f>
        <v/>
      </c>
      <c r="B598" t="str">
        <f>IF(FuelPrices_!AL603="","",FuelPrices_!AL603)</f>
        <v/>
      </c>
      <c r="C598" t="str">
        <f>IF(FuelPrices_!AM603="","",FuelPrices_!AM603)</f>
        <v/>
      </c>
      <c r="D598" t="str">
        <f>IF(FuelPrices_!AN603="","",FuelPrices_!AN603)</f>
        <v/>
      </c>
      <c r="E598" t="str">
        <f>IFERROR(VLOOKUP(A598,FuelPrices_!$B$49:$G$57,6,FALSE),"")</f>
        <v/>
      </c>
      <c r="F598" t="str">
        <f>IFERROR(VLOOKUP(A598,FuelPrices_!$B$61:$G$69,6,FALSE),"")</f>
        <v/>
      </c>
      <c r="G598" t="str">
        <f t="shared" si="15"/>
        <v/>
      </c>
    </row>
    <row r="599" spans="1:7" x14ac:dyDescent="0.25">
      <c r="A599" t="str">
        <f>IF(FuelPrices_!AK604="","",FuelPrices_!AK604)</f>
        <v/>
      </c>
      <c r="B599" t="str">
        <f>IF(FuelPrices_!AL604="","",FuelPrices_!AL604)</f>
        <v/>
      </c>
      <c r="C599" t="str">
        <f>IF(FuelPrices_!AM604="","",FuelPrices_!AM604)</f>
        <v/>
      </c>
      <c r="D599" t="str">
        <f>IF(FuelPrices_!AN604="","",FuelPrices_!AN604)</f>
        <v/>
      </c>
      <c r="E599" t="str">
        <f>IFERROR(VLOOKUP(A599,FuelPrices_!$B$49:$G$57,6,FALSE),"")</f>
        <v/>
      </c>
      <c r="F599" t="str">
        <f>IFERROR(VLOOKUP(A599,FuelPrices_!$B$61:$G$69,6,FALSE),"")</f>
        <v/>
      </c>
      <c r="G599" t="str">
        <f t="shared" ref="G599:G662" si="16">IFERROR(D599+E599+F599,"")</f>
        <v/>
      </c>
    </row>
    <row r="600" spans="1:7" x14ac:dyDescent="0.25">
      <c r="A600" t="str">
        <f>IF(FuelPrices_!AK605="","",FuelPrices_!AK605)</f>
        <v/>
      </c>
      <c r="B600" t="str">
        <f>IF(FuelPrices_!AL605="","",FuelPrices_!AL605)</f>
        <v/>
      </c>
      <c r="C600" t="str">
        <f>IF(FuelPrices_!AM605="","",FuelPrices_!AM605)</f>
        <v/>
      </c>
      <c r="D600" t="str">
        <f>IF(FuelPrices_!AN605="","",FuelPrices_!AN605)</f>
        <v/>
      </c>
      <c r="E600" t="str">
        <f>IFERROR(VLOOKUP(A600,FuelPrices_!$B$49:$G$57,6,FALSE),"")</f>
        <v/>
      </c>
      <c r="F600" t="str">
        <f>IFERROR(VLOOKUP(A600,FuelPrices_!$B$61:$G$69,6,FALSE),"")</f>
        <v/>
      </c>
      <c r="G600" t="str">
        <f t="shared" si="16"/>
        <v/>
      </c>
    </row>
    <row r="601" spans="1:7" x14ac:dyDescent="0.25">
      <c r="A601" t="str">
        <f>IF(FuelPrices_!AK606="","",FuelPrices_!AK606)</f>
        <v/>
      </c>
      <c r="B601" t="str">
        <f>IF(FuelPrices_!AL606="","",FuelPrices_!AL606)</f>
        <v/>
      </c>
      <c r="C601" t="str">
        <f>IF(FuelPrices_!AM606="","",FuelPrices_!AM606)</f>
        <v/>
      </c>
      <c r="D601" t="str">
        <f>IF(FuelPrices_!AN606="","",FuelPrices_!AN606)</f>
        <v/>
      </c>
      <c r="E601" t="str">
        <f>IFERROR(VLOOKUP(A601,FuelPrices_!$B$49:$G$57,6,FALSE),"")</f>
        <v/>
      </c>
      <c r="F601" t="str">
        <f>IFERROR(VLOOKUP(A601,FuelPrices_!$B$61:$G$69,6,FALSE),"")</f>
        <v/>
      </c>
      <c r="G601" t="str">
        <f t="shared" si="16"/>
        <v/>
      </c>
    </row>
    <row r="602" spans="1:7" x14ac:dyDescent="0.25">
      <c r="A602" t="str">
        <f>IF(FuelPrices_!AK607="","",FuelPrices_!AK607)</f>
        <v/>
      </c>
      <c r="B602" t="str">
        <f>IF(FuelPrices_!AL607="","",FuelPrices_!AL607)</f>
        <v/>
      </c>
      <c r="C602" t="str">
        <f>IF(FuelPrices_!AM607="","",FuelPrices_!AM607)</f>
        <v/>
      </c>
      <c r="D602" t="str">
        <f>IF(FuelPrices_!AN607="","",FuelPrices_!AN607)</f>
        <v/>
      </c>
      <c r="E602" t="str">
        <f>IFERROR(VLOOKUP(A602,FuelPrices_!$B$49:$G$57,6,FALSE),"")</f>
        <v/>
      </c>
      <c r="F602" t="str">
        <f>IFERROR(VLOOKUP(A602,FuelPrices_!$B$61:$G$69,6,FALSE),"")</f>
        <v/>
      </c>
      <c r="G602" t="str">
        <f t="shared" si="16"/>
        <v/>
      </c>
    </row>
    <row r="603" spans="1:7" x14ac:dyDescent="0.25">
      <c r="A603" t="str">
        <f>IF(FuelPrices_!AK608="","",FuelPrices_!AK608)</f>
        <v/>
      </c>
      <c r="B603" t="str">
        <f>IF(FuelPrices_!AL608="","",FuelPrices_!AL608)</f>
        <v/>
      </c>
      <c r="C603" t="str">
        <f>IF(FuelPrices_!AM608="","",FuelPrices_!AM608)</f>
        <v/>
      </c>
      <c r="D603" t="str">
        <f>IF(FuelPrices_!AN608="","",FuelPrices_!AN608)</f>
        <v/>
      </c>
      <c r="E603" t="str">
        <f>IFERROR(VLOOKUP(A603,FuelPrices_!$B$49:$G$57,6,FALSE),"")</f>
        <v/>
      </c>
      <c r="F603" t="str">
        <f>IFERROR(VLOOKUP(A603,FuelPrices_!$B$61:$G$69,6,FALSE),"")</f>
        <v/>
      </c>
      <c r="G603" t="str">
        <f t="shared" si="16"/>
        <v/>
      </c>
    </row>
    <row r="604" spans="1:7" x14ac:dyDescent="0.25">
      <c r="A604" t="str">
        <f>IF(FuelPrices_!AK609="","",FuelPrices_!AK609)</f>
        <v/>
      </c>
      <c r="B604" t="str">
        <f>IF(FuelPrices_!AL609="","",FuelPrices_!AL609)</f>
        <v/>
      </c>
      <c r="C604" t="str">
        <f>IF(FuelPrices_!AM609="","",FuelPrices_!AM609)</f>
        <v/>
      </c>
      <c r="D604" t="str">
        <f>IF(FuelPrices_!AN609="","",FuelPrices_!AN609)</f>
        <v/>
      </c>
      <c r="E604" t="str">
        <f>IFERROR(VLOOKUP(A604,FuelPrices_!$B$49:$G$57,6,FALSE),"")</f>
        <v/>
      </c>
      <c r="F604" t="str">
        <f>IFERROR(VLOOKUP(A604,FuelPrices_!$B$61:$G$69,6,FALSE),"")</f>
        <v/>
      </c>
      <c r="G604" t="str">
        <f t="shared" si="16"/>
        <v/>
      </c>
    </row>
    <row r="605" spans="1:7" x14ac:dyDescent="0.25">
      <c r="A605" t="str">
        <f>IF(FuelPrices_!AK610="","",FuelPrices_!AK610)</f>
        <v/>
      </c>
      <c r="B605" t="str">
        <f>IF(FuelPrices_!AL610="","",FuelPrices_!AL610)</f>
        <v/>
      </c>
      <c r="C605" t="str">
        <f>IF(FuelPrices_!AM610="","",FuelPrices_!AM610)</f>
        <v/>
      </c>
      <c r="D605" t="str">
        <f>IF(FuelPrices_!AN610="","",FuelPrices_!AN610)</f>
        <v/>
      </c>
      <c r="E605" t="str">
        <f>IFERROR(VLOOKUP(A605,FuelPrices_!$B$49:$G$57,6,FALSE),"")</f>
        <v/>
      </c>
      <c r="F605" t="str">
        <f>IFERROR(VLOOKUP(A605,FuelPrices_!$B$61:$G$69,6,FALSE),"")</f>
        <v/>
      </c>
      <c r="G605" t="str">
        <f t="shared" si="16"/>
        <v/>
      </c>
    </row>
    <row r="606" spans="1:7" x14ac:dyDescent="0.25">
      <c r="A606" t="str">
        <f>IF(FuelPrices_!AK611="","",FuelPrices_!AK611)</f>
        <v/>
      </c>
      <c r="B606" t="str">
        <f>IF(FuelPrices_!AL611="","",FuelPrices_!AL611)</f>
        <v/>
      </c>
      <c r="C606" t="str">
        <f>IF(FuelPrices_!AM611="","",FuelPrices_!AM611)</f>
        <v/>
      </c>
      <c r="D606" t="str">
        <f>IF(FuelPrices_!AN611="","",FuelPrices_!AN611)</f>
        <v/>
      </c>
      <c r="E606" t="str">
        <f>IFERROR(VLOOKUP(A606,FuelPrices_!$B$49:$G$57,6,FALSE),"")</f>
        <v/>
      </c>
      <c r="F606" t="str">
        <f>IFERROR(VLOOKUP(A606,FuelPrices_!$B$61:$G$69,6,FALSE),"")</f>
        <v/>
      </c>
      <c r="G606" t="str">
        <f t="shared" si="16"/>
        <v/>
      </c>
    </row>
    <row r="607" spans="1:7" x14ac:dyDescent="0.25">
      <c r="A607" t="str">
        <f>IF(FuelPrices_!AK612="","",FuelPrices_!AK612)</f>
        <v/>
      </c>
      <c r="B607" t="str">
        <f>IF(FuelPrices_!AL612="","",FuelPrices_!AL612)</f>
        <v/>
      </c>
      <c r="C607" t="str">
        <f>IF(FuelPrices_!AM612="","",FuelPrices_!AM612)</f>
        <v/>
      </c>
      <c r="D607" t="str">
        <f>IF(FuelPrices_!AN612="","",FuelPrices_!AN612)</f>
        <v/>
      </c>
      <c r="E607" t="str">
        <f>IFERROR(VLOOKUP(A607,FuelPrices_!$B$49:$G$57,6,FALSE),"")</f>
        <v/>
      </c>
      <c r="F607" t="str">
        <f>IFERROR(VLOOKUP(A607,FuelPrices_!$B$61:$G$69,6,FALSE),"")</f>
        <v/>
      </c>
      <c r="G607" t="str">
        <f t="shared" si="16"/>
        <v/>
      </c>
    </row>
    <row r="608" spans="1:7" x14ac:dyDescent="0.25">
      <c r="A608" t="str">
        <f>IF(FuelPrices_!AK613="","",FuelPrices_!AK613)</f>
        <v/>
      </c>
      <c r="B608" t="str">
        <f>IF(FuelPrices_!AL613="","",FuelPrices_!AL613)</f>
        <v/>
      </c>
      <c r="C608" t="str">
        <f>IF(FuelPrices_!AM613="","",FuelPrices_!AM613)</f>
        <v/>
      </c>
      <c r="D608" t="str">
        <f>IF(FuelPrices_!AN613="","",FuelPrices_!AN613)</f>
        <v/>
      </c>
      <c r="E608" t="str">
        <f>IFERROR(VLOOKUP(A608,FuelPrices_!$B$49:$G$57,6,FALSE),"")</f>
        <v/>
      </c>
      <c r="F608" t="str">
        <f>IFERROR(VLOOKUP(A608,FuelPrices_!$B$61:$G$69,6,FALSE),"")</f>
        <v/>
      </c>
      <c r="G608" t="str">
        <f t="shared" si="16"/>
        <v/>
      </c>
    </row>
    <row r="609" spans="1:7" x14ac:dyDescent="0.25">
      <c r="A609" t="str">
        <f>IF(FuelPrices_!AK614="","",FuelPrices_!AK614)</f>
        <v/>
      </c>
      <c r="B609" t="str">
        <f>IF(FuelPrices_!AL614="","",FuelPrices_!AL614)</f>
        <v/>
      </c>
      <c r="C609" t="str">
        <f>IF(FuelPrices_!AM614="","",FuelPrices_!AM614)</f>
        <v/>
      </c>
      <c r="D609" t="str">
        <f>IF(FuelPrices_!AN614="","",FuelPrices_!AN614)</f>
        <v/>
      </c>
      <c r="E609" t="str">
        <f>IFERROR(VLOOKUP(A609,FuelPrices_!$B$49:$G$57,6,FALSE),"")</f>
        <v/>
      </c>
      <c r="F609" t="str">
        <f>IFERROR(VLOOKUP(A609,FuelPrices_!$B$61:$G$69,6,FALSE),"")</f>
        <v/>
      </c>
      <c r="G609" t="str">
        <f t="shared" si="16"/>
        <v/>
      </c>
    </row>
    <row r="610" spans="1:7" x14ac:dyDescent="0.25">
      <c r="A610" t="str">
        <f>IF(FuelPrices_!AK615="","",FuelPrices_!AK615)</f>
        <v/>
      </c>
      <c r="B610" t="str">
        <f>IF(FuelPrices_!AL615="","",FuelPrices_!AL615)</f>
        <v/>
      </c>
      <c r="C610" t="str">
        <f>IF(FuelPrices_!AM615="","",FuelPrices_!AM615)</f>
        <v/>
      </c>
      <c r="D610" t="str">
        <f>IF(FuelPrices_!AN615="","",FuelPrices_!AN615)</f>
        <v/>
      </c>
      <c r="E610" t="str">
        <f>IFERROR(VLOOKUP(A610,FuelPrices_!$B$49:$G$57,6,FALSE),"")</f>
        <v/>
      </c>
      <c r="F610" t="str">
        <f>IFERROR(VLOOKUP(A610,FuelPrices_!$B$61:$G$69,6,FALSE),"")</f>
        <v/>
      </c>
      <c r="G610" t="str">
        <f t="shared" si="16"/>
        <v/>
      </c>
    </row>
    <row r="611" spans="1:7" x14ac:dyDescent="0.25">
      <c r="A611" t="str">
        <f>IF(FuelPrices_!AK616="","",FuelPrices_!AK616)</f>
        <v/>
      </c>
      <c r="B611" t="str">
        <f>IF(FuelPrices_!AL616="","",FuelPrices_!AL616)</f>
        <v/>
      </c>
      <c r="C611" t="str">
        <f>IF(FuelPrices_!AM616="","",FuelPrices_!AM616)</f>
        <v/>
      </c>
      <c r="D611" t="str">
        <f>IF(FuelPrices_!AN616="","",FuelPrices_!AN616)</f>
        <v/>
      </c>
      <c r="E611" t="str">
        <f>IFERROR(VLOOKUP(A611,FuelPrices_!$B$49:$G$57,6,FALSE),"")</f>
        <v/>
      </c>
      <c r="F611" t="str">
        <f>IFERROR(VLOOKUP(A611,FuelPrices_!$B$61:$G$69,6,FALSE),"")</f>
        <v/>
      </c>
      <c r="G611" t="str">
        <f t="shared" si="16"/>
        <v/>
      </c>
    </row>
    <row r="612" spans="1:7" x14ac:dyDescent="0.25">
      <c r="A612" t="str">
        <f>IF(FuelPrices_!AK617="","",FuelPrices_!AK617)</f>
        <v/>
      </c>
      <c r="B612" t="str">
        <f>IF(FuelPrices_!AL617="","",FuelPrices_!AL617)</f>
        <v/>
      </c>
      <c r="C612" t="str">
        <f>IF(FuelPrices_!AM617="","",FuelPrices_!AM617)</f>
        <v/>
      </c>
      <c r="D612" t="str">
        <f>IF(FuelPrices_!AN617="","",FuelPrices_!AN617)</f>
        <v/>
      </c>
      <c r="E612" t="str">
        <f>IFERROR(VLOOKUP(A612,FuelPrices_!$B$49:$G$57,6,FALSE),"")</f>
        <v/>
      </c>
      <c r="F612" t="str">
        <f>IFERROR(VLOOKUP(A612,FuelPrices_!$B$61:$G$69,6,FALSE),"")</f>
        <v/>
      </c>
      <c r="G612" t="str">
        <f t="shared" si="16"/>
        <v/>
      </c>
    </row>
    <row r="613" spans="1:7" x14ac:dyDescent="0.25">
      <c r="A613" t="str">
        <f>IF(FuelPrices_!AK618="","",FuelPrices_!AK618)</f>
        <v/>
      </c>
      <c r="B613" t="str">
        <f>IF(FuelPrices_!AL618="","",FuelPrices_!AL618)</f>
        <v/>
      </c>
      <c r="C613" t="str">
        <f>IF(FuelPrices_!AM618="","",FuelPrices_!AM618)</f>
        <v/>
      </c>
      <c r="D613" t="str">
        <f>IF(FuelPrices_!AN618="","",FuelPrices_!AN618)</f>
        <v/>
      </c>
      <c r="E613" t="str">
        <f>IFERROR(VLOOKUP(A613,FuelPrices_!$B$49:$G$57,6,FALSE),"")</f>
        <v/>
      </c>
      <c r="F613" t="str">
        <f>IFERROR(VLOOKUP(A613,FuelPrices_!$B$61:$G$69,6,FALSE),"")</f>
        <v/>
      </c>
      <c r="G613" t="str">
        <f t="shared" si="16"/>
        <v/>
      </c>
    </row>
    <row r="614" spans="1:7" x14ac:dyDescent="0.25">
      <c r="A614" t="str">
        <f>IF(FuelPrices_!AK619="","",FuelPrices_!AK619)</f>
        <v/>
      </c>
      <c r="B614" t="str">
        <f>IF(FuelPrices_!AL619="","",FuelPrices_!AL619)</f>
        <v/>
      </c>
      <c r="C614" t="str">
        <f>IF(FuelPrices_!AM619="","",FuelPrices_!AM619)</f>
        <v/>
      </c>
      <c r="D614" t="str">
        <f>IF(FuelPrices_!AN619="","",FuelPrices_!AN619)</f>
        <v/>
      </c>
      <c r="E614" t="str">
        <f>IFERROR(VLOOKUP(A614,FuelPrices_!$B$49:$G$57,6,FALSE),"")</f>
        <v/>
      </c>
      <c r="F614" t="str">
        <f>IFERROR(VLOOKUP(A614,FuelPrices_!$B$61:$G$69,6,FALSE),"")</f>
        <v/>
      </c>
      <c r="G614" t="str">
        <f t="shared" si="16"/>
        <v/>
      </c>
    </row>
    <row r="615" spans="1:7" x14ac:dyDescent="0.25">
      <c r="A615" t="str">
        <f>IF(FuelPrices_!AK620="","",FuelPrices_!AK620)</f>
        <v/>
      </c>
      <c r="B615" t="str">
        <f>IF(FuelPrices_!AL620="","",FuelPrices_!AL620)</f>
        <v/>
      </c>
      <c r="C615" t="str">
        <f>IF(FuelPrices_!AM620="","",FuelPrices_!AM620)</f>
        <v/>
      </c>
      <c r="D615" t="str">
        <f>IF(FuelPrices_!AN620="","",FuelPrices_!AN620)</f>
        <v/>
      </c>
      <c r="E615" t="str">
        <f>IFERROR(VLOOKUP(A615,FuelPrices_!$B$49:$G$57,6,FALSE),"")</f>
        <v/>
      </c>
      <c r="F615" t="str">
        <f>IFERROR(VLOOKUP(A615,FuelPrices_!$B$61:$G$69,6,FALSE),"")</f>
        <v/>
      </c>
      <c r="G615" t="str">
        <f t="shared" si="16"/>
        <v/>
      </c>
    </row>
    <row r="616" spans="1:7" x14ac:dyDescent="0.25">
      <c r="A616" t="str">
        <f>IF(FuelPrices_!AK621="","",FuelPrices_!AK621)</f>
        <v/>
      </c>
      <c r="B616" t="str">
        <f>IF(FuelPrices_!AL621="","",FuelPrices_!AL621)</f>
        <v/>
      </c>
      <c r="C616" t="str">
        <f>IF(FuelPrices_!AM621="","",FuelPrices_!AM621)</f>
        <v/>
      </c>
      <c r="D616" t="str">
        <f>IF(FuelPrices_!AN621="","",FuelPrices_!AN621)</f>
        <v/>
      </c>
      <c r="E616" t="str">
        <f>IFERROR(VLOOKUP(A616,FuelPrices_!$B$49:$G$57,6,FALSE),"")</f>
        <v/>
      </c>
      <c r="F616" t="str">
        <f>IFERROR(VLOOKUP(A616,FuelPrices_!$B$61:$G$69,6,FALSE),"")</f>
        <v/>
      </c>
      <c r="G616" t="str">
        <f t="shared" si="16"/>
        <v/>
      </c>
    </row>
    <row r="617" spans="1:7" x14ac:dyDescent="0.25">
      <c r="A617" t="str">
        <f>IF(FuelPrices_!AK622="","",FuelPrices_!AK622)</f>
        <v/>
      </c>
      <c r="B617" t="str">
        <f>IF(FuelPrices_!AL622="","",FuelPrices_!AL622)</f>
        <v/>
      </c>
      <c r="C617" t="str">
        <f>IF(FuelPrices_!AM622="","",FuelPrices_!AM622)</f>
        <v/>
      </c>
      <c r="D617" t="str">
        <f>IF(FuelPrices_!AN622="","",FuelPrices_!AN622)</f>
        <v/>
      </c>
      <c r="E617" t="str">
        <f>IFERROR(VLOOKUP(A617,FuelPrices_!$B$49:$G$57,6,FALSE),"")</f>
        <v/>
      </c>
      <c r="F617" t="str">
        <f>IFERROR(VLOOKUP(A617,FuelPrices_!$B$61:$G$69,6,FALSE),"")</f>
        <v/>
      </c>
      <c r="G617" t="str">
        <f t="shared" si="16"/>
        <v/>
      </c>
    </row>
    <row r="618" spans="1:7" x14ac:dyDescent="0.25">
      <c r="A618" t="str">
        <f>IF(FuelPrices_!AK623="","",FuelPrices_!AK623)</f>
        <v/>
      </c>
      <c r="B618" t="str">
        <f>IF(FuelPrices_!AL623="","",FuelPrices_!AL623)</f>
        <v/>
      </c>
      <c r="C618" t="str">
        <f>IF(FuelPrices_!AM623="","",FuelPrices_!AM623)</f>
        <v/>
      </c>
      <c r="D618" t="str">
        <f>IF(FuelPrices_!AN623="","",FuelPrices_!AN623)</f>
        <v/>
      </c>
      <c r="E618" t="str">
        <f>IFERROR(VLOOKUP(A618,FuelPrices_!$B$49:$G$57,6,FALSE),"")</f>
        <v/>
      </c>
      <c r="F618" t="str">
        <f>IFERROR(VLOOKUP(A618,FuelPrices_!$B$61:$G$69,6,FALSE),"")</f>
        <v/>
      </c>
      <c r="G618" t="str">
        <f t="shared" si="16"/>
        <v/>
      </c>
    </row>
    <row r="619" spans="1:7" x14ac:dyDescent="0.25">
      <c r="A619" t="str">
        <f>IF(FuelPrices_!AK624="","",FuelPrices_!AK624)</f>
        <v/>
      </c>
      <c r="B619" t="str">
        <f>IF(FuelPrices_!AL624="","",FuelPrices_!AL624)</f>
        <v/>
      </c>
      <c r="C619" t="str">
        <f>IF(FuelPrices_!AM624="","",FuelPrices_!AM624)</f>
        <v/>
      </c>
      <c r="D619" t="str">
        <f>IF(FuelPrices_!AN624="","",FuelPrices_!AN624)</f>
        <v/>
      </c>
      <c r="E619" t="str">
        <f>IFERROR(VLOOKUP(A619,FuelPrices_!$B$49:$G$57,6,FALSE),"")</f>
        <v/>
      </c>
      <c r="F619" t="str">
        <f>IFERROR(VLOOKUP(A619,FuelPrices_!$B$61:$G$69,6,FALSE),"")</f>
        <v/>
      </c>
      <c r="G619" t="str">
        <f t="shared" si="16"/>
        <v/>
      </c>
    </row>
    <row r="620" spans="1:7" x14ac:dyDescent="0.25">
      <c r="A620" t="str">
        <f>IF(FuelPrices_!AK625="","",FuelPrices_!AK625)</f>
        <v/>
      </c>
      <c r="B620" t="str">
        <f>IF(FuelPrices_!AL625="","",FuelPrices_!AL625)</f>
        <v/>
      </c>
      <c r="C620" t="str">
        <f>IF(FuelPrices_!AM625="","",FuelPrices_!AM625)</f>
        <v/>
      </c>
      <c r="D620" t="str">
        <f>IF(FuelPrices_!AN625="","",FuelPrices_!AN625)</f>
        <v/>
      </c>
      <c r="E620" t="str">
        <f>IFERROR(VLOOKUP(A620,FuelPrices_!$B$49:$G$57,6,FALSE),"")</f>
        <v/>
      </c>
      <c r="F620" t="str">
        <f>IFERROR(VLOOKUP(A620,FuelPrices_!$B$61:$G$69,6,FALSE),"")</f>
        <v/>
      </c>
      <c r="G620" t="str">
        <f t="shared" si="16"/>
        <v/>
      </c>
    </row>
    <row r="621" spans="1:7" x14ac:dyDescent="0.25">
      <c r="A621" t="str">
        <f>IF(FuelPrices_!AK626="","",FuelPrices_!AK626)</f>
        <v/>
      </c>
      <c r="B621" t="str">
        <f>IF(FuelPrices_!AL626="","",FuelPrices_!AL626)</f>
        <v/>
      </c>
      <c r="C621" t="str">
        <f>IF(FuelPrices_!AM626="","",FuelPrices_!AM626)</f>
        <v/>
      </c>
      <c r="D621" t="str">
        <f>IF(FuelPrices_!AN626="","",FuelPrices_!AN626)</f>
        <v/>
      </c>
      <c r="E621" t="str">
        <f>IFERROR(VLOOKUP(A621,FuelPrices_!$B$49:$G$57,6,FALSE),"")</f>
        <v/>
      </c>
      <c r="F621" t="str">
        <f>IFERROR(VLOOKUP(A621,FuelPrices_!$B$61:$G$69,6,FALSE),"")</f>
        <v/>
      </c>
      <c r="G621" t="str">
        <f t="shared" si="16"/>
        <v/>
      </c>
    </row>
    <row r="622" spans="1:7" x14ac:dyDescent="0.25">
      <c r="A622" t="str">
        <f>IF(FuelPrices_!AK627="","",FuelPrices_!AK627)</f>
        <v/>
      </c>
      <c r="B622" t="str">
        <f>IF(FuelPrices_!AL627="","",FuelPrices_!AL627)</f>
        <v/>
      </c>
      <c r="C622" t="str">
        <f>IF(FuelPrices_!AM627="","",FuelPrices_!AM627)</f>
        <v/>
      </c>
      <c r="D622" t="str">
        <f>IF(FuelPrices_!AN627="","",FuelPrices_!AN627)</f>
        <v/>
      </c>
      <c r="E622" t="str">
        <f>IFERROR(VLOOKUP(A622,FuelPrices_!$B$49:$G$57,6,FALSE),"")</f>
        <v/>
      </c>
      <c r="F622" t="str">
        <f>IFERROR(VLOOKUP(A622,FuelPrices_!$B$61:$G$69,6,FALSE),"")</f>
        <v/>
      </c>
      <c r="G622" t="str">
        <f t="shared" si="16"/>
        <v/>
      </c>
    </row>
    <row r="623" spans="1:7" x14ac:dyDescent="0.25">
      <c r="A623" t="str">
        <f>IF(FuelPrices_!AK628="","",FuelPrices_!AK628)</f>
        <v/>
      </c>
      <c r="B623" t="str">
        <f>IF(FuelPrices_!AL628="","",FuelPrices_!AL628)</f>
        <v/>
      </c>
      <c r="C623" t="str">
        <f>IF(FuelPrices_!AM628="","",FuelPrices_!AM628)</f>
        <v/>
      </c>
      <c r="D623" t="str">
        <f>IF(FuelPrices_!AN628="","",FuelPrices_!AN628)</f>
        <v/>
      </c>
      <c r="E623" t="str">
        <f>IFERROR(VLOOKUP(A623,FuelPrices_!$B$49:$G$57,6,FALSE),"")</f>
        <v/>
      </c>
      <c r="F623" t="str">
        <f>IFERROR(VLOOKUP(A623,FuelPrices_!$B$61:$G$69,6,FALSE),"")</f>
        <v/>
      </c>
      <c r="G623" t="str">
        <f t="shared" si="16"/>
        <v/>
      </c>
    </row>
    <row r="624" spans="1:7" x14ac:dyDescent="0.25">
      <c r="A624" t="str">
        <f>IF(FuelPrices_!AK629="","",FuelPrices_!AK629)</f>
        <v/>
      </c>
      <c r="B624" t="str">
        <f>IF(FuelPrices_!AL629="","",FuelPrices_!AL629)</f>
        <v/>
      </c>
      <c r="C624" t="str">
        <f>IF(FuelPrices_!AM629="","",FuelPrices_!AM629)</f>
        <v/>
      </c>
      <c r="D624" t="str">
        <f>IF(FuelPrices_!AN629="","",FuelPrices_!AN629)</f>
        <v/>
      </c>
      <c r="E624" t="str">
        <f>IFERROR(VLOOKUP(A624,FuelPrices_!$B$49:$G$57,6,FALSE),"")</f>
        <v/>
      </c>
      <c r="F624" t="str">
        <f>IFERROR(VLOOKUP(A624,FuelPrices_!$B$61:$G$69,6,FALSE),"")</f>
        <v/>
      </c>
      <c r="G624" t="str">
        <f t="shared" si="16"/>
        <v/>
      </c>
    </row>
    <row r="625" spans="1:7" x14ac:dyDescent="0.25">
      <c r="A625" t="str">
        <f>IF(FuelPrices_!AK630="","",FuelPrices_!AK630)</f>
        <v/>
      </c>
      <c r="B625" t="str">
        <f>IF(FuelPrices_!AL630="","",FuelPrices_!AL630)</f>
        <v/>
      </c>
      <c r="C625" t="str">
        <f>IF(FuelPrices_!AM630="","",FuelPrices_!AM630)</f>
        <v/>
      </c>
      <c r="D625" t="str">
        <f>IF(FuelPrices_!AN630="","",FuelPrices_!AN630)</f>
        <v/>
      </c>
      <c r="E625" t="str">
        <f>IFERROR(VLOOKUP(A625,FuelPrices_!$B$49:$G$57,6,FALSE),"")</f>
        <v/>
      </c>
      <c r="F625" t="str">
        <f>IFERROR(VLOOKUP(A625,FuelPrices_!$B$61:$G$69,6,FALSE),"")</f>
        <v/>
      </c>
      <c r="G625" t="str">
        <f t="shared" si="16"/>
        <v/>
      </c>
    </row>
    <row r="626" spans="1:7" x14ac:dyDescent="0.25">
      <c r="A626" t="str">
        <f>IF(FuelPrices_!AK631="","",FuelPrices_!AK631)</f>
        <v/>
      </c>
      <c r="B626" t="str">
        <f>IF(FuelPrices_!AL631="","",FuelPrices_!AL631)</f>
        <v/>
      </c>
      <c r="C626" t="str">
        <f>IF(FuelPrices_!AM631="","",FuelPrices_!AM631)</f>
        <v/>
      </c>
      <c r="D626" t="str">
        <f>IF(FuelPrices_!AN631="","",FuelPrices_!AN631)</f>
        <v/>
      </c>
      <c r="E626" t="str">
        <f>IFERROR(VLOOKUP(A626,FuelPrices_!$B$49:$G$57,6,FALSE),"")</f>
        <v/>
      </c>
      <c r="F626" t="str">
        <f>IFERROR(VLOOKUP(A626,FuelPrices_!$B$61:$G$69,6,FALSE),"")</f>
        <v/>
      </c>
      <c r="G626" t="str">
        <f t="shared" si="16"/>
        <v/>
      </c>
    </row>
    <row r="627" spans="1:7" x14ac:dyDescent="0.25">
      <c r="A627" t="str">
        <f>IF(FuelPrices_!AK632="","",FuelPrices_!AK632)</f>
        <v/>
      </c>
      <c r="B627" t="str">
        <f>IF(FuelPrices_!AL632="","",FuelPrices_!AL632)</f>
        <v/>
      </c>
      <c r="C627" t="str">
        <f>IF(FuelPrices_!AM632="","",FuelPrices_!AM632)</f>
        <v/>
      </c>
      <c r="D627" t="str">
        <f>IF(FuelPrices_!AN632="","",FuelPrices_!AN632)</f>
        <v/>
      </c>
      <c r="E627" t="str">
        <f>IFERROR(VLOOKUP(A627,FuelPrices_!$B$49:$G$57,6,FALSE),"")</f>
        <v/>
      </c>
      <c r="F627" t="str">
        <f>IFERROR(VLOOKUP(A627,FuelPrices_!$B$61:$G$69,6,FALSE),"")</f>
        <v/>
      </c>
      <c r="G627" t="str">
        <f t="shared" si="16"/>
        <v/>
      </c>
    </row>
    <row r="628" spans="1:7" x14ac:dyDescent="0.25">
      <c r="A628" t="str">
        <f>IF(FuelPrices_!AK633="","",FuelPrices_!AK633)</f>
        <v/>
      </c>
      <c r="B628" t="str">
        <f>IF(FuelPrices_!AL633="","",FuelPrices_!AL633)</f>
        <v/>
      </c>
      <c r="C628" t="str">
        <f>IF(FuelPrices_!AM633="","",FuelPrices_!AM633)</f>
        <v/>
      </c>
      <c r="D628" t="str">
        <f>IF(FuelPrices_!AN633="","",FuelPrices_!AN633)</f>
        <v/>
      </c>
      <c r="E628" t="str">
        <f>IFERROR(VLOOKUP(A628,FuelPrices_!$B$49:$G$57,6,FALSE),"")</f>
        <v/>
      </c>
      <c r="F628" t="str">
        <f>IFERROR(VLOOKUP(A628,FuelPrices_!$B$61:$G$69,6,FALSE),"")</f>
        <v/>
      </c>
      <c r="G628" t="str">
        <f t="shared" si="16"/>
        <v/>
      </c>
    </row>
    <row r="629" spans="1:7" x14ac:dyDescent="0.25">
      <c r="A629" t="str">
        <f>IF(FuelPrices_!AK634="","",FuelPrices_!AK634)</f>
        <v/>
      </c>
      <c r="B629" t="str">
        <f>IF(FuelPrices_!AL634="","",FuelPrices_!AL634)</f>
        <v/>
      </c>
      <c r="C629" t="str">
        <f>IF(FuelPrices_!AM634="","",FuelPrices_!AM634)</f>
        <v/>
      </c>
      <c r="D629" t="str">
        <f>IF(FuelPrices_!AN634="","",FuelPrices_!AN634)</f>
        <v/>
      </c>
      <c r="E629" t="str">
        <f>IFERROR(VLOOKUP(A629,FuelPrices_!$B$49:$G$57,6,FALSE),"")</f>
        <v/>
      </c>
      <c r="F629" t="str">
        <f>IFERROR(VLOOKUP(A629,FuelPrices_!$B$61:$G$69,6,FALSE),"")</f>
        <v/>
      </c>
      <c r="G629" t="str">
        <f t="shared" si="16"/>
        <v/>
      </c>
    </row>
    <row r="630" spans="1:7" x14ac:dyDescent="0.25">
      <c r="A630" t="str">
        <f>IF(FuelPrices_!AK635="","",FuelPrices_!AK635)</f>
        <v/>
      </c>
      <c r="B630" t="str">
        <f>IF(FuelPrices_!AL635="","",FuelPrices_!AL635)</f>
        <v/>
      </c>
      <c r="C630" t="str">
        <f>IF(FuelPrices_!AM635="","",FuelPrices_!AM635)</f>
        <v/>
      </c>
      <c r="D630" t="str">
        <f>IF(FuelPrices_!AN635="","",FuelPrices_!AN635)</f>
        <v/>
      </c>
      <c r="E630" t="str">
        <f>IFERROR(VLOOKUP(A630,FuelPrices_!$B$49:$G$57,6,FALSE),"")</f>
        <v/>
      </c>
      <c r="F630" t="str">
        <f>IFERROR(VLOOKUP(A630,FuelPrices_!$B$61:$G$69,6,FALSE),"")</f>
        <v/>
      </c>
      <c r="G630" t="str">
        <f t="shared" si="16"/>
        <v/>
      </c>
    </row>
    <row r="631" spans="1:7" x14ac:dyDescent="0.25">
      <c r="A631" t="str">
        <f>IF(FuelPrices_!AK636="","",FuelPrices_!AK636)</f>
        <v/>
      </c>
      <c r="B631" t="str">
        <f>IF(FuelPrices_!AL636="","",FuelPrices_!AL636)</f>
        <v/>
      </c>
      <c r="C631" t="str">
        <f>IF(FuelPrices_!AM636="","",FuelPrices_!AM636)</f>
        <v/>
      </c>
      <c r="D631" t="str">
        <f>IF(FuelPrices_!AN636="","",FuelPrices_!AN636)</f>
        <v/>
      </c>
      <c r="E631" t="str">
        <f>IFERROR(VLOOKUP(A631,FuelPrices_!$B$49:$G$57,6,FALSE),"")</f>
        <v/>
      </c>
      <c r="F631" t="str">
        <f>IFERROR(VLOOKUP(A631,FuelPrices_!$B$61:$G$69,6,FALSE),"")</f>
        <v/>
      </c>
      <c r="G631" t="str">
        <f t="shared" si="16"/>
        <v/>
      </c>
    </row>
    <row r="632" spans="1:7" x14ac:dyDescent="0.25">
      <c r="A632" t="str">
        <f>IF(FuelPrices_!AK637="","",FuelPrices_!AK637)</f>
        <v/>
      </c>
      <c r="B632" t="str">
        <f>IF(FuelPrices_!AL637="","",FuelPrices_!AL637)</f>
        <v/>
      </c>
      <c r="C632" t="str">
        <f>IF(FuelPrices_!AM637="","",FuelPrices_!AM637)</f>
        <v/>
      </c>
      <c r="D632" t="str">
        <f>IF(FuelPrices_!AN637="","",FuelPrices_!AN637)</f>
        <v/>
      </c>
      <c r="E632" t="str">
        <f>IFERROR(VLOOKUP(A632,FuelPrices_!$B$49:$G$57,6,FALSE),"")</f>
        <v/>
      </c>
      <c r="F632" t="str">
        <f>IFERROR(VLOOKUP(A632,FuelPrices_!$B$61:$G$69,6,FALSE),"")</f>
        <v/>
      </c>
      <c r="G632" t="str">
        <f t="shared" si="16"/>
        <v/>
      </c>
    </row>
    <row r="633" spans="1:7" x14ac:dyDescent="0.25">
      <c r="A633" t="str">
        <f>IF(FuelPrices_!AK638="","",FuelPrices_!AK638)</f>
        <v/>
      </c>
      <c r="B633" t="str">
        <f>IF(FuelPrices_!AL638="","",FuelPrices_!AL638)</f>
        <v/>
      </c>
      <c r="C633" t="str">
        <f>IF(FuelPrices_!AM638="","",FuelPrices_!AM638)</f>
        <v/>
      </c>
      <c r="D633" t="str">
        <f>IF(FuelPrices_!AN638="","",FuelPrices_!AN638)</f>
        <v/>
      </c>
      <c r="E633" t="str">
        <f>IFERROR(VLOOKUP(A633,FuelPrices_!$B$49:$G$57,6,FALSE),"")</f>
        <v/>
      </c>
      <c r="F633" t="str">
        <f>IFERROR(VLOOKUP(A633,FuelPrices_!$B$61:$G$69,6,FALSE),"")</f>
        <v/>
      </c>
      <c r="G633" t="str">
        <f t="shared" si="16"/>
        <v/>
      </c>
    </row>
    <row r="634" spans="1:7" x14ac:dyDescent="0.25">
      <c r="A634" t="str">
        <f>IF(FuelPrices_!AK639="","",FuelPrices_!AK639)</f>
        <v/>
      </c>
      <c r="B634" t="str">
        <f>IF(FuelPrices_!AL639="","",FuelPrices_!AL639)</f>
        <v/>
      </c>
      <c r="C634" t="str">
        <f>IF(FuelPrices_!AM639="","",FuelPrices_!AM639)</f>
        <v/>
      </c>
      <c r="D634" t="str">
        <f>IF(FuelPrices_!AN639="","",FuelPrices_!AN639)</f>
        <v/>
      </c>
      <c r="E634" t="str">
        <f>IFERROR(VLOOKUP(A634,FuelPrices_!$B$49:$G$57,6,FALSE),"")</f>
        <v/>
      </c>
      <c r="F634" t="str">
        <f>IFERROR(VLOOKUP(A634,FuelPrices_!$B$61:$G$69,6,FALSE),"")</f>
        <v/>
      </c>
      <c r="G634" t="str">
        <f t="shared" si="16"/>
        <v/>
      </c>
    </row>
    <row r="635" spans="1:7" x14ac:dyDescent="0.25">
      <c r="A635" t="str">
        <f>IF(FuelPrices_!AK640="","",FuelPrices_!AK640)</f>
        <v/>
      </c>
      <c r="B635" t="str">
        <f>IF(FuelPrices_!AL640="","",FuelPrices_!AL640)</f>
        <v/>
      </c>
      <c r="C635" t="str">
        <f>IF(FuelPrices_!AM640="","",FuelPrices_!AM640)</f>
        <v/>
      </c>
      <c r="D635" t="str">
        <f>IF(FuelPrices_!AN640="","",FuelPrices_!AN640)</f>
        <v/>
      </c>
      <c r="E635" t="str">
        <f>IFERROR(VLOOKUP(A635,FuelPrices_!$B$49:$G$57,6,FALSE),"")</f>
        <v/>
      </c>
      <c r="F635" t="str">
        <f>IFERROR(VLOOKUP(A635,FuelPrices_!$B$61:$G$69,6,FALSE),"")</f>
        <v/>
      </c>
      <c r="G635" t="str">
        <f t="shared" si="16"/>
        <v/>
      </c>
    </row>
    <row r="636" spans="1:7" x14ac:dyDescent="0.25">
      <c r="A636" t="str">
        <f>IF(FuelPrices_!AK641="","",FuelPrices_!AK641)</f>
        <v/>
      </c>
      <c r="B636" t="str">
        <f>IF(FuelPrices_!AL641="","",FuelPrices_!AL641)</f>
        <v/>
      </c>
      <c r="C636" t="str">
        <f>IF(FuelPrices_!AM641="","",FuelPrices_!AM641)</f>
        <v/>
      </c>
      <c r="D636" t="str">
        <f>IF(FuelPrices_!AN641="","",FuelPrices_!AN641)</f>
        <v/>
      </c>
      <c r="E636" t="str">
        <f>IFERROR(VLOOKUP(A636,FuelPrices_!$B$49:$G$57,6,FALSE),"")</f>
        <v/>
      </c>
      <c r="F636" t="str">
        <f>IFERROR(VLOOKUP(A636,FuelPrices_!$B$61:$G$69,6,FALSE),"")</f>
        <v/>
      </c>
      <c r="G636" t="str">
        <f t="shared" si="16"/>
        <v/>
      </c>
    </row>
    <row r="637" spans="1:7" x14ac:dyDescent="0.25">
      <c r="A637" t="str">
        <f>IF(FuelPrices_!AK642="","",FuelPrices_!AK642)</f>
        <v/>
      </c>
      <c r="B637" t="str">
        <f>IF(FuelPrices_!AL642="","",FuelPrices_!AL642)</f>
        <v/>
      </c>
      <c r="C637" t="str">
        <f>IF(FuelPrices_!AM642="","",FuelPrices_!AM642)</f>
        <v/>
      </c>
      <c r="D637" t="str">
        <f>IF(FuelPrices_!AN642="","",FuelPrices_!AN642)</f>
        <v/>
      </c>
      <c r="E637" t="str">
        <f>IFERROR(VLOOKUP(A637,FuelPrices_!$B$49:$G$57,6,FALSE),"")</f>
        <v/>
      </c>
      <c r="F637" t="str">
        <f>IFERROR(VLOOKUP(A637,FuelPrices_!$B$61:$G$69,6,FALSE),"")</f>
        <v/>
      </c>
      <c r="G637" t="str">
        <f t="shared" si="16"/>
        <v/>
      </c>
    </row>
    <row r="638" spans="1:7" x14ac:dyDescent="0.25">
      <c r="A638" t="str">
        <f>IF(FuelPrices_!AK643="","",FuelPrices_!AK643)</f>
        <v/>
      </c>
      <c r="B638" t="str">
        <f>IF(FuelPrices_!AL643="","",FuelPrices_!AL643)</f>
        <v/>
      </c>
      <c r="C638" t="str">
        <f>IF(FuelPrices_!AM643="","",FuelPrices_!AM643)</f>
        <v/>
      </c>
      <c r="D638" t="str">
        <f>IF(FuelPrices_!AN643="","",FuelPrices_!AN643)</f>
        <v/>
      </c>
      <c r="E638" t="str">
        <f>IFERROR(VLOOKUP(A638,FuelPrices_!$B$49:$G$57,6,FALSE),"")</f>
        <v/>
      </c>
      <c r="F638" t="str">
        <f>IFERROR(VLOOKUP(A638,FuelPrices_!$B$61:$G$69,6,FALSE),"")</f>
        <v/>
      </c>
      <c r="G638" t="str">
        <f t="shared" si="16"/>
        <v/>
      </c>
    </row>
    <row r="639" spans="1:7" x14ac:dyDescent="0.25">
      <c r="A639" t="str">
        <f>IF(FuelPrices_!AK644="","",FuelPrices_!AK644)</f>
        <v/>
      </c>
      <c r="B639" t="str">
        <f>IF(FuelPrices_!AL644="","",FuelPrices_!AL644)</f>
        <v/>
      </c>
      <c r="C639" t="str">
        <f>IF(FuelPrices_!AM644="","",FuelPrices_!AM644)</f>
        <v/>
      </c>
      <c r="D639" t="str">
        <f>IF(FuelPrices_!AN644="","",FuelPrices_!AN644)</f>
        <v/>
      </c>
      <c r="E639" t="str">
        <f>IFERROR(VLOOKUP(A639,FuelPrices_!$B$49:$G$57,6,FALSE),"")</f>
        <v/>
      </c>
      <c r="F639" t="str">
        <f>IFERROR(VLOOKUP(A639,FuelPrices_!$B$61:$G$69,6,FALSE),"")</f>
        <v/>
      </c>
      <c r="G639" t="str">
        <f t="shared" si="16"/>
        <v/>
      </c>
    </row>
    <row r="640" spans="1:7" x14ac:dyDescent="0.25">
      <c r="A640" t="str">
        <f>IF(FuelPrices_!AK645="","",FuelPrices_!AK645)</f>
        <v/>
      </c>
      <c r="B640" t="str">
        <f>IF(FuelPrices_!AL645="","",FuelPrices_!AL645)</f>
        <v/>
      </c>
      <c r="C640" t="str">
        <f>IF(FuelPrices_!AM645="","",FuelPrices_!AM645)</f>
        <v/>
      </c>
      <c r="D640" t="str">
        <f>IF(FuelPrices_!AN645="","",FuelPrices_!AN645)</f>
        <v/>
      </c>
      <c r="E640" t="str">
        <f>IFERROR(VLOOKUP(A640,FuelPrices_!$B$49:$G$57,6,FALSE),"")</f>
        <v/>
      </c>
      <c r="F640" t="str">
        <f>IFERROR(VLOOKUP(A640,FuelPrices_!$B$61:$G$69,6,FALSE),"")</f>
        <v/>
      </c>
      <c r="G640" t="str">
        <f t="shared" si="16"/>
        <v/>
      </c>
    </row>
    <row r="641" spans="1:7" x14ac:dyDescent="0.25">
      <c r="A641" t="str">
        <f>IF(FuelPrices_!AK646="","",FuelPrices_!AK646)</f>
        <v/>
      </c>
      <c r="B641" t="str">
        <f>IF(FuelPrices_!AL646="","",FuelPrices_!AL646)</f>
        <v/>
      </c>
      <c r="C641" t="str">
        <f>IF(FuelPrices_!AM646="","",FuelPrices_!AM646)</f>
        <v/>
      </c>
      <c r="D641" t="str">
        <f>IF(FuelPrices_!AN646="","",FuelPrices_!AN646)</f>
        <v/>
      </c>
      <c r="E641" t="str">
        <f>IFERROR(VLOOKUP(A641,FuelPrices_!$B$49:$G$57,6,FALSE),"")</f>
        <v/>
      </c>
      <c r="F641" t="str">
        <f>IFERROR(VLOOKUP(A641,FuelPrices_!$B$61:$G$69,6,FALSE),"")</f>
        <v/>
      </c>
      <c r="G641" t="str">
        <f t="shared" si="16"/>
        <v/>
      </c>
    </row>
    <row r="642" spans="1:7" x14ac:dyDescent="0.25">
      <c r="A642" t="str">
        <f>IF(FuelPrices_!AK647="","",FuelPrices_!AK647)</f>
        <v/>
      </c>
      <c r="B642" t="str">
        <f>IF(FuelPrices_!AL647="","",FuelPrices_!AL647)</f>
        <v/>
      </c>
      <c r="C642" t="str">
        <f>IF(FuelPrices_!AM647="","",FuelPrices_!AM647)</f>
        <v/>
      </c>
      <c r="D642" t="str">
        <f>IF(FuelPrices_!AN647="","",FuelPrices_!AN647)</f>
        <v/>
      </c>
      <c r="E642" t="str">
        <f>IFERROR(VLOOKUP(A642,FuelPrices_!$B$49:$G$57,6,FALSE),"")</f>
        <v/>
      </c>
      <c r="F642" t="str">
        <f>IFERROR(VLOOKUP(A642,FuelPrices_!$B$61:$G$69,6,FALSE),"")</f>
        <v/>
      </c>
      <c r="G642" t="str">
        <f t="shared" si="16"/>
        <v/>
      </c>
    </row>
    <row r="643" spans="1:7" x14ac:dyDescent="0.25">
      <c r="A643" t="str">
        <f>IF(FuelPrices_!AK648="","",FuelPrices_!AK648)</f>
        <v/>
      </c>
      <c r="B643" t="str">
        <f>IF(FuelPrices_!AL648="","",FuelPrices_!AL648)</f>
        <v/>
      </c>
      <c r="C643" t="str">
        <f>IF(FuelPrices_!AM648="","",FuelPrices_!AM648)</f>
        <v/>
      </c>
      <c r="D643" t="str">
        <f>IF(FuelPrices_!AN648="","",FuelPrices_!AN648)</f>
        <v/>
      </c>
      <c r="E643" t="str">
        <f>IFERROR(VLOOKUP(A643,FuelPrices_!$B$49:$G$57,6,FALSE),"")</f>
        <v/>
      </c>
      <c r="F643" t="str">
        <f>IFERROR(VLOOKUP(A643,FuelPrices_!$B$61:$G$69,6,FALSE),"")</f>
        <v/>
      </c>
      <c r="G643" t="str">
        <f t="shared" si="16"/>
        <v/>
      </c>
    </row>
    <row r="644" spans="1:7" x14ac:dyDescent="0.25">
      <c r="A644" t="str">
        <f>IF(FuelPrices_!AK649="","",FuelPrices_!AK649)</f>
        <v/>
      </c>
      <c r="B644" t="str">
        <f>IF(FuelPrices_!AL649="","",FuelPrices_!AL649)</f>
        <v/>
      </c>
      <c r="C644" t="str">
        <f>IF(FuelPrices_!AM649="","",FuelPrices_!AM649)</f>
        <v/>
      </c>
      <c r="D644" t="str">
        <f>IF(FuelPrices_!AN649="","",FuelPrices_!AN649)</f>
        <v/>
      </c>
      <c r="E644" t="str">
        <f>IFERROR(VLOOKUP(A644,FuelPrices_!$B$49:$G$57,6,FALSE),"")</f>
        <v/>
      </c>
      <c r="F644" t="str">
        <f>IFERROR(VLOOKUP(A644,FuelPrices_!$B$61:$G$69,6,FALSE),"")</f>
        <v/>
      </c>
      <c r="G644" t="str">
        <f t="shared" si="16"/>
        <v/>
      </c>
    </row>
    <row r="645" spans="1:7" x14ac:dyDescent="0.25">
      <c r="A645" t="str">
        <f>IF(FuelPrices_!AK650="","",FuelPrices_!AK650)</f>
        <v/>
      </c>
      <c r="B645" t="str">
        <f>IF(FuelPrices_!AL650="","",FuelPrices_!AL650)</f>
        <v/>
      </c>
      <c r="C645" t="str">
        <f>IF(FuelPrices_!AM650="","",FuelPrices_!AM650)</f>
        <v/>
      </c>
      <c r="D645" t="str">
        <f>IF(FuelPrices_!AN650="","",FuelPrices_!AN650)</f>
        <v/>
      </c>
      <c r="E645" t="str">
        <f>IFERROR(VLOOKUP(A645,FuelPrices_!$B$49:$G$57,6,FALSE),"")</f>
        <v/>
      </c>
      <c r="F645" t="str">
        <f>IFERROR(VLOOKUP(A645,FuelPrices_!$B$61:$G$69,6,FALSE),"")</f>
        <v/>
      </c>
      <c r="G645" t="str">
        <f t="shared" si="16"/>
        <v/>
      </c>
    </row>
    <row r="646" spans="1:7" x14ac:dyDescent="0.25">
      <c r="A646" t="str">
        <f>IF(FuelPrices_!AK651="","",FuelPrices_!AK651)</f>
        <v/>
      </c>
      <c r="B646" t="str">
        <f>IF(FuelPrices_!AL651="","",FuelPrices_!AL651)</f>
        <v/>
      </c>
      <c r="C646" t="str">
        <f>IF(FuelPrices_!AM651="","",FuelPrices_!AM651)</f>
        <v/>
      </c>
      <c r="D646" t="str">
        <f>IF(FuelPrices_!AN651="","",FuelPrices_!AN651)</f>
        <v/>
      </c>
      <c r="E646" t="str">
        <f>IFERROR(VLOOKUP(A646,FuelPrices_!$B$49:$G$57,6,FALSE),"")</f>
        <v/>
      </c>
      <c r="F646" t="str">
        <f>IFERROR(VLOOKUP(A646,FuelPrices_!$B$61:$G$69,6,FALSE),"")</f>
        <v/>
      </c>
      <c r="G646" t="str">
        <f t="shared" si="16"/>
        <v/>
      </c>
    </row>
    <row r="647" spans="1:7" x14ac:dyDescent="0.25">
      <c r="A647" t="str">
        <f>IF(FuelPrices_!AK652="","",FuelPrices_!AK652)</f>
        <v/>
      </c>
      <c r="B647" t="str">
        <f>IF(FuelPrices_!AL652="","",FuelPrices_!AL652)</f>
        <v/>
      </c>
      <c r="C647" t="str">
        <f>IF(FuelPrices_!AM652="","",FuelPrices_!AM652)</f>
        <v/>
      </c>
      <c r="D647" t="str">
        <f>IF(FuelPrices_!AN652="","",FuelPrices_!AN652)</f>
        <v/>
      </c>
      <c r="E647" t="str">
        <f>IFERROR(VLOOKUP(A647,FuelPrices_!$B$49:$G$57,6,FALSE),"")</f>
        <v/>
      </c>
      <c r="F647" t="str">
        <f>IFERROR(VLOOKUP(A647,FuelPrices_!$B$61:$G$69,6,FALSE),"")</f>
        <v/>
      </c>
      <c r="G647" t="str">
        <f t="shared" si="16"/>
        <v/>
      </c>
    </row>
    <row r="648" spans="1:7" x14ac:dyDescent="0.25">
      <c r="A648" t="str">
        <f>IF(FuelPrices_!AK653="","",FuelPrices_!AK653)</f>
        <v/>
      </c>
      <c r="B648" t="str">
        <f>IF(FuelPrices_!AL653="","",FuelPrices_!AL653)</f>
        <v/>
      </c>
      <c r="C648" t="str">
        <f>IF(FuelPrices_!AM653="","",FuelPrices_!AM653)</f>
        <v/>
      </c>
      <c r="D648" t="str">
        <f>IF(FuelPrices_!AN653="","",FuelPrices_!AN653)</f>
        <v/>
      </c>
      <c r="E648" t="str">
        <f>IFERROR(VLOOKUP(A648,FuelPrices_!$B$49:$G$57,6,FALSE),"")</f>
        <v/>
      </c>
      <c r="F648" t="str">
        <f>IFERROR(VLOOKUP(A648,FuelPrices_!$B$61:$G$69,6,FALSE),"")</f>
        <v/>
      </c>
      <c r="G648" t="str">
        <f t="shared" si="16"/>
        <v/>
      </c>
    </row>
    <row r="649" spans="1:7" x14ac:dyDescent="0.25">
      <c r="A649" t="str">
        <f>IF(FuelPrices_!AK654="","",FuelPrices_!AK654)</f>
        <v/>
      </c>
      <c r="B649" t="str">
        <f>IF(FuelPrices_!AL654="","",FuelPrices_!AL654)</f>
        <v/>
      </c>
      <c r="C649" t="str">
        <f>IF(FuelPrices_!AM654="","",FuelPrices_!AM654)</f>
        <v/>
      </c>
      <c r="D649" t="str">
        <f>IF(FuelPrices_!AN654="","",FuelPrices_!AN654)</f>
        <v/>
      </c>
      <c r="E649" t="str">
        <f>IFERROR(VLOOKUP(A649,FuelPrices_!$B$49:$G$57,6,FALSE),"")</f>
        <v/>
      </c>
      <c r="F649" t="str">
        <f>IFERROR(VLOOKUP(A649,FuelPrices_!$B$61:$G$69,6,FALSE),"")</f>
        <v/>
      </c>
      <c r="G649" t="str">
        <f t="shared" si="16"/>
        <v/>
      </c>
    </row>
    <row r="650" spans="1:7" x14ac:dyDescent="0.25">
      <c r="A650" t="str">
        <f>IF(FuelPrices_!AK655="","",FuelPrices_!AK655)</f>
        <v/>
      </c>
      <c r="B650" t="str">
        <f>IF(FuelPrices_!AL655="","",FuelPrices_!AL655)</f>
        <v/>
      </c>
      <c r="C650" t="str">
        <f>IF(FuelPrices_!AM655="","",FuelPrices_!AM655)</f>
        <v/>
      </c>
      <c r="D650" t="str">
        <f>IF(FuelPrices_!AN655="","",FuelPrices_!AN655)</f>
        <v/>
      </c>
      <c r="E650" t="str">
        <f>IFERROR(VLOOKUP(A650,FuelPrices_!$B$49:$G$57,6,FALSE),"")</f>
        <v/>
      </c>
      <c r="F650" t="str">
        <f>IFERROR(VLOOKUP(A650,FuelPrices_!$B$61:$G$69,6,FALSE),"")</f>
        <v/>
      </c>
      <c r="G650" t="str">
        <f t="shared" si="16"/>
        <v/>
      </c>
    </row>
    <row r="651" spans="1:7" x14ac:dyDescent="0.25">
      <c r="A651" t="str">
        <f>IF(FuelPrices_!AK656="","",FuelPrices_!AK656)</f>
        <v/>
      </c>
      <c r="B651" t="str">
        <f>IF(FuelPrices_!AL656="","",FuelPrices_!AL656)</f>
        <v/>
      </c>
      <c r="C651" t="str">
        <f>IF(FuelPrices_!AM656="","",FuelPrices_!AM656)</f>
        <v/>
      </c>
      <c r="D651" t="str">
        <f>IF(FuelPrices_!AN656="","",FuelPrices_!AN656)</f>
        <v/>
      </c>
      <c r="E651" t="str">
        <f>IFERROR(VLOOKUP(A651,FuelPrices_!$B$49:$G$57,6,FALSE),"")</f>
        <v/>
      </c>
      <c r="F651" t="str">
        <f>IFERROR(VLOOKUP(A651,FuelPrices_!$B$61:$G$69,6,FALSE),"")</f>
        <v/>
      </c>
      <c r="G651" t="str">
        <f t="shared" si="16"/>
        <v/>
      </c>
    </row>
    <row r="652" spans="1:7" x14ac:dyDescent="0.25">
      <c r="A652" t="str">
        <f>IF(FuelPrices_!AK657="","",FuelPrices_!AK657)</f>
        <v/>
      </c>
      <c r="B652" t="str">
        <f>IF(FuelPrices_!AL657="","",FuelPrices_!AL657)</f>
        <v/>
      </c>
      <c r="C652" t="str">
        <f>IF(FuelPrices_!AM657="","",FuelPrices_!AM657)</f>
        <v/>
      </c>
      <c r="D652" t="str">
        <f>IF(FuelPrices_!AN657="","",FuelPrices_!AN657)</f>
        <v/>
      </c>
      <c r="E652" t="str">
        <f>IFERROR(VLOOKUP(A652,FuelPrices_!$B$49:$G$57,6,FALSE),"")</f>
        <v/>
      </c>
      <c r="F652" t="str">
        <f>IFERROR(VLOOKUP(A652,FuelPrices_!$B$61:$G$69,6,FALSE),"")</f>
        <v/>
      </c>
      <c r="G652" t="str">
        <f t="shared" si="16"/>
        <v/>
      </c>
    </row>
    <row r="653" spans="1:7" x14ac:dyDescent="0.25">
      <c r="A653" t="str">
        <f>IF(FuelPrices_!AK658="","",FuelPrices_!AK658)</f>
        <v/>
      </c>
      <c r="B653" t="str">
        <f>IF(FuelPrices_!AL658="","",FuelPrices_!AL658)</f>
        <v/>
      </c>
      <c r="C653" t="str">
        <f>IF(FuelPrices_!AM658="","",FuelPrices_!AM658)</f>
        <v/>
      </c>
      <c r="D653" t="str">
        <f>IF(FuelPrices_!AN658="","",FuelPrices_!AN658)</f>
        <v/>
      </c>
      <c r="E653" t="str">
        <f>IFERROR(VLOOKUP(A653,FuelPrices_!$B$49:$G$57,6,FALSE),"")</f>
        <v/>
      </c>
      <c r="F653" t="str">
        <f>IFERROR(VLOOKUP(A653,FuelPrices_!$B$61:$G$69,6,FALSE),"")</f>
        <v/>
      </c>
      <c r="G653" t="str">
        <f t="shared" si="16"/>
        <v/>
      </c>
    </row>
    <row r="654" spans="1:7" x14ac:dyDescent="0.25">
      <c r="A654" t="str">
        <f>IF(FuelPrices_!AK659="","",FuelPrices_!AK659)</f>
        <v/>
      </c>
      <c r="B654" t="str">
        <f>IF(FuelPrices_!AL659="","",FuelPrices_!AL659)</f>
        <v/>
      </c>
      <c r="C654" t="str">
        <f>IF(FuelPrices_!AM659="","",FuelPrices_!AM659)</f>
        <v/>
      </c>
      <c r="D654" t="str">
        <f>IF(FuelPrices_!AN659="","",FuelPrices_!AN659)</f>
        <v/>
      </c>
      <c r="E654" t="str">
        <f>IFERROR(VLOOKUP(A654,FuelPrices_!$B$49:$G$57,6,FALSE),"")</f>
        <v/>
      </c>
      <c r="F654" t="str">
        <f>IFERROR(VLOOKUP(A654,FuelPrices_!$B$61:$G$69,6,FALSE),"")</f>
        <v/>
      </c>
      <c r="G654" t="str">
        <f t="shared" si="16"/>
        <v/>
      </c>
    </row>
    <row r="655" spans="1:7" x14ac:dyDescent="0.25">
      <c r="A655" t="str">
        <f>IF(FuelPrices_!AK660="","",FuelPrices_!AK660)</f>
        <v/>
      </c>
      <c r="B655" t="str">
        <f>IF(FuelPrices_!AL660="","",FuelPrices_!AL660)</f>
        <v/>
      </c>
      <c r="C655" t="str">
        <f>IF(FuelPrices_!AM660="","",FuelPrices_!AM660)</f>
        <v/>
      </c>
      <c r="D655" t="str">
        <f>IF(FuelPrices_!AN660="","",FuelPrices_!AN660)</f>
        <v/>
      </c>
      <c r="E655" t="str">
        <f>IFERROR(VLOOKUP(A655,FuelPrices_!$B$49:$G$57,6,FALSE),"")</f>
        <v/>
      </c>
      <c r="F655" t="str">
        <f>IFERROR(VLOOKUP(A655,FuelPrices_!$B$61:$G$69,6,FALSE),"")</f>
        <v/>
      </c>
      <c r="G655" t="str">
        <f t="shared" si="16"/>
        <v/>
      </c>
    </row>
    <row r="656" spans="1:7" x14ac:dyDescent="0.25">
      <c r="A656" t="str">
        <f>IF(FuelPrices_!AK661="","",FuelPrices_!AK661)</f>
        <v/>
      </c>
      <c r="B656" t="str">
        <f>IF(FuelPrices_!AL661="","",FuelPrices_!AL661)</f>
        <v/>
      </c>
      <c r="C656" t="str">
        <f>IF(FuelPrices_!AM661="","",FuelPrices_!AM661)</f>
        <v/>
      </c>
      <c r="D656" t="str">
        <f>IF(FuelPrices_!AN661="","",FuelPrices_!AN661)</f>
        <v/>
      </c>
      <c r="E656" t="str">
        <f>IFERROR(VLOOKUP(A656,FuelPrices_!$B$49:$G$57,6,FALSE),"")</f>
        <v/>
      </c>
      <c r="F656" t="str">
        <f>IFERROR(VLOOKUP(A656,FuelPrices_!$B$61:$G$69,6,FALSE),"")</f>
        <v/>
      </c>
      <c r="G656" t="str">
        <f t="shared" si="16"/>
        <v/>
      </c>
    </row>
    <row r="657" spans="1:7" x14ac:dyDescent="0.25">
      <c r="A657" t="str">
        <f>IF(FuelPrices_!AK662="","",FuelPrices_!AK662)</f>
        <v/>
      </c>
      <c r="B657" t="str">
        <f>IF(FuelPrices_!AL662="","",FuelPrices_!AL662)</f>
        <v/>
      </c>
      <c r="C657" t="str">
        <f>IF(FuelPrices_!AM662="","",FuelPrices_!AM662)</f>
        <v/>
      </c>
      <c r="D657" t="str">
        <f>IF(FuelPrices_!AN662="","",FuelPrices_!AN662)</f>
        <v/>
      </c>
      <c r="E657" t="str">
        <f>IFERROR(VLOOKUP(A657,FuelPrices_!$B$49:$G$57,6,FALSE),"")</f>
        <v/>
      </c>
      <c r="F657" t="str">
        <f>IFERROR(VLOOKUP(A657,FuelPrices_!$B$61:$G$69,6,FALSE),"")</f>
        <v/>
      </c>
      <c r="G657" t="str">
        <f t="shared" si="16"/>
        <v/>
      </c>
    </row>
    <row r="658" spans="1:7" x14ac:dyDescent="0.25">
      <c r="A658" t="str">
        <f>IF(FuelPrices_!AK663="","",FuelPrices_!AK663)</f>
        <v/>
      </c>
      <c r="B658" t="str">
        <f>IF(FuelPrices_!AL663="","",FuelPrices_!AL663)</f>
        <v/>
      </c>
      <c r="C658" t="str">
        <f>IF(FuelPrices_!AM663="","",FuelPrices_!AM663)</f>
        <v/>
      </c>
      <c r="D658" t="str">
        <f>IF(FuelPrices_!AN663="","",FuelPrices_!AN663)</f>
        <v/>
      </c>
      <c r="E658" t="str">
        <f>IFERROR(VLOOKUP(A658,FuelPrices_!$B$49:$G$57,6,FALSE),"")</f>
        <v/>
      </c>
      <c r="F658" t="str">
        <f>IFERROR(VLOOKUP(A658,FuelPrices_!$B$61:$G$69,6,FALSE),"")</f>
        <v/>
      </c>
      <c r="G658" t="str">
        <f t="shared" si="16"/>
        <v/>
      </c>
    </row>
    <row r="659" spans="1:7" x14ac:dyDescent="0.25">
      <c r="A659" t="str">
        <f>IF(FuelPrices_!AK664="","",FuelPrices_!AK664)</f>
        <v/>
      </c>
      <c r="B659" t="str">
        <f>IF(FuelPrices_!AL664="","",FuelPrices_!AL664)</f>
        <v/>
      </c>
      <c r="C659" t="str">
        <f>IF(FuelPrices_!AM664="","",FuelPrices_!AM664)</f>
        <v/>
      </c>
      <c r="D659" t="str">
        <f>IF(FuelPrices_!AN664="","",FuelPrices_!AN664)</f>
        <v/>
      </c>
      <c r="E659" t="str">
        <f>IFERROR(VLOOKUP(A659,FuelPrices_!$B$49:$G$57,6,FALSE),"")</f>
        <v/>
      </c>
      <c r="F659" t="str">
        <f>IFERROR(VLOOKUP(A659,FuelPrices_!$B$61:$G$69,6,FALSE),"")</f>
        <v/>
      </c>
      <c r="G659" t="str">
        <f t="shared" si="16"/>
        <v/>
      </c>
    </row>
    <row r="660" spans="1:7" x14ac:dyDescent="0.25">
      <c r="A660" t="str">
        <f>IF(FuelPrices_!AK665="","",FuelPrices_!AK665)</f>
        <v/>
      </c>
      <c r="B660" t="str">
        <f>IF(FuelPrices_!AL665="","",FuelPrices_!AL665)</f>
        <v/>
      </c>
      <c r="C660" t="str">
        <f>IF(FuelPrices_!AM665="","",FuelPrices_!AM665)</f>
        <v/>
      </c>
      <c r="D660" t="str">
        <f>IF(FuelPrices_!AN665="","",FuelPrices_!AN665)</f>
        <v/>
      </c>
      <c r="E660" t="str">
        <f>IFERROR(VLOOKUP(A660,FuelPrices_!$B$49:$G$57,6,FALSE),"")</f>
        <v/>
      </c>
      <c r="F660" t="str">
        <f>IFERROR(VLOOKUP(A660,FuelPrices_!$B$61:$G$69,6,FALSE),"")</f>
        <v/>
      </c>
      <c r="G660" t="str">
        <f t="shared" si="16"/>
        <v/>
      </c>
    </row>
    <row r="661" spans="1:7" x14ac:dyDescent="0.25">
      <c r="A661" t="str">
        <f>IF(FuelPrices_!AK666="","",FuelPrices_!AK666)</f>
        <v/>
      </c>
      <c r="B661" t="str">
        <f>IF(FuelPrices_!AL666="","",FuelPrices_!AL666)</f>
        <v/>
      </c>
      <c r="C661" t="str">
        <f>IF(FuelPrices_!AM666="","",FuelPrices_!AM666)</f>
        <v/>
      </c>
      <c r="D661" t="str">
        <f>IF(FuelPrices_!AN666="","",FuelPrices_!AN666)</f>
        <v/>
      </c>
      <c r="E661" t="str">
        <f>IFERROR(VLOOKUP(A661,FuelPrices_!$B$49:$G$57,6,FALSE),"")</f>
        <v/>
      </c>
      <c r="F661" t="str">
        <f>IFERROR(VLOOKUP(A661,FuelPrices_!$B$61:$G$69,6,FALSE),"")</f>
        <v/>
      </c>
      <c r="G661" t="str">
        <f t="shared" si="16"/>
        <v/>
      </c>
    </row>
    <row r="662" spans="1:7" x14ac:dyDescent="0.25">
      <c r="A662" t="str">
        <f>IF(FuelPrices_!AK667="","",FuelPrices_!AK667)</f>
        <v/>
      </c>
      <c r="B662" t="str">
        <f>IF(FuelPrices_!AL667="","",FuelPrices_!AL667)</f>
        <v/>
      </c>
      <c r="C662" t="str">
        <f>IF(FuelPrices_!AM667="","",FuelPrices_!AM667)</f>
        <v/>
      </c>
      <c r="D662" t="str">
        <f>IF(FuelPrices_!AN667="","",FuelPrices_!AN667)</f>
        <v/>
      </c>
      <c r="E662" t="str">
        <f>IFERROR(VLOOKUP(A662,FuelPrices_!$B$49:$G$57,6,FALSE),"")</f>
        <v/>
      </c>
      <c r="F662" t="str">
        <f>IFERROR(VLOOKUP(A662,FuelPrices_!$B$61:$G$69,6,FALSE),"")</f>
        <v/>
      </c>
      <c r="G662" t="str">
        <f t="shared" si="16"/>
        <v/>
      </c>
    </row>
    <row r="663" spans="1:7" x14ac:dyDescent="0.25">
      <c r="A663" t="str">
        <f>IF(FuelPrices_!AK668="","",FuelPrices_!AK668)</f>
        <v/>
      </c>
      <c r="B663" t="str">
        <f>IF(FuelPrices_!AL668="","",FuelPrices_!AL668)</f>
        <v/>
      </c>
      <c r="C663" t="str">
        <f>IF(FuelPrices_!AM668="","",FuelPrices_!AM668)</f>
        <v/>
      </c>
      <c r="D663" t="str">
        <f>IF(FuelPrices_!AN668="","",FuelPrices_!AN668)</f>
        <v/>
      </c>
      <c r="E663" t="str">
        <f>IFERROR(VLOOKUP(A663,FuelPrices_!$B$49:$G$57,6,FALSE),"")</f>
        <v/>
      </c>
      <c r="F663" t="str">
        <f>IFERROR(VLOOKUP(A663,FuelPrices_!$B$61:$G$69,6,FALSE),"")</f>
        <v/>
      </c>
      <c r="G663" t="str">
        <f t="shared" ref="G663:G721" si="17">IFERROR(D663+E663+F663,"")</f>
        <v/>
      </c>
    </row>
    <row r="664" spans="1:7" x14ac:dyDescent="0.25">
      <c r="A664" t="str">
        <f>IF(FuelPrices_!AK669="","",FuelPrices_!AK669)</f>
        <v/>
      </c>
      <c r="B664" t="str">
        <f>IF(FuelPrices_!AL669="","",FuelPrices_!AL669)</f>
        <v/>
      </c>
      <c r="C664" t="str">
        <f>IF(FuelPrices_!AM669="","",FuelPrices_!AM669)</f>
        <v/>
      </c>
      <c r="D664" t="str">
        <f>IF(FuelPrices_!AN669="","",FuelPrices_!AN669)</f>
        <v/>
      </c>
      <c r="E664" t="str">
        <f>IFERROR(VLOOKUP(A664,FuelPrices_!$B$49:$G$57,6,FALSE),"")</f>
        <v/>
      </c>
      <c r="F664" t="str">
        <f>IFERROR(VLOOKUP(A664,FuelPrices_!$B$61:$G$69,6,FALSE),"")</f>
        <v/>
      </c>
      <c r="G664" t="str">
        <f t="shared" si="17"/>
        <v/>
      </c>
    </row>
    <row r="665" spans="1:7" x14ac:dyDescent="0.25">
      <c r="A665" t="str">
        <f>IF(FuelPrices_!AK670="","",FuelPrices_!AK670)</f>
        <v/>
      </c>
      <c r="B665" t="str">
        <f>IF(FuelPrices_!AL670="","",FuelPrices_!AL670)</f>
        <v/>
      </c>
      <c r="C665" t="str">
        <f>IF(FuelPrices_!AM670="","",FuelPrices_!AM670)</f>
        <v/>
      </c>
      <c r="D665" t="str">
        <f>IF(FuelPrices_!AN670="","",FuelPrices_!AN670)</f>
        <v/>
      </c>
      <c r="E665" t="str">
        <f>IFERROR(VLOOKUP(A665,FuelPrices_!$B$49:$G$57,6,FALSE),"")</f>
        <v/>
      </c>
      <c r="F665" t="str">
        <f>IFERROR(VLOOKUP(A665,FuelPrices_!$B$61:$G$69,6,FALSE),"")</f>
        <v/>
      </c>
      <c r="G665" t="str">
        <f t="shared" si="17"/>
        <v/>
      </c>
    </row>
    <row r="666" spans="1:7" x14ac:dyDescent="0.25">
      <c r="A666" t="str">
        <f>IF(FuelPrices_!AK671="","",FuelPrices_!AK671)</f>
        <v/>
      </c>
      <c r="B666" t="str">
        <f>IF(FuelPrices_!AL671="","",FuelPrices_!AL671)</f>
        <v/>
      </c>
      <c r="C666" t="str">
        <f>IF(FuelPrices_!AM671="","",FuelPrices_!AM671)</f>
        <v/>
      </c>
      <c r="D666" t="str">
        <f>IF(FuelPrices_!AN671="","",FuelPrices_!AN671)</f>
        <v/>
      </c>
      <c r="E666" t="str">
        <f>IFERROR(VLOOKUP(A666,FuelPrices_!$B$49:$G$57,6,FALSE),"")</f>
        <v/>
      </c>
      <c r="F666" t="str">
        <f>IFERROR(VLOOKUP(A666,FuelPrices_!$B$61:$G$69,6,FALSE),"")</f>
        <v/>
      </c>
      <c r="G666" t="str">
        <f t="shared" si="17"/>
        <v/>
      </c>
    </row>
    <row r="667" spans="1:7" x14ac:dyDescent="0.25">
      <c r="A667" t="str">
        <f>IF(FuelPrices_!AK672="","",FuelPrices_!AK672)</f>
        <v/>
      </c>
      <c r="B667" t="str">
        <f>IF(FuelPrices_!AL672="","",FuelPrices_!AL672)</f>
        <v/>
      </c>
      <c r="C667" t="str">
        <f>IF(FuelPrices_!AM672="","",FuelPrices_!AM672)</f>
        <v/>
      </c>
      <c r="D667" t="str">
        <f>IF(FuelPrices_!AN672="","",FuelPrices_!AN672)</f>
        <v/>
      </c>
      <c r="E667" t="str">
        <f>IFERROR(VLOOKUP(A667,FuelPrices_!$B$49:$G$57,6,FALSE),"")</f>
        <v/>
      </c>
      <c r="F667" t="str">
        <f>IFERROR(VLOOKUP(A667,FuelPrices_!$B$61:$G$69,6,FALSE),"")</f>
        <v/>
      </c>
      <c r="G667" t="str">
        <f t="shared" si="17"/>
        <v/>
      </c>
    </row>
    <row r="668" spans="1:7" x14ac:dyDescent="0.25">
      <c r="A668" t="str">
        <f>IF(FuelPrices_!AK673="","",FuelPrices_!AK673)</f>
        <v/>
      </c>
      <c r="B668" t="str">
        <f>IF(FuelPrices_!AL673="","",FuelPrices_!AL673)</f>
        <v/>
      </c>
      <c r="C668" t="str">
        <f>IF(FuelPrices_!AM673="","",FuelPrices_!AM673)</f>
        <v/>
      </c>
      <c r="D668" t="str">
        <f>IF(FuelPrices_!AN673="","",FuelPrices_!AN673)</f>
        <v/>
      </c>
      <c r="E668" t="str">
        <f>IFERROR(VLOOKUP(A668,FuelPrices_!$B$49:$G$57,6,FALSE),"")</f>
        <v/>
      </c>
      <c r="F668" t="str">
        <f>IFERROR(VLOOKUP(A668,FuelPrices_!$B$61:$G$69,6,FALSE),"")</f>
        <v/>
      </c>
      <c r="G668" t="str">
        <f t="shared" si="17"/>
        <v/>
      </c>
    </row>
    <row r="669" spans="1:7" x14ac:dyDescent="0.25">
      <c r="A669" t="str">
        <f>IF(FuelPrices_!AK674="","",FuelPrices_!AK674)</f>
        <v/>
      </c>
      <c r="B669" t="str">
        <f>IF(FuelPrices_!AL674="","",FuelPrices_!AL674)</f>
        <v/>
      </c>
      <c r="C669" t="str">
        <f>IF(FuelPrices_!AM674="","",FuelPrices_!AM674)</f>
        <v/>
      </c>
      <c r="D669" t="str">
        <f>IF(FuelPrices_!AN674="","",FuelPrices_!AN674)</f>
        <v/>
      </c>
      <c r="E669" t="str">
        <f>IFERROR(VLOOKUP(A669,FuelPrices_!$B$49:$G$57,6,FALSE),"")</f>
        <v/>
      </c>
      <c r="F669" t="str">
        <f>IFERROR(VLOOKUP(A669,FuelPrices_!$B$61:$G$69,6,FALSE),"")</f>
        <v/>
      </c>
      <c r="G669" t="str">
        <f t="shared" si="17"/>
        <v/>
      </c>
    </row>
    <row r="670" spans="1:7" x14ac:dyDescent="0.25">
      <c r="A670" t="str">
        <f>IF(FuelPrices_!AK675="","",FuelPrices_!AK675)</f>
        <v/>
      </c>
      <c r="B670" t="str">
        <f>IF(FuelPrices_!AL675="","",FuelPrices_!AL675)</f>
        <v/>
      </c>
      <c r="C670" t="str">
        <f>IF(FuelPrices_!AM675="","",FuelPrices_!AM675)</f>
        <v/>
      </c>
      <c r="D670" t="str">
        <f>IF(FuelPrices_!AN675="","",FuelPrices_!AN675)</f>
        <v/>
      </c>
      <c r="E670" t="str">
        <f>IFERROR(VLOOKUP(A670,FuelPrices_!$B$49:$G$57,6,FALSE),"")</f>
        <v/>
      </c>
      <c r="F670" t="str">
        <f>IFERROR(VLOOKUP(A670,FuelPrices_!$B$61:$G$69,6,FALSE),"")</f>
        <v/>
      </c>
      <c r="G670" t="str">
        <f t="shared" si="17"/>
        <v/>
      </c>
    </row>
    <row r="671" spans="1:7" x14ac:dyDescent="0.25">
      <c r="A671" t="str">
        <f>IF(FuelPrices_!AK676="","",FuelPrices_!AK676)</f>
        <v/>
      </c>
      <c r="B671" t="str">
        <f>IF(FuelPrices_!AL676="","",FuelPrices_!AL676)</f>
        <v/>
      </c>
      <c r="C671" t="str">
        <f>IF(FuelPrices_!AM676="","",FuelPrices_!AM676)</f>
        <v/>
      </c>
      <c r="D671" t="str">
        <f>IF(FuelPrices_!AN676="","",FuelPrices_!AN676)</f>
        <v/>
      </c>
      <c r="E671" t="str">
        <f>IFERROR(VLOOKUP(A671,FuelPrices_!$B$49:$G$57,6,FALSE),"")</f>
        <v/>
      </c>
      <c r="F671" t="str">
        <f>IFERROR(VLOOKUP(A671,FuelPrices_!$B$61:$G$69,6,FALSE),"")</f>
        <v/>
      </c>
      <c r="G671" t="str">
        <f t="shared" si="17"/>
        <v/>
      </c>
    </row>
    <row r="672" spans="1:7" x14ac:dyDescent="0.25">
      <c r="A672" t="str">
        <f>IF(FuelPrices_!AK677="","",FuelPrices_!AK677)</f>
        <v/>
      </c>
      <c r="B672" t="str">
        <f>IF(FuelPrices_!AL677="","",FuelPrices_!AL677)</f>
        <v/>
      </c>
      <c r="C672" t="str">
        <f>IF(FuelPrices_!AM677="","",FuelPrices_!AM677)</f>
        <v/>
      </c>
      <c r="D672" t="str">
        <f>IF(FuelPrices_!AN677="","",FuelPrices_!AN677)</f>
        <v/>
      </c>
      <c r="E672" t="str">
        <f>IFERROR(VLOOKUP(A672,FuelPrices_!$B$49:$G$57,6,FALSE),"")</f>
        <v/>
      </c>
      <c r="F672" t="str">
        <f>IFERROR(VLOOKUP(A672,FuelPrices_!$B$61:$G$69,6,FALSE),"")</f>
        <v/>
      </c>
      <c r="G672" t="str">
        <f t="shared" si="17"/>
        <v/>
      </c>
    </row>
    <row r="673" spans="1:7" x14ac:dyDescent="0.25">
      <c r="A673" t="str">
        <f>IF(FuelPrices_!AK678="","",FuelPrices_!AK678)</f>
        <v/>
      </c>
      <c r="B673" t="str">
        <f>IF(FuelPrices_!AL678="","",FuelPrices_!AL678)</f>
        <v/>
      </c>
      <c r="C673" t="str">
        <f>IF(FuelPrices_!AM678="","",FuelPrices_!AM678)</f>
        <v/>
      </c>
      <c r="D673" t="str">
        <f>IF(FuelPrices_!AN678="","",FuelPrices_!AN678)</f>
        <v/>
      </c>
      <c r="E673" t="str">
        <f>IFERROR(VLOOKUP(A673,FuelPrices_!$B$49:$G$57,6,FALSE),"")</f>
        <v/>
      </c>
      <c r="F673" t="str">
        <f>IFERROR(VLOOKUP(A673,FuelPrices_!$B$61:$G$69,6,FALSE),"")</f>
        <v/>
      </c>
      <c r="G673" t="str">
        <f t="shared" si="17"/>
        <v/>
      </c>
    </row>
    <row r="674" spans="1:7" x14ac:dyDescent="0.25">
      <c r="A674" t="str">
        <f>IF(FuelPrices_!AK679="","",FuelPrices_!AK679)</f>
        <v/>
      </c>
      <c r="B674" t="str">
        <f>IF(FuelPrices_!AL679="","",FuelPrices_!AL679)</f>
        <v/>
      </c>
      <c r="C674" t="str">
        <f>IF(FuelPrices_!AM679="","",FuelPrices_!AM679)</f>
        <v/>
      </c>
      <c r="D674" t="str">
        <f>IF(FuelPrices_!AN679="","",FuelPrices_!AN679)</f>
        <v/>
      </c>
      <c r="E674" t="str">
        <f>IFERROR(VLOOKUP(A674,FuelPrices_!$B$49:$G$57,6,FALSE),"")</f>
        <v/>
      </c>
      <c r="F674" t="str">
        <f>IFERROR(VLOOKUP(A674,FuelPrices_!$B$61:$G$69,6,FALSE),"")</f>
        <v/>
      </c>
      <c r="G674" t="str">
        <f t="shared" si="17"/>
        <v/>
      </c>
    </row>
    <row r="675" spans="1:7" x14ac:dyDescent="0.25">
      <c r="A675" t="str">
        <f>IF(FuelPrices_!AK680="","",FuelPrices_!AK680)</f>
        <v/>
      </c>
      <c r="B675" t="str">
        <f>IF(FuelPrices_!AL680="","",FuelPrices_!AL680)</f>
        <v/>
      </c>
      <c r="C675" t="str">
        <f>IF(FuelPrices_!AM680="","",FuelPrices_!AM680)</f>
        <v/>
      </c>
      <c r="D675" t="str">
        <f>IF(FuelPrices_!AN680="","",FuelPrices_!AN680)</f>
        <v/>
      </c>
      <c r="E675" t="str">
        <f>IFERROR(VLOOKUP(A675,FuelPrices_!$B$49:$G$57,6,FALSE),"")</f>
        <v/>
      </c>
      <c r="F675" t="str">
        <f>IFERROR(VLOOKUP(A675,FuelPrices_!$B$61:$G$69,6,FALSE),"")</f>
        <v/>
      </c>
      <c r="G675" t="str">
        <f t="shared" si="17"/>
        <v/>
      </c>
    </row>
    <row r="676" spans="1:7" x14ac:dyDescent="0.25">
      <c r="A676" t="str">
        <f>IF(FuelPrices_!AK681="","",FuelPrices_!AK681)</f>
        <v/>
      </c>
      <c r="B676" t="str">
        <f>IF(FuelPrices_!AL681="","",FuelPrices_!AL681)</f>
        <v/>
      </c>
      <c r="C676" t="str">
        <f>IF(FuelPrices_!AM681="","",FuelPrices_!AM681)</f>
        <v/>
      </c>
      <c r="D676" t="str">
        <f>IF(FuelPrices_!AN681="","",FuelPrices_!AN681)</f>
        <v/>
      </c>
      <c r="E676" t="str">
        <f>IFERROR(VLOOKUP(A676,FuelPrices_!$B$49:$G$57,6,FALSE),"")</f>
        <v/>
      </c>
      <c r="F676" t="str">
        <f>IFERROR(VLOOKUP(A676,FuelPrices_!$B$61:$G$69,6,FALSE),"")</f>
        <v/>
      </c>
      <c r="G676" t="str">
        <f t="shared" si="17"/>
        <v/>
      </c>
    </row>
    <row r="677" spans="1:7" x14ac:dyDescent="0.25">
      <c r="A677" t="str">
        <f>IF(FuelPrices_!AK682="","",FuelPrices_!AK682)</f>
        <v/>
      </c>
      <c r="B677" t="str">
        <f>IF(FuelPrices_!AL682="","",FuelPrices_!AL682)</f>
        <v/>
      </c>
      <c r="C677" t="str">
        <f>IF(FuelPrices_!AM682="","",FuelPrices_!AM682)</f>
        <v/>
      </c>
      <c r="D677" t="str">
        <f>IF(FuelPrices_!AN682="","",FuelPrices_!AN682)</f>
        <v/>
      </c>
      <c r="E677" t="str">
        <f>IFERROR(VLOOKUP(A677,FuelPrices_!$B$49:$G$57,6,FALSE),"")</f>
        <v/>
      </c>
      <c r="F677" t="str">
        <f>IFERROR(VLOOKUP(A677,FuelPrices_!$B$61:$G$69,6,FALSE),"")</f>
        <v/>
      </c>
      <c r="G677" t="str">
        <f t="shared" si="17"/>
        <v/>
      </c>
    </row>
    <row r="678" spans="1:7" x14ac:dyDescent="0.25">
      <c r="A678" t="str">
        <f>IF(FuelPrices_!AK683="","",FuelPrices_!AK683)</f>
        <v/>
      </c>
      <c r="B678" t="str">
        <f>IF(FuelPrices_!AL683="","",FuelPrices_!AL683)</f>
        <v/>
      </c>
      <c r="C678" t="str">
        <f>IF(FuelPrices_!AM683="","",FuelPrices_!AM683)</f>
        <v/>
      </c>
      <c r="D678" t="str">
        <f>IF(FuelPrices_!AN683="","",FuelPrices_!AN683)</f>
        <v/>
      </c>
      <c r="E678" t="str">
        <f>IFERROR(VLOOKUP(A678,FuelPrices_!$B$49:$G$57,6,FALSE),"")</f>
        <v/>
      </c>
      <c r="F678" t="str">
        <f>IFERROR(VLOOKUP(A678,FuelPrices_!$B$61:$G$69,6,FALSE),"")</f>
        <v/>
      </c>
      <c r="G678" t="str">
        <f t="shared" si="17"/>
        <v/>
      </c>
    </row>
    <row r="679" spans="1:7" x14ac:dyDescent="0.25">
      <c r="A679" t="str">
        <f>IF(FuelPrices_!AK684="","",FuelPrices_!AK684)</f>
        <v/>
      </c>
      <c r="B679" t="str">
        <f>IF(FuelPrices_!AL684="","",FuelPrices_!AL684)</f>
        <v/>
      </c>
      <c r="C679" t="str">
        <f>IF(FuelPrices_!AM684="","",FuelPrices_!AM684)</f>
        <v/>
      </c>
      <c r="D679" t="str">
        <f>IF(FuelPrices_!AN684="","",FuelPrices_!AN684)</f>
        <v/>
      </c>
      <c r="E679" t="str">
        <f>IFERROR(VLOOKUP(A679,FuelPrices_!$B$49:$G$57,6,FALSE),"")</f>
        <v/>
      </c>
      <c r="F679" t="str">
        <f>IFERROR(VLOOKUP(A679,FuelPrices_!$B$61:$G$69,6,FALSE),"")</f>
        <v/>
      </c>
      <c r="G679" t="str">
        <f t="shared" si="17"/>
        <v/>
      </c>
    </row>
    <row r="680" spans="1:7" x14ac:dyDescent="0.25">
      <c r="A680" t="str">
        <f>IF(FuelPrices_!AK685="","",FuelPrices_!AK685)</f>
        <v/>
      </c>
      <c r="B680" t="str">
        <f>IF(FuelPrices_!AL685="","",FuelPrices_!AL685)</f>
        <v/>
      </c>
      <c r="C680" t="str">
        <f>IF(FuelPrices_!AM685="","",FuelPrices_!AM685)</f>
        <v/>
      </c>
      <c r="D680" t="str">
        <f>IF(FuelPrices_!AN685="","",FuelPrices_!AN685)</f>
        <v/>
      </c>
      <c r="E680" t="str">
        <f>IFERROR(VLOOKUP(A680,FuelPrices_!$B$49:$G$57,6,FALSE),"")</f>
        <v/>
      </c>
      <c r="F680" t="str">
        <f>IFERROR(VLOOKUP(A680,FuelPrices_!$B$61:$G$69,6,FALSE),"")</f>
        <v/>
      </c>
      <c r="G680" t="str">
        <f t="shared" si="17"/>
        <v/>
      </c>
    </row>
    <row r="681" spans="1:7" x14ac:dyDescent="0.25">
      <c r="A681" t="str">
        <f>IF(FuelPrices_!AK686="","",FuelPrices_!AK686)</f>
        <v/>
      </c>
      <c r="B681" t="str">
        <f>IF(FuelPrices_!AL686="","",FuelPrices_!AL686)</f>
        <v/>
      </c>
      <c r="C681" t="str">
        <f>IF(FuelPrices_!AM686="","",FuelPrices_!AM686)</f>
        <v/>
      </c>
      <c r="D681" t="str">
        <f>IF(FuelPrices_!AN686="","",FuelPrices_!AN686)</f>
        <v/>
      </c>
      <c r="E681" t="str">
        <f>IFERROR(VLOOKUP(A681,FuelPrices_!$B$49:$G$57,6,FALSE),"")</f>
        <v/>
      </c>
      <c r="F681" t="str">
        <f>IFERROR(VLOOKUP(A681,FuelPrices_!$B$61:$G$69,6,FALSE),"")</f>
        <v/>
      </c>
      <c r="G681" t="str">
        <f t="shared" si="17"/>
        <v/>
      </c>
    </row>
    <row r="682" spans="1:7" x14ac:dyDescent="0.25">
      <c r="A682" t="str">
        <f>IF(FuelPrices_!AK687="","",FuelPrices_!AK687)</f>
        <v/>
      </c>
      <c r="B682" t="str">
        <f>IF(FuelPrices_!AL687="","",FuelPrices_!AL687)</f>
        <v/>
      </c>
      <c r="C682" t="str">
        <f>IF(FuelPrices_!AM687="","",FuelPrices_!AM687)</f>
        <v/>
      </c>
      <c r="D682" t="str">
        <f>IF(FuelPrices_!AN687="","",FuelPrices_!AN687)</f>
        <v/>
      </c>
      <c r="E682" t="str">
        <f>IFERROR(VLOOKUP(A682,FuelPrices_!$B$49:$G$57,6,FALSE),"")</f>
        <v/>
      </c>
      <c r="F682" t="str">
        <f>IFERROR(VLOOKUP(A682,FuelPrices_!$B$61:$G$69,6,FALSE),"")</f>
        <v/>
      </c>
      <c r="G682" t="str">
        <f t="shared" si="17"/>
        <v/>
      </c>
    </row>
    <row r="683" spans="1:7" x14ac:dyDescent="0.25">
      <c r="A683" t="str">
        <f>IF(FuelPrices_!AK688="","",FuelPrices_!AK688)</f>
        <v/>
      </c>
      <c r="B683" t="str">
        <f>IF(FuelPrices_!AL688="","",FuelPrices_!AL688)</f>
        <v/>
      </c>
      <c r="C683" t="str">
        <f>IF(FuelPrices_!AM688="","",FuelPrices_!AM688)</f>
        <v/>
      </c>
      <c r="D683" t="str">
        <f>IF(FuelPrices_!AN688="","",FuelPrices_!AN688)</f>
        <v/>
      </c>
      <c r="E683" t="str">
        <f>IFERROR(VLOOKUP(A683,FuelPrices_!$B$49:$G$57,6,FALSE),"")</f>
        <v/>
      </c>
      <c r="F683" t="str">
        <f>IFERROR(VLOOKUP(A683,FuelPrices_!$B$61:$G$69,6,FALSE),"")</f>
        <v/>
      </c>
      <c r="G683" t="str">
        <f t="shared" si="17"/>
        <v/>
      </c>
    </row>
    <row r="684" spans="1:7" x14ac:dyDescent="0.25">
      <c r="A684" t="str">
        <f>IF(FuelPrices_!AK689="","",FuelPrices_!AK689)</f>
        <v/>
      </c>
      <c r="B684" t="str">
        <f>IF(FuelPrices_!AL689="","",FuelPrices_!AL689)</f>
        <v/>
      </c>
      <c r="C684" t="str">
        <f>IF(FuelPrices_!AM689="","",FuelPrices_!AM689)</f>
        <v/>
      </c>
      <c r="D684" t="str">
        <f>IF(FuelPrices_!AN689="","",FuelPrices_!AN689)</f>
        <v/>
      </c>
      <c r="E684" t="str">
        <f>IFERROR(VLOOKUP(A684,FuelPrices_!$B$49:$G$57,6,FALSE),"")</f>
        <v/>
      </c>
      <c r="F684" t="str">
        <f>IFERROR(VLOOKUP(A684,FuelPrices_!$B$61:$G$69,6,FALSE),"")</f>
        <v/>
      </c>
      <c r="G684" t="str">
        <f t="shared" si="17"/>
        <v/>
      </c>
    </row>
    <row r="685" spans="1:7" x14ac:dyDescent="0.25">
      <c r="A685" t="str">
        <f>IF(FuelPrices_!AK690="","",FuelPrices_!AK690)</f>
        <v/>
      </c>
      <c r="B685" t="str">
        <f>IF(FuelPrices_!AL690="","",FuelPrices_!AL690)</f>
        <v/>
      </c>
      <c r="C685" t="str">
        <f>IF(FuelPrices_!AM690="","",FuelPrices_!AM690)</f>
        <v/>
      </c>
      <c r="D685" t="str">
        <f>IF(FuelPrices_!AN690="","",FuelPrices_!AN690)</f>
        <v/>
      </c>
      <c r="E685" t="str">
        <f>IFERROR(VLOOKUP(A685,FuelPrices_!$B$49:$G$57,6,FALSE),"")</f>
        <v/>
      </c>
      <c r="F685" t="str">
        <f>IFERROR(VLOOKUP(A685,FuelPrices_!$B$61:$G$69,6,FALSE),"")</f>
        <v/>
      </c>
      <c r="G685" t="str">
        <f t="shared" si="17"/>
        <v/>
      </c>
    </row>
    <row r="686" spans="1:7" x14ac:dyDescent="0.25">
      <c r="A686" t="str">
        <f>IF(FuelPrices_!AK691="","",FuelPrices_!AK691)</f>
        <v/>
      </c>
      <c r="B686" t="str">
        <f>IF(FuelPrices_!AL691="","",FuelPrices_!AL691)</f>
        <v/>
      </c>
      <c r="C686" t="str">
        <f>IF(FuelPrices_!AM691="","",FuelPrices_!AM691)</f>
        <v/>
      </c>
      <c r="D686" t="str">
        <f>IF(FuelPrices_!AN691="","",FuelPrices_!AN691)</f>
        <v/>
      </c>
      <c r="E686" t="str">
        <f>IFERROR(VLOOKUP(A686,FuelPrices_!$B$49:$G$57,6,FALSE),"")</f>
        <v/>
      </c>
      <c r="F686" t="str">
        <f>IFERROR(VLOOKUP(A686,FuelPrices_!$B$61:$G$69,6,FALSE),"")</f>
        <v/>
      </c>
      <c r="G686" t="str">
        <f t="shared" si="17"/>
        <v/>
      </c>
    </row>
    <row r="687" spans="1:7" x14ac:dyDescent="0.25">
      <c r="A687" t="str">
        <f>IF(FuelPrices_!AK692="","",FuelPrices_!AK692)</f>
        <v/>
      </c>
      <c r="B687" t="str">
        <f>IF(FuelPrices_!AL692="","",FuelPrices_!AL692)</f>
        <v/>
      </c>
      <c r="C687" t="str">
        <f>IF(FuelPrices_!AM692="","",FuelPrices_!AM692)</f>
        <v/>
      </c>
      <c r="D687" t="str">
        <f>IF(FuelPrices_!AN692="","",FuelPrices_!AN692)</f>
        <v/>
      </c>
      <c r="E687" t="str">
        <f>IFERROR(VLOOKUP(A687,FuelPrices_!$B$49:$G$57,6,FALSE),"")</f>
        <v/>
      </c>
      <c r="F687" t="str">
        <f>IFERROR(VLOOKUP(A687,FuelPrices_!$B$61:$G$69,6,FALSE),"")</f>
        <v/>
      </c>
      <c r="G687" t="str">
        <f t="shared" si="17"/>
        <v/>
      </c>
    </row>
    <row r="688" spans="1:7" x14ac:dyDescent="0.25">
      <c r="A688" t="str">
        <f>IF(FuelPrices_!AK693="","",FuelPrices_!AK693)</f>
        <v/>
      </c>
      <c r="B688" t="str">
        <f>IF(FuelPrices_!AL693="","",FuelPrices_!AL693)</f>
        <v/>
      </c>
      <c r="C688" t="str">
        <f>IF(FuelPrices_!AM693="","",FuelPrices_!AM693)</f>
        <v/>
      </c>
      <c r="D688" t="str">
        <f>IF(FuelPrices_!AN693="","",FuelPrices_!AN693)</f>
        <v/>
      </c>
      <c r="E688" t="str">
        <f>IFERROR(VLOOKUP(A688,FuelPrices_!$B$49:$G$57,6,FALSE),"")</f>
        <v/>
      </c>
      <c r="F688" t="str">
        <f>IFERROR(VLOOKUP(A688,FuelPrices_!$B$61:$G$69,6,FALSE),"")</f>
        <v/>
      </c>
      <c r="G688" t="str">
        <f t="shared" si="17"/>
        <v/>
      </c>
    </row>
    <row r="689" spans="1:7" x14ac:dyDescent="0.25">
      <c r="A689" t="str">
        <f>IF(FuelPrices_!AK694="","",FuelPrices_!AK694)</f>
        <v/>
      </c>
      <c r="B689" t="str">
        <f>IF(FuelPrices_!AL694="","",FuelPrices_!AL694)</f>
        <v/>
      </c>
      <c r="C689" t="str">
        <f>IF(FuelPrices_!AM694="","",FuelPrices_!AM694)</f>
        <v/>
      </c>
      <c r="D689" t="str">
        <f>IF(FuelPrices_!AN694="","",FuelPrices_!AN694)</f>
        <v/>
      </c>
      <c r="E689" t="str">
        <f>IFERROR(VLOOKUP(A689,FuelPrices_!$B$49:$G$57,6,FALSE),"")</f>
        <v/>
      </c>
      <c r="F689" t="str">
        <f>IFERROR(VLOOKUP(A689,FuelPrices_!$B$61:$G$69,6,FALSE),"")</f>
        <v/>
      </c>
      <c r="G689" t="str">
        <f t="shared" si="17"/>
        <v/>
      </c>
    </row>
    <row r="690" spans="1:7" x14ac:dyDescent="0.25">
      <c r="A690" t="str">
        <f>IF(FuelPrices_!AK695="","",FuelPrices_!AK695)</f>
        <v/>
      </c>
      <c r="B690" t="str">
        <f>IF(FuelPrices_!AL695="","",FuelPrices_!AL695)</f>
        <v/>
      </c>
      <c r="C690" t="str">
        <f>IF(FuelPrices_!AM695="","",FuelPrices_!AM695)</f>
        <v/>
      </c>
      <c r="D690" t="str">
        <f>IF(FuelPrices_!AN695="","",FuelPrices_!AN695)</f>
        <v/>
      </c>
      <c r="E690" t="str">
        <f>IFERROR(VLOOKUP(A690,FuelPrices_!$B$49:$G$57,6,FALSE),"")</f>
        <v/>
      </c>
      <c r="F690" t="str">
        <f>IFERROR(VLOOKUP(A690,FuelPrices_!$B$61:$G$69,6,FALSE),"")</f>
        <v/>
      </c>
      <c r="G690" t="str">
        <f t="shared" si="17"/>
        <v/>
      </c>
    </row>
    <row r="691" spans="1:7" x14ac:dyDescent="0.25">
      <c r="A691" t="str">
        <f>IF(FuelPrices_!AK696="","",FuelPrices_!AK696)</f>
        <v/>
      </c>
      <c r="B691" t="str">
        <f>IF(FuelPrices_!AL696="","",FuelPrices_!AL696)</f>
        <v/>
      </c>
      <c r="C691" t="str">
        <f>IF(FuelPrices_!AM696="","",FuelPrices_!AM696)</f>
        <v/>
      </c>
      <c r="D691" t="str">
        <f>IF(FuelPrices_!AN696="","",FuelPrices_!AN696)</f>
        <v/>
      </c>
      <c r="E691" t="str">
        <f>IFERROR(VLOOKUP(A691,FuelPrices_!$B$49:$G$57,6,FALSE),"")</f>
        <v/>
      </c>
      <c r="F691" t="str">
        <f>IFERROR(VLOOKUP(A691,FuelPrices_!$B$61:$G$69,6,FALSE),"")</f>
        <v/>
      </c>
      <c r="G691" t="str">
        <f t="shared" si="17"/>
        <v/>
      </c>
    </row>
    <row r="692" spans="1:7" x14ac:dyDescent="0.25">
      <c r="A692" t="str">
        <f>IF(FuelPrices_!AK697="","",FuelPrices_!AK697)</f>
        <v/>
      </c>
      <c r="B692" t="str">
        <f>IF(FuelPrices_!AL697="","",FuelPrices_!AL697)</f>
        <v/>
      </c>
      <c r="C692" t="str">
        <f>IF(FuelPrices_!AM697="","",FuelPrices_!AM697)</f>
        <v/>
      </c>
      <c r="D692" t="str">
        <f>IF(FuelPrices_!AN697="","",FuelPrices_!AN697)</f>
        <v/>
      </c>
      <c r="E692" t="str">
        <f>IFERROR(VLOOKUP(A692,FuelPrices_!$B$49:$G$57,6,FALSE),"")</f>
        <v/>
      </c>
      <c r="F692" t="str">
        <f>IFERROR(VLOOKUP(A692,FuelPrices_!$B$61:$G$69,6,FALSE),"")</f>
        <v/>
      </c>
      <c r="G692" t="str">
        <f t="shared" si="17"/>
        <v/>
      </c>
    </row>
    <row r="693" spans="1:7" x14ac:dyDescent="0.25">
      <c r="A693" t="str">
        <f>IF(FuelPrices_!AK698="","",FuelPrices_!AK698)</f>
        <v/>
      </c>
      <c r="B693" t="str">
        <f>IF(FuelPrices_!AL698="","",FuelPrices_!AL698)</f>
        <v/>
      </c>
      <c r="C693" t="str">
        <f>IF(FuelPrices_!AM698="","",FuelPrices_!AM698)</f>
        <v/>
      </c>
      <c r="D693" t="str">
        <f>IF(FuelPrices_!AN698="","",FuelPrices_!AN698)</f>
        <v/>
      </c>
      <c r="E693" t="str">
        <f>IFERROR(VLOOKUP(A693,FuelPrices_!$B$49:$G$57,6,FALSE),"")</f>
        <v/>
      </c>
      <c r="F693" t="str">
        <f>IFERROR(VLOOKUP(A693,FuelPrices_!$B$61:$G$69,6,FALSE),"")</f>
        <v/>
      </c>
      <c r="G693" t="str">
        <f t="shared" si="17"/>
        <v/>
      </c>
    </row>
    <row r="694" spans="1:7" x14ac:dyDescent="0.25">
      <c r="A694" t="str">
        <f>IF(FuelPrices_!AK699="","",FuelPrices_!AK699)</f>
        <v/>
      </c>
      <c r="B694" t="str">
        <f>IF(FuelPrices_!AL699="","",FuelPrices_!AL699)</f>
        <v/>
      </c>
      <c r="C694" t="str">
        <f>IF(FuelPrices_!AM699="","",FuelPrices_!AM699)</f>
        <v/>
      </c>
      <c r="D694" t="str">
        <f>IF(FuelPrices_!AN699="","",FuelPrices_!AN699)</f>
        <v/>
      </c>
      <c r="E694" t="str">
        <f>IFERROR(VLOOKUP(A694,FuelPrices_!$B$49:$G$57,6,FALSE),"")</f>
        <v/>
      </c>
      <c r="F694" t="str">
        <f>IFERROR(VLOOKUP(A694,FuelPrices_!$B$61:$G$69,6,FALSE),"")</f>
        <v/>
      </c>
      <c r="G694" t="str">
        <f t="shared" si="17"/>
        <v/>
      </c>
    </row>
    <row r="695" spans="1:7" x14ac:dyDescent="0.25">
      <c r="A695" t="str">
        <f>IF(FuelPrices_!AK700="","",FuelPrices_!AK700)</f>
        <v/>
      </c>
      <c r="B695" t="str">
        <f>IF(FuelPrices_!AL700="","",FuelPrices_!AL700)</f>
        <v/>
      </c>
      <c r="C695" t="str">
        <f>IF(FuelPrices_!AM700="","",FuelPrices_!AM700)</f>
        <v/>
      </c>
      <c r="D695" t="str">
        <f>IF(FuelPrices_!AN700="","",FuelPrices_!AN700)</f>
        <v/>
      </c>
      <c r="E695" t="str">
        <f>IFERROR(VLOOKUP(A695,FuelPrices_!$B$49:$G$57,6,FALSE),"")</f>
        <v/>
      </c>
      <c r="F695" t="str">
        <f>IFERROR(VLOOKUP(A695,FuelPrices_!$B$61:$G$69,6,FALSE),"")</f>
        <v/>
      </c>
      <c r="G695" t="str">
        <f t="shared" si="17"/>
        <v/>
      </c>
    </row>
    <row r="696" spans="1:7" x14ac:dyDescent="0.25">
      <c r="A696" t="str">
        <f>IF(FuelPrices_!AK701="","",FuelPrices_!AK701)</f>
        <v/>
      </c>
      <c r="B696" t="str">
        <f>IF(FuelPrices_!AL701="","",FuelPrices_!AL701)</f>
        <v/>
      </c>
      <c r="C696" t="str">
        <f>IF(FuelPrices_!AM701="","",FuelPrices_!AM701)</f>
        <v/>
      </c>
      <c r="D696" t="str">
        <f>IF(FuelPrices_!AN701="","",FuelPrices_!AN701)</f>
        <v/>
      </c>
      <c r="E696" t="str">
        <f>IFERROR(VLOOKUP(A696,FuelPrices_!$B$49:$G$57,6,FALSE),"")</f>
        <v/>
      </c>
      <c r="F696" t="str">
        <f>IFERROR(VLOOKUP(A696,FuelPrices_!$B$61:$G$69,6,FALSE),"")</f>
        <v/>
      </c>
      <c r="G696" t="str">
        <f t="shared" si="17"/>
        <v/>
      </c>
    </row>
    <row r="697" spans="1:7" x14ac:dyDescent="0.25">
      <c r="A697" t="str">
        <f>IF(FuelPrices_!AK702="","",FuelPrices_!AK702)</f>
        <v/>
      </c>
      <c r="B697" t="str">
        <f>IF(FuelPrices_!AL702="","",FuelPrices_!AL702)</f>
        <v/>
      </c>
      <c r="C697" t="str">
        <f>IF(FuelPrices_!AM702="","",FuelPrices_!AM702)</f>
        <v/>
      </c>
      <c r="D697" t="str">
        <f>IF(FuelPrices_!AN702="","",FuelPrices_!AN702)</f>
        <v/>
      </c>
      <c r="E697" t="str">
        <f>IFERROR(VLOOKUP(A697,FuelPrices_!$B$49:$G$57,6,FALSE),"")</f>
        <v/>
      </c>
      <c r="F697" t="str">
        <f>IFERROR(VLOOKUP(A697,FuelPrices_!$B$61:$G$69,6,FALSE),"")</f>
        <v/>
      </c>
      <c r="G697" t="str">
        <f t="shared" si="17"/>
        <v/>
      </c>
    </row>
    <row r="698" spans="1:7" x14ac:dyDescent="0.25">
      <c r="A698" t="str">
        <f>IF(FuelPrices_!AK703="","",FuelPrices_!AK703)</f>
        <v/>
      </c>
      <c r="B698" t="str">
        <f>IF(FuelPrices_!AL703="","",FuelPrices_!AL703)</f>
        <v/>
      </c>
      <c r="C698" t="str">
        <f>IF(FuelPrices_!AM703="","",FuelPrices_!AM703)</f>
        <v/>
      </c>
      <c r="D698" t="str">
        <f>IF(FuelPrices_!AN703="","",FuelPrices_!AN703)</f>
        <v/>
      </c>
      <c r="E698" t="str">
        <f>IFERROR(VLOOKUP(A698,FuelPrices_!$B$49:$G$57,6,FALSE),"")</f>
        <v/>
      </c>
      <c r="F698" t="str">
        <f>IFERROR(VLOOKUP(A698,FuelPrices_!$B$61:$G$69,6,FALSE),"")</f>
        <v/>
      </c>
      <c r="G698" t="str">
        <f t="shared" si="17"/>
        <v/>
      </c>
    </row>
    <row r="699" spans="1:7" x14ac:dyDescent="0.25">
      <c r="A699" t="str">
        <f>IF(FuelPrices_!AK704="","",FuelPrices_!AK704)</f>
        <v/>
      </c>
      <c r="B699" t="str">
        <f>IF(FuelPrices_!AL704="","",FuelPrices_!AL704)</f>
        <v/>
      </c>
      <c r="C699" t="str">
        <f>IF(FuelPrices_!AM704="","",FuelPrices_!AM704)</f>
        <v/>
      </c>
      <c r="D699" t="str">
        <f>IF(FuelPrices_!AN704="","",FuelPrices_!AN704)</f>
        <v/>
      </c>
      <c r="E699" t="str">
        <f>IFERROR(VLOOKUP(A699,FuelPrices_!$B$49:$G$57,6,FALSE),"")</f>
        <v/>
      </c>
      <c r="F699" t="str">
        <f>IFERROR(VLOOKUP(A699,FuelPrices_!$B$61:$G$69,6,FALSE),"")</f>
        <v/>
      </c>
      <c r="G699" t="str">
        <f t="shared" si="17"/>
        <v/>
      </c>
    </row>
    <row r="700" spans="1:7" x14ac:dyDescent="0.25">
      <c r="A700" t="str">
        <f>IF(FuelPrices_!AK705="","",FuelPrices_!AK705)</f>
        <v/>
      </c>
      <c r="B700" t="str">
        <f>IF(FuelPrices_!AL705="","",FuelPrices_!AL705)</f>
        <v/>
      </c>
      <c r="C700" t="str">
        <f>IF(FuelPrices_!AM705="","",FuelPrices_!AM705)</f>
        <v/>
      </c>
      <c r="D700" t="str">
        <f>IF(FuelPrices_!AN705="","",FuelPrices_!AN705)</f>
        <v/>
      </c>
      <c r="E700" t="str">
        <f>IFERROR(VLOOKUP(A700,FuelPrices_!$B$49:$G$57,6,FALSE),"")</f>
        <v/>
      </c>
      <c r="F700" t="str">
        <f>IFERROR(VLOOKUP(A700,FuelPrices_!$B$61:$G$69,6,FALSE),"")</f>
        <v/>
      </c>
      <c r="G700" t="str">
        <f t="shared" si="17"/>
        <v/>
      </c>
    </row>
    <row r="701" spans="1:7" x14ac:dyDescent="0.25">
      <c r="A701" t="str">
        <f>IF(FuelPrices_!AK706="","",FuelPrices_!AK706)</f>
        <v/>
      </c>
      <c r="B701" t="str">
        <f>IF(FuelPrices_!AL706="","",FuelPrices_!AL706)</f>
        <v/>
      </c>
      <c r="C701" t="str">
        <f>IF(FuelPrices_!AM706="","",FuelPrices_!AM706)</f>
        <v/>
      </c>
      <c r="D701" t="str">
        <f>IF(FuelPrices_!AN706="","",FuelPrices_!AN706)</f>
        <v/>
      </c>
      <c r="E701" t="str">
        <f>IFERROR(VLOOKUP(A701,FuelPrices_!$B$49:$G$57,6,FALSE),"")</f>
        <v/>
      </c>
      <c r="F701" t="str">
        <f>IFERROR(VLOOKUP(A701,FuelPrices_!$B$61:$G$69,6,FALSE),"")</f>
        <v/>
      </c>
      <c r="G701" t="str">
        <f t="shared" si="17"/>
        <v/>
      </c>
    </row>
    <row r="702" spans="1:7" x14ac:dyDescent="0.25">
      <c r="A702" t="str">
        <f>IF(FuelPrices_!AK707="","",FuelPrices_!AK707)</f>
        <v/>
      </c>
      <c r="B702" t="str">
        <f>IF(FuelPrices_!AL707="","",FuelPrices_!AL707)</f>
        <v/>
      </c>
      <c r="C702" t="str">
        <f>IF(FuelPrices_!AM707="","",FuelPrices_!AM707)</f>
        <v/>
      </c>
      <c r="D702" t="str">
        <f>IF(FuelPrices_!AN707="","",FuelPrices_!AN707)</f>
        <v/>
      </c>
      <c r="E702" t="str">
        <f>IFERROR(VLOOKUP(A702,FuelPrices_!$B$49:$G$57,6,FALSE),"")</f>
        <v/>
      </c>
      <c r="F702" t="str">
        <f>IFERROR(VLOOKUP(A702,FuelPrices_!$B$61:$G$69,6,FALSE),"")</f>
        <v/>
      </c>
      <c r="G702" t="str">
        <f t="shared" si="17"/>
        <v/>
      </c>
    </row>
    <row r="703" spans="1:7" x14ac:dyDescent="0.25">
      <c r="A703" t="str">
        <f>IF(FuelPrices_!AK708="","",FuelPrices_!AK708)</f>
        <v/>
      </c>
      <c r="B703" t="str">
        <f>IF(FuelPrices_!AL708="","",FuelPrices_!AL708)</f>
        <v/>
      </c>
      <c r="C703" t="str">
        <f>IF(FuelPrices_!AM708="","",FuelPrices_!AM708)</f>
        <v/>
      </c>
      <c r="D703" t="str">
        <f>IF(FuelPrices_!AN708="","",FuelPrices_!AN708)</f>
        <v/>
      </c>
      <c r="E703" t="str">
        <f>IFERROR(VLOOKUP(A703,FuelPrices_!$B$49:$G$57,6,FALSE),"")</f>
        <v/>
      </c>
      <c r="F703" t="str">
        <f>IFERROR(VLOOKUP(A703,FuelPrices_!$B$61:$G$69,6,FALSE),"")</f>
        <v/>
      </c>
      <c r="G703" t="str">
        <f t="shared" si="17"/>
        <v/>
      </c>
    </row>
    <row r="704" spans="1:7" x14ac:dyDescent="0.25">
      <c r="A704" t="str">
        <f>IF(FuelPrices_!AK709="","",FuelPrices_!AK709)</f>
        <v/>
      </c>
      <c r="B704" t="str">
        <f>IF(FuelPrices_!AL709="","",FuelPrices_!AL709)</f>
        <v/>
      </c>
      <c r="C704" t="str">
        <f>IF(FuelPrices_!AM709="","",FuelPrices_!AM709)</f>
        <v/>
      </c>
      <c r="D704" t="str">
        <f>IF(FuelPrices_!AN709="","",FuelPrices_!AN709)</f>
        <v/>
      </c>
      <c r="E704" t="str">
        <f>IFERROR(VLOOKUP(A704,FuelPrices_!$B$49:$G$57,6,FALSE),"")</f>
        <v/>
      </c>
      <c r="F704" t="str">
        <f>IFERROR(VLOOKUP(A704,FuelPrices_!$B$61:$G$69,6,FALSE),"")</f>
        <v/>
      </c>
      <c r="G704" t="str">
        <f t="shared" si="17"/>
        <v/>
      </c>
    </row>
    <row r="705" spans="1:7" x14ac:dyDescent="0.25">
      <c r="A705" t="str">
        <f>IF(FuelPrices_!AK710="","",FuelPrices_!AK710)</f>
        <v/>
      </c>
      <c r="B705" t="str">
        <f>IF(FuelPrices_!AL710="","",FuelPrices_!AL710)</f>
        <v/>
      </c>
      <c r="C705" t="str">
        <f>IF(FuelPrices_!AM710="","",FuelPrices_!AM710)</f>
        <v/>
      </c>
      <c r="D705" t="str">
        <f>IF(FuelPrices_!AN710="","",FuelPrices_!AN710)</f>
        <v/>
      </c>
      <c r="E705" t="str">
        <f>IFERROR(VLOOKUP(A705,FuelPrices_!$B$49:$G$57,6,FALSE),"")</f>
        <v/>
      </c>
      <c r="F705" t="str">
        <f>IFERROR(VLOOKUP(A705,FuelPrices_!$B$61:$G$69,6,FALSE),"")</f>
        <v/>
      </c>
      <c r="G705" t="str">
        <f t="shared" si="17"/>
        <v/>
      </c>
    </row>
    <row r="706" spans="1:7" x14ac:dyDescent="0.25">
      <c r="A706" t="str">
        <f>IF(FuelPrices_!AK711="","",FuelPrices_!AK711)</f>
        <v/>
      </c>
      <c r="B706" t="str">
        <f>IF(FuelPrices_!AL711="","",FuelPrices_!AL711)</f>
        <v/>
      </c>
      <c r="C706" t="str">
        <f>IF(FuelPrices_!AM711="","",FuelPrices_!AM711)</f>
        <v/>
      </c>
      <c r="D706" t="str">
        <f>IF(FuelPrices_!AN711="","",FuelPrices_!AN711)</f>
        <v/>
      </c>
      <c r="E706" t="str">
        <f>IFERROR(VLOOKUP(A706,FuelPrices_!$B$49:$G$57,6,FALSE),"")</f>
        <v/>
      </c>
      <c r="F706" t="str">
        <f>IFERROR(VLOOKUP(A706,FuelPrices_!$B$61:$G$69,6,FALSE),"")</f>
        <v/>
      </c>
      <c r="G706" t="str">
        <f t="shared" si="17"/>
        <v/>
      </c>
    </row>
    <row r="707" spans="1:7" x14ac:dyDescent="0.25">
      <c r="A707" t="str">
        <f>IF(FuelPrices_!AK712="","",FuelPrices_!AK712)</f>
        <v/>
      </c>
      <c r="B707" t="str">
        <f>IF(FuelPrices_!AL712="","",FuelPrices_!AL712)</f>
        <v/>
      </c>
      <c r="C707" t="str">
        <f>IF(FuelPrices_!AM712="","",FuelPrices_!AM712)</f>
        <v/>
      </c>
      <c r="D707" t="str">
        <f>IF(FuelPrices_!AN712="","",FuelPrices_!AN712)</f>
        <v/>
      </c>
      <c r="E707" t="str">
        <f>IFERROR(VLOOKUP(A707,FuelPrices_!$B$49:$G$57,6,FALSE),"")</f>
        <v/>
      </c>
      <c r="F707" t="str">
        <f>IFERROR(VLOOKUP(A707,FuelPrices_!$B$61:$G$69,6,FALSE),"")</f>
        <v/>
      </c>
      <c r="G707" t="str">
        <f t="shared" si="17"/>
        <v/>
      </c>
    </row>
    <row r="708" spans="1:7" x14ac:dyDescent="0.25">
      <c r="A708" t="str">
        <f>IF(FuelPrices_!AK713="","",FuelPrices_!AK713)</f>
        <v/>
      </c>
      <c r="B708" t="str">
        <f>IF(FuelPrices_!AL713="","",FuelPrices_!AL713)</f>
        <v/>
      </c>
      <c r="C708" t="str">
        <f>IF(FuelPrices_!AM713="","",FuelPrices_!AM713)</f>
        <v/>
      </c>
      <c r="D708" t="str">
        <f>IF(FuelPrices_!AN713="","",FuelPrices_!AN713)</f>
        <v/>
      </c>
      <c r="E708" t="str">
        <f>IFERROR(VLOOKUP(A708,FuelPrices_!$B$49:$G$57,6,FALSE),"")</f>
        <v/>
      </c>
      <c r="F708" t="str">
        <f>IFERROR(VLOOKUP(A708,FuelPrices_!$B$61:$G$69,6,FALSE),"")</f>
        <v/>
      </c>
      <c r="G708" t="str">
        <f t="shared" si="17"/>
        <v/>
      </c>
    </row>
    <row r="709" spans="1:7" x14ac:dyDescent="0.25">
      <c r="A709" t="str">
        <f>IF(FuelPrices_!AK714="","",FuelPrices_!AK714)</f>
        <v/>
      </c>
      <c r="B709" t="str">
        <f>IF(FuelPrices_!AL714="","",FuelPrices_!AL714)</f>
        <v/>
      </c>
      <c r="C709" t="str">
        <f>IF(FuelPrices_!AM714="","",FuelPrices_!AM714)</f>
        <v/>
      </c>
      <c r="D709" t="str">
        <f>IF(FuelPrices_!AN714="","",FuelPrices_!AN714)</f>
        <v/>
      </c>
      <c r="E709" t="str">
        <f>IFERROR(VLOOKUP(A709,FuelPrices_!$B$49:$G$57,6,FALSE),"")</f>
        <v/>
      </c>
      <c r="F709" t="str">
        <f>IFERROR(VLOOKUP(A709,FuelPrices_!$B$61:$G$69,6,FALSE),"")</f>
        <v/>
      </c>
      <c r="G709" t="str">
        <f t="shared" si="17"/>
        <v/>
      </c>
    </row>
    <row r="710" spans="1:7" x14ac:dyDescent="0.25">
      <c r="A710" t="str">
        <f>IF(FuelPrices_!AK715="","",FuelPrices_!AK715)</f>
        <v/>
      </c>
      <c r="B710" t="str">
        <f>IF(FuelPrices_!AL715="","",FuelPrices_!AL715)</f>
        <v/>
      </c>
      <c r="C710" t="str">
        <f>IF(FuelPrices_!AM715="","",FuelPrices_!AM715)</f>
        <v/>
      </c>
      <c r="D710" t="str">
        <f>IF(FuelPrices_!AN715="","",FuelPrices_!AN715)</f>
        <v/>
      </c>
      <c r="E710" t="str">
        <f>IFERROR(VLOOKUP(A710,FuelPrices_!$B$49:$G$57,6,FALSE),"")</f>
        <v/>
      </c>
      <c r="F710" t="str">
        <f>IFERROR(VLOOKUP(A710,FuelPrices_!$B$61:$G$69,6,FALSE),"")</f>
        <v/>
      </c>
      <c r="G710" t="str">
        <f t="shared" si="17"/>
        <v/>
      </c>
    </row>
    <row r="711" spans="1:7" x14ac:dyDescent="0.25">
      <c r="A711" t="str">
        <f>IF(FuelPrices_!AK716="","",FuelPrices_!AK716)</f>
        <v/>
      </c>
      <c r="B711" t="str">
        <f>IF(FuelPrices_!AL716="","",FuelPrices_!AL716)</f>
        <v/>
      </c>
      <c r="C711" t="str">
        <f>IF(FuelPrices_!AM716="","",FuelPrices_!AM716)</f>
        <v/>
      </c>
      <c r="D711" t="str">
        <f>IF(FuelPrices_!AN716="","",FuelPrices_!AN716)</f>
        <v/>
      </c>
      <c r="E711" t="str">
        <f>IFERROR(VLOOKUP(A711,FuelPrices_!$B$49:$G$57,6,FALSE),"")</f>
        <v/>
      </c>
      <c r="F711" t="str">
        <f>IFERROR(VLOOKUP(A711,FuelPrices_!$B$61:$G$69,6,FALSE),"")</f>
        <v/>
      </c>
      <c r="G711" t="str">
        <f t="shared" si="17"/>
        <v/>
      </c>
    </row>
    <row r="712" spans="1:7" x14ac:dyDescent="0.25">
      <c r="A712" t="str">
        <f>IF(FuelPrices_!AK717="","",FuelPrices_!AK717)</f>
        <v/>
      </c>
      <c r="B712" t="str">
        <f>IF(FuelPrices_!AL717="","",FuelPrices_!AL717)</f>
        <v/>
      </c>
      <c r="C712" t="str">
        <f>IF(FuelPrices_!AM717="","",FuelPrices_!AM717)</f>
        <v/>
      </c>
      <c r="D712" t="str">
        <f>IF(FuelPrices_!AN717="","",FuelPrices_!AN717)</f>
        <v/>
      </c>
      <c r="E712" t="str">
        <f>IFERROR(VLOOKUP(A712,FuelPrices_!$B$49:$G$57,6,FALSE),"")</f>
        <v/>
      </c>
      <c r="F712" t="str">
        <f>IFERROR(VLOOKUP(A712,FuelPrices_!$B$61:$G$69,6,FALSE),"")</f>
        <v/>
      </c>
      <c r="G712" t="str">
        <f t="shared" si="17"/>
        <v/>
      </c>
    </row>
    <row r="713" spans="1:7" x14ac:dyDescent="0.25">
      <c r="A713" t="str">
        <f>IF(FuelPrices_!AK718="","",FuelPrices_!AK718)</f>
        <v/>
      </c>
      <c r="B713" t="str">
        <f>IF(FuelPrices_!AL718="","",FuelPrices_!AL718)</f>
        <v/>
      </c>
      <c r="C713" t="str">
        <f>IF(FuelPrices_!AM718="","",FuelPrices_!AM718)</f>
        <v/>
      </c>
      <c r="D713" t="str">
        <f>IF(FuelPrices_!AN718="","",FuelPrices_!AN718)</f>
        <v/>
      </c>
      <c r="E713" t="str">
        <f>IFERROR(VLOOKUP(A713,FuelPrices_!$B$49:$G$57,6,FALSE),"")</f>
        <v/>
      </c>
      <c r="F713" t="str">
        <f>IFERROR(VLOOKUP(A713,FuelPrices_!$B$61:$G$69,6,FALSE),"")</f>
        <v/>
      </c>
      <c r="G713" t="str">
        <f t="shared" si="17"/>
        <v/>
      </c>
    </row>
    <row r="714" spans="1:7" x14ac:dyDescent="0.25">
      <c r="A714" t="str">
        <f>IF(FuelPrices_!AK719="","",FuelPrices_!AK719)</f>
        <v/>
      </c>
      <c r="B714" t="str">
        <f>IF(FuelPrices_!AL719="","",FuelPrices_!AL719)</f>
        <v/>
      </c>
      <c r="C714" t="str">
        <f>IF(FuelPrices_!AM719="","",FuelPrices_!AM719)</f>
        <v/>
      </c>
      <c r="D714" t="str">
        <f>IF(FuelPrices_!AN719="","",FuelPrices_!AN719)</f>
        <v/>
      </c>
      <c r="E714" t="str">
        <f>IFERROR(VLOOKUP(A714,FuelPrices_!$B$49:$G$57,6,FALSE),"")</f>
        <v/>
      </c>
      <c r="F714" t="str">
        <f>IFERROR(VLOOKUP(A714,FuelPrices_!$B$61:$G$69,6,FALSE),"")</f>
        <v/>
      </c>
      <c r="G714" t="str">
        <f t="shared" si="17"/>
        <v/>
      </c>
    </row>
    <row r="715" spans="1:7" x14ac:dyDescent="0.25">
      <c r="A715" t="str">
        <f>IF(FuelPrices_!AK720="","",FuelPrices_!AK720)</f>
        <v/>
      </c>
      <c r="B715" t="str">
        <f>IF(FuelPrices_!AL720="","",FuelPrices_!AL720)</f>
        <v/>
      </c>
      <c r="C715" t="str">
        <f>IF(FuelPrices_!AM720="","",FuelPrices_!AM720)</f>
        <v/>
      </c>
      <c r="D715" t="str">
        <f>IF(FuelPrices_!AN720="","",FuelPrices_!AN720)</f>
        <v/>
      </c>
      <c r="E715" t="str">
        <f>IFERROR(VLOOKUP(A715,FuelPrices_!$B$49:$G$57,6,FALSE),"")</f>
        <v/>
      </c>
      <c r="F715" t="str">
        <f>IFERROR(VLOOKUP(A715,FuelPrices_!$B$61:$G$69,6,FALSE),"")</f>
        <v/>
      </c>
      <c r="G715" t="str">
        <f t="shared" si="17"/>
        <v/>
      </c>
    </row>
    <row r="716" spans="1:7" x14ac:dyDescent="0.25">
      <c r="A716" t="str">
        <f>IF(FuelPrices_!AK721="","",FuelPrices_!AK721)</f>
        <v/>
      </c>
      <c r="B716" t="str">
        <f>IF(FuelPrices_!AL721="","",FuelPrices_!AL721)</f>
        <v/>
      </c>
      <c r="C716" t="str">
        <f>IF(FuelPrices_!AM721="","",FuelPrices_!AM721)</f>
        <v/>
      </c>
      <c r="D716" t="str">
        <f>IF(FuelPrices_!AN721="","",FuelPrices_!AN721)</f>
        <v/>
      </c>
      <c r="E716" t="str">
        <f>IFERROR(VLOOKUP(A716,FuelPrices_!$B$49:$G$57,6,FALSE),"")</f>
        <v/>
      </c>
      <c r="F716" t="str">
        <f>IFERROR(VLOOKUP(A716,FuelPrices_!$B$61:$G$69,6,FALSE),"")</f>
        <v/>
      </c>
      <c r="G716" t="str">
        <f t="shared" si="17"/>
        <v/>
      </c>
    </row>
    <row r="717" spans="1:7" x14ac:dyDescent="0.25">
      <c r="A717" t="str">
        <f>IF(FuelPrices_!AK722="","",FuelPrices_!AK722)</f>
        <v/>
      </c>
      <c r="B717" t="str">
        <f>IF(FuelPrices_!AL722="","",FuelPrices_!AL722)</f>
        <v/>
      </c>
      <c r="C717" t="str">
        <f>IF(FuelPrices_!AM722="","",FuelPrices_!AM722)</f>
        <v/>
      </c>
      <c r="D717" t="str">
        <f>IF(FuelPrices_!AN722="","",FuelPrices_!AN722)</f>
        <v/>
      </c>
      <c r="E717" t="str">
        <f>IFERROR(VLOOKUP(A717,FuelPrices_!$B$49:$G$57,6,FALSE),"")</f>
        <v/>
      </c>
      <c r="F717" t="str">
        <f>IFERROR(VLOOKUP(A717,FuelPrices_!$B$61:$G$69,6,FALSE),"")</f>
        <v/>
      </c>
      <c r="G717" t="str">
        <f t="shared" si="17"/>
        <v/>
      </c>
    </row>
    <row r="718" spans="1:7" x14ac:dyDescent="0.25">
      <c r="A718" t="str">
        <f>IF(FuelPrices_!AK723="","",FuelPrices_!AK723)</f>
        <v/>
      </c>
      <c r="B718" t="str">
        <f>IF(FuelPrices_!AL723="","",FuelPrices_!AL723)</f>
        <v/>
      </c>
      <c r="C718" t="str">
        <f>IF(FuelPrices_!AM723="","",FuelPrices_!AM723)</f>
        <v/>
      </c>
      <c r="D718" t="str">
        <f>IF(FuelPrices_!AN723="","",FuelPrices_!AN723)</f>
        <v/>
      </c>
      <c r="E718" t="str">
        <f>IFERROR(VLOOKUP(A718,FuelPrices_!$B$49:$G$57,6,FALSE),"")</f>
        <v/>
      </c>
      <c r="F718" t="str">
        <f>IFERROR(VLOOKUP(A718,FuelPrices_!$B$61:$G$69,6,FALSE),"")</f>
        <v/>
      </c>
      <c r="G718" t="str">
        <f t="shared" si="17"/>
        <v/>
      </c>
    </row>
    <row r="719" spans="1:7" x14ac:dyDescent="0.25">
      <c r="A719" t="str">
        <f>IF(FuelPrices_!AK724="","",FuelPrices_!AK724)</f>
        <v/>
      </c>
      <c r="B719" t="str">
        <f>IF(FuelPrices_!AL724="","",FuelPrices_!AL724)</f>
        <v/>
      </c>
      <c r="C719" t="str">
        <f>IF(FuelPrices_!AM724="","",FuelPrices_!AM724)</f>
        <v/>
      </c>
      <c r="D719" t="str">
        <f>IF(FuelPrices_!AN724="","",FuelPrices_!AN724)</f>
        <v/>
      </c>
      <c r="E719" t="str">
        <f>IFERROR(VLOOKUP(A719,FuelPrices_!$B$49:$G$57,6,FALSE),"")</f>
        <v/>
      </c>
      <c r="F719" t="str">
        <f>IFERROR(VLOOKUP(A719,FuelPrices_!$B$61:$G$69,6,FALSE),"")</f>
        <v/>
      </c>
      <c r="G719" t="str">
        <f t="shared" si="17"/>
        <v/>
      </c>
    </row>
    <row r="720" spans="1:7" x14ac:dyDescent="0.25">
      <c r="A720" t="str">
        <f>IF(FuelPrices_!AK725="","",FuelPrices_!AK725)</f>
        <v/>
      </c>
      <c r="B720" t="str">
        <f>IF(FuelPrices_!AL725="","",FuelPrices_!AL725)</f>
        <v/>
      </c>
      <c r="C720" t="str">
        <f>IF(FuelPrices_!AM725="","",FuelPrices_!AM725)</f>
        <v/>
      </c>
      <c r="D720" t="str">
        <f>IF(FuelPrices_!AN725="","",FuelPrices_!AN725)</f>
        <v/>
      </c>
      <c r="E720" t="str">
        <f>IFERROR(VLOOKUP(A720,FuelPrices_!$B$49:$G$57,6,FALSE),"")</f>
        <v/>
      </c>
      <c r="F720" t="str">
        <f>IFERROR(VLOOKUP(A720,FuelPrices_!$B$61:$G$69,6,FALSE),"")</f>
        <v/>
      </c>
      <c r="G720" t="str">
        <f t="shared" si="17"/>
        <v/>
      </c>
    </row>
    <row r="721" spans="1:7" x14ac:dyDescent="0.25">
      <c r="A721" t="str">
        <f>IF(FuelPrices_!AK726="","",FuelPrices_!AK726)</f>
        <v/>
      </c>
      <c r="B721" t="str">
        <f>IF(FuelPrices_!AL726="","",FuelPrices_!AL726)</f>
        <v/>
      </c>
      <c r="C721" t="str">
        <f>IF(FuelPrices_!AM726="","",FuelPrices_!AM726)</f>
        <v/>
      </c>
      <c r="D721" t="str">
        <f>IF(FuelPrices_!AN726="","",FuelPrices_!AN726)</f>
        <v/>
      </c>
      <c r="E721" t="str">
        <f>IFERROR(VLOOKUP(A721,FuelPrices_!$B$49:$G$57,6,FALSE),"")</f>
        <v/>
      </c>
      <c r="F721" t="str">
        <f>IFERROR(VLOOKUP(A721,FuelPrices_!$B$61:$G$69,6,FALSE),"")</f>
        <v/>
      </c>
      <c r="G721" t="str">
        <f t="shared" si="17"/>
        <v/>
      </c>
    </row>
  </sheetData>
  <phoneticPr fontId="3" type="noConversion"/>
  <pageMargins left="0.7" right="0.7" top="0.75" bottom="0.75" header="0.3" footer="0.3"/>
  <pageSetup paperSize="9" orientation="portrait" horizontalDpi="4294967295" verticalDpi="4294967295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808CE4F-F32F-444D-B3B2-4898008AA9B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9</vt:i4>
      </vt:variant>
    </vt:vector>
  </HeadingPairs>
  <TitlesOfParts>
    <vt:vector size="9" baseType="lpstr">
      <vt:lpstr>CAPEX_Input</vt:lpstr>
      <vt:lpstr>data_Powertrain_Features</vt:lpstr>
      <vt:lpstr>data_Efficiencies</vt:lpstr>
      <vt:lpstr>data_CAPEX_Vehicles</vt:lpstr>
      <vt:lpstr>data_Components_Prices</vt:lpstr>
      <vt:lpstr>data_Chassis</vt:lpstr>
      <vt:lpstr>FuelPrices_</vt:lpstr>
      <vt:lpstr>Hoja6</vt:lpstr>
      <vt:lpstr>data_FuelPrices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Manuel Pérez Bravo</dc:creator>
  <cp:lastModifiedBy>Manuel Pérez Bravo</cp:lastModifiedBy>
  <dcterms:created xsi:type="dcterms:W3CDTF">2024-10-02T12:07:39Z</dcterms:created>
  <dcterms:modified xsi:type="dcterms:W3CDTF">2025-03-17T11:16:09Z</dcterms:modified>
</cp:coreProperties>
</file>