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pcomillas-my.sharepoint.com/personal/mperezb_comillas_edu/Documents/Papers/Tte-pesado/Anlisis_HDV_EEA/Codigo_Git/data/"/>
    </mc:Choice>
  </mc:AlternateContent>
  <xr:revisionPtr revIDLastSave="22" documentId="8_{DE0B2456-B8DC-4CD3-AB45-B73BDA704BC2}" xr6:coauthVersionLast="47" xr6:coauthVersionMax="47" xr10:uidLastSave="{133ACDCD-C71C-4DFD-ADE8-335149638BA3}"/>
  <bookViews>
    <workbookView xWindow="-28920" yWindow="-1980" windowWidth="29040" windowHeight="15720" xr2:uid="{CBC8F5B2-E2A0-40FC-BB28-D37AC26560FA}"/>
  </bookViews>
  <sheets>
    <sheet name="Input" sheetId="3" r:id="rId1"/>
    <sheet name="data_Comp_Features" sheetId="26" r:id="rId2"/>
    <sheet name="data_VECTO" sheetId="25" r:id="rId3"/>
    <sheet name="data_Maintenance_Curve" sheetId="23" r:id="rId4"/>
    <sheet name="data_Maintenance_Price" sheetId="24" r:id="rId5"/>
    <sheet name="data_FE_Fuels" sheetId="22" r:id="rId6"/>
    <sheet name="data_ETS_Prices" sheetId="21" r:id="rId7"/>
    <sheet name="data_Cost_Red_H2" sheetId="20" r:id="rId8"/>
    <sheet name="data_Electrolyzer" sheetId="19" r:id="rId9"/>
    <sheet name="data_Powertrain_Features" sheetId="11" r:id="rId10"/>
    <sheet name="data_Efficiencies" sheetId="8" r:id="rId11"/>
    <sheet name="data_CAPEX_Vehicles" sheetId="2" r:id="rId12"/>
    <sheet name="data_Components_Prices" sheetId="6" r:id="rId13"/>
    <sheet name="data_Chassis" sheetId="4" r:id="rId14"/>
    <sheet name="data_FuelPrices" sheetId="15" r:id="rId15"/>
  </sheets>
  <definedNames>
    <definedName name="_xlnm._FilterDatabase" localSheetId="12" hidden="1">data_Components_Prices!$A$1:$D$89</definedName>
    <definedName name="DatosExternos_1" localSheetId="11" hidden="1">data_CAPEX_Vehicles!#REF!</definedName>
    <definedName name="DatosExternos_1" localSheetId="13" hidden="1">data_Chassis!#REF!</definedName>
    <definedName name="DatosExternos_1" localSheetId="10" hidden="1">data_Efficiencies!#REF!</definedName>
    <definedName name="DatosExternos_2" localSheetId="12" hidden="1">data_Components_Prices!#REF!</definedName>
    <definedName name="DatosExternos_2" localSheetId="10" hidden="1">data_Efficiencies!#REF!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1" l="1"/>
  <c r="D26" i="6"/>
  <c r="D10" i="6"/>
  <c r="D29" i="6"/>
  <c r="D21" i="6"/>
  <c r="D3" i="15"/>
  <c r="D4" i="15"/>
  <c r="D5" i="15"/>
  <c r="D6" i="15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6" i="15"/>
  <c r="D27" i="15"/>
  <c r="D28" i="15"/>
  <c r="D29" i="15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D44" i="15"/>
  <c r="D45" i="15"/>
  <c r="D46" i="15"/>
  <c r="D47" i="15"/>
  <c r="D48" i="15"/>
  <c r="D49" i="15"/>
  <c r="D50" i="15"/>
  <c r="D51" i="15"/>
  <c r="D52" i="15"/>
  <c r="D53" i="15"/>
  <c r="D54" i="15"/>
  <c r="D55" i="15"/>
  <c r="D56" i="15"/>
  <c r="D57" i="15"/>
  <c r="D58" i="15"/>
  <c r="D59" i="15"/>
  <c r="D60" i="15"/>
  <c r="D61" i="15"/>
  <c r="D62" i="15"/>
  <c r="D63" i="15"/>
  <c r="D64" i="15"/>
  <c r="D65" i="15"/>
  <c r="D66" i="15"/>
  <c r="D67" i="15"/>
  <c r="D68" i="15"/>
  <c r="D69" i="15"/>
  <c r="D70" i="15"/>
  <c r="D71" i="15"/>
  <c r="D72" i="15"/>
  <c r="D73" i="15"/>
  <c r="D74" i="15"/>
  <c r="D75" i="15"/>
  <c r="D76" i="15"/>
  <c r="D77" i="15"/>
  <c r="D78" i="15"/>
  <c r="D79" i="15"/>
  <c r="D80" i="15"/>
  <c r="D81" i="15"/>
  <c r="D82" i="15"/>
  <c r="D83" i="15"/>
  <c r="D84" i="15"/>
  <c r="D85" i="15"/>
  <c r="D86" i="15"/>
  <c r="D87" i="15"/>
  <c r="D88" i="15"/>
  <c r="D89" i="15"/>
  <c r="D90" i="15"/>
  <c r="D91" i="15"/>
  <c r="D92" i="15"/>
  <c r="D93" i="15"/>
  <c r="D94" i="15"/>
  <c r="D95" i="15"/>
  <c r="D96" i="15"/>
  <c r="D97" i="15"/>
  <c r="D98" i="15"/>
  <c r="D99" i="15"/>
  <c r="D100" i="15"/>
  <c r="D101" i="15"/>
  <c r="D102" i="15"/>
  <c r="D103" i="15"/>
  <c r="D104" i="15"/>
  <c r="D105" i="15"/>
  <c r="D106" i="15"/>
  <c r="D107" i="15"/>
  <c r="D108" i="15"/>
  <c r="D109" i="15"/>
  <c r="D110" i="15"/>
  <c r="D111" i="15"/>
  <c r="D112" i="15"/>
  <c r="D113" i="15"/>
  <c r="D114" i="15"/>
  <c r="D115" i="15"/>
  <c r="D116" i="15"/>
  <c r="D117" i="15"/>
  <c r="D118" i="15"/>
  <c r="D119" i="15"/>
  <c r="D120" i="15"/>
  <c r="D121" i="15"/>
  <c r="D122" i="15"/>
  <c r="D123" i="15"/>
  <c r="D124" i="15"/>
  <c r="D125" i="15"/>
  <c r="D126" i="15"/>
  <c r="D127" i="15"/>
  <c r="D128" i="15"/>
  <c r="D129" i="15"/>
  <c r="D130" i="15"/>
  <c r="D131" i="15"/>
  <c r="D132" i="15"/>
  <c r="D133" i="15"/>
  <c r="D134" i="15"/>
  <c r="D135" i="15"/>
  <c r="D136" i="15"/>
  <c r="D137" i="15"/>
  <c r="D138" i="15"/>
  <c r="D139" i="15"/>
  <c r="D140" i="15"/>
  <c r="D141" i="15"/>
  <c r="D142" i="15"/>
  <c r="D143" i="15"/>
  <c r="D144" i="15"/>
  <c r="D145" i="15"/>
  <c r="D146" i="15"/>
  <c r="D147" i="15"/>
  <c r="D148" i="15"/>
  <c r="D149" i="15"/>
  <c r="D150" i="15"/>
  <c r="D151" i="15"/>
  <c r="D152" i="15"/>
  <c r="D153" i="15"/>
  <c r="D154" i="15"/>
  <c r="D155" i="15"/>
  <c r="D156" i="15"/>
  <c r="D157" i="15"/>
  <c r="D158" i="15"/>
  <c r="D159" i="15"/>
  <c r="D160" i="15"/>
  <c r="D161" i="15"/>
  <c r="D162" i="15"/>
  <c r="D163" i="15"/>
  <c r="D164" i="15"/>
  <c r="D165" i="15"/>
  <c r="D166" i="15"/>
  <c r="D167" i="15"/>
  <c r="D168" i="15"/>
  <c r="D169" i="15"/>
  <c r="D170" i="15"/>
  <c r="D171" i="15"/>
  <c r="D172" i="15"/>
  <c r="D173" i="15"/>
  <c r="D174" i="15"/>
  <c r="D175" i="15"/>
  <c r="D176" i="15"/>
  <c r="D177" i="15"/>
  <c r="D178" i="15"/>
  <c r="D179" i="15"/>
  <c r="D180" i="15"/>
  <c r="D181" i="15"/>
  <c r="D182" i="15"/>
  <c r="D183" i="15"/>
  <c r="D184" i="15"/>
  <c r="D185" i="15"/>
  <c r="D186" i="15"/>
  <c r="D187" i="15"/>
  <c r="D188" i="15"/>
  <c r="D189" i="15"/>
  <c r="D190" i="15"/>
  <c r="D191" i="15"/>
  <c r="D192" i="15"/>
  <c r="D193" i="15"/>
  <c r="D194" i="15"/>
  <c r="D195" i="15"/>
  <c r="D196" i="15"/>
  <c r="D197" i="15"/>
  <c r="D198" i="15"/>
  <c r="D199" i="15"/>
  <c r="D200" i="15"/>
  <c r="D201" i="15"/>
  <c r="D202" i="15"/>
  <c r="D203" i="15"/>
  <c r="D204" i="15"/>
  <c r="D205" i="15"/>
  <c r="D206" i="15"/>
  <c r="D207" i="15"/>
  <c r="D208" i="15"/>
  <c r="D209" i="15"/>
  <c r="D210" i="15"/>
  <c r="D211" i="15"/>
  <c r="D212" i="15"/>
  <c r="D213" i="15"/>
  <c r="D214" i="15"/>
  <c r="D215" i="15"/>
  <c r="D216" i="15"/>
  <c r="D217" i="15"/>
  <c r="D218" i="15"/>
  <c r="D219" i="15"/>
  <c r="D220" i="15"/>
  <c r="D221" i="15"/>
  <c r="D222" i="15"/>
  <c r="D223" i="15"/>
  <c r="D224" i="15"/>
  <c r="D225" i="15"/>
  <c r="D226" i="15"/>
  <c r="D227" i="15"/>
  <c r="D228" i="15"/>
  <c r="D229" i="15"/>
  <c r="D230" i="15"/>
  <c r="D231" i="15"/>
  <c r="D232" i="15"/>
  <c r="D233" i="15"/>
  <c r="D234" i="15"/>
  <c r="D235" i="15"/>
  <c r="D236" i="15"/>
  <c r="D237" i="15"/>
  <c r="D238" i="15"/>
  <c r="D239" i="15"/>
  <c r="D240" i="15"/>
  <c r="D241" i="15"/>
  <c r="D242" i="15"/>
  <c r="D243" i="15"/>
  <c r="D244" i="15"/>
  <c r="D245" i="15"/>
  <c r="D246" i="15"/>
  <c r="D247" i="15"/>
  <c r="D248" i="15"/>
  <c r="D249" i="15"/>
  <c r="D250" i="15"/>
  <c r="D251" i="15"/>
  <c r="D252" i="15"/>
  <c r="D253" i="15"/>
  <c r="D254" i="15"/>
  <c r="D255" i="15"/>
  <c r="D256" i="15"/>
  <c r="D257" i="15"/>
  <c r="D258" i="15"/>
  <c r="D259" i="15"/>
  <c r="D260" i="15"/>
  <c r="D261" i="15"/>
  <c r="D262" i="15"/>
  <c r="D263" i="15"/>
  <c r="D264" i="15"/>
  <c r="D265" i="15"/>
  <c r="D266" i="15"/>
  <c r="D267" i="15"/>
  <c r="D268" i="15"/>
  <c r="D269" i="15"/>
  <c r="D270" i="15"/>
  <c r="D271" i="15"/>
  <c r="D272" i="15"/>
  <c r="D273" i="15"/>
  <c r="D274" i="15"/>
  <c r="D275" i="15"/>
  <c r="D276" i="15"/>
  <c r="D277" i="15"/>
  <c r="D278" i="15"/>
  <c r="D279" i="15"/>
  <c r="D280" i="15"/>
  <c r="D281" i="15"/>
  <c r="D282" i="15"/>
  <c r="D283" i="15"/>
  <c r="D284" i="15"/>
  <c r="D285" i="15"/>
  <c r="D286" i="15"/>
  <c r="D287" i="15"/>
  <c r="D288" i="15"/>
  <c r="D289" i="15"/>
  <c r="D290" i="15"/>
  <c r="D291" i="15"/>
  <c r="D292" i="15"/>
  <c r="D293" i="15"/>
  <c r="D294" i="15"/>
  <c r="D295" i="15"/>
  <c r="D296" i="15"/>
  <c r="D297" i="15"/>
  <c r="D298" i="15"/>
  <c r="D299" i="15"/>
  <c r="D300" i="15"/>
  <c r="D301" i="15"/>
  <c r="D302" i="15"/>
  <c r="D303" i="15"/>
  <c r="D304" i="15"/>
  <c r="D305" i="15"/>
  <c r="D306" i="15"/>
  <c r="D307" i="15"/>
  <c r="D308" i="15"/>
  <c r="D309" i="15"/>
  <c r="D310" i="15"/>
  <c r="D311" i="15"/>
  <c r="D312" i="15"/>
  <c r="D313" i="15"/>
  <c r="D314" i="15"/>
  <c r="D315" i="15"/>
  <c r="D316" i="15"/>
  <c r="D317" i="15"/>
  <c r="D318" i="15"/>
  <c r="D319" i="15"/>
  <c r="D320" i="15"/>
  <c r="D321" i="15"/>
  <c r="D323" i="15"/>
  <c r="D329" i="15"/>
  <c r="D336" i="15"/>
  <c r="D337" i="15"/>
  <c r="D338" i="15"/>
  <c r="D339" i="15"/>
  <c r="D344" i="15"/>
  <c r="D345" i="15"/>
  <c r="D352" i="15"/>
  <c r="D353" i="15"/>
  <c r="D354" i="15"/>
  <c r="D355" i="15"/>
  <c r="D361" i="15"/>
  <c r="D368" i="15"/>
  <c r="D369" i="15"/>
  <c r="D370" i="15"/>
  <c r="D371" i="15"/>
  <c r="D378" i="15"/>
  <c r="D2" i="15"/>
  <c r="B3" i="20"/>
  <c r="C3" i="20"/>
  <c r="B4" i="20"/>
  <c r="C4" i="20"/>
  <c r="B5" i="20"/>
  <c r="C5" i="20"/>
  <c r="B6" i="20"/>
  <c r="C6" i="20"/>
  <c r="B7" i="20"/>
  <c r="C7" i="20"/>
  <c r="B8" i="20"/>
  <c r="C8" i="20"/>
  <c r="B9" i="20"/>
  <c r="C9" i="20"/>
  <c r="B10" i="20"/>
  <c r="C10" i="20"/>
  <c r="B11" i="20"/>
  <c r="C11" i="20"/>
  <c r="B12" i="20"/>
  <c r="C12" i="20"/>
  <c r="B13" i="20"/>
  <c r="C13" i="20"/>
  <c r="B14" i="20"/>
  <c r="C14" i="20"/>
  <c r="B15" i="20"/>
  <c r="C15" i="20"/>
  <c r="B16" i="20"/>
  <c r="C16" i="20"/>
  <c r="C2" i="20"/>
  <c r="B2" i="20"/>
  <c r="A2" i="25"/>
  <c r="B2" i="25"/>
  <c r="E2" i="25"/>
  <c r="F2" i="25"/>
  <c r="G2" i="25"/>
  <c r="H2" i="25"/>
  <c r="A3" i="25"/>
  <c r="B3" i="25"/>
  <c r="C3" i="25"/>
  <c r="E3" i="25"/>
  <c r="F3" i="25"/>
  <c r="G3" i="25"/>
  <c r="H3" i="25"/>
  <c r="A4" i="25"/>
  <c r="B4" i="25"/>
  <c r="C4" i="25"/>
  <c r="E4" i="25"/>
  <c r="F4" i="25"/>
  <c r="G4" i="25"/>
  <c r="H4" i="25"/>
  <c r="A5" i="25"/>
  <c r="B5" i="25"/>
  <c r="C5" i="25"/>
  <c r="E5" i="25"/>
  <c r="F5" i="25"/>
  <c r="G5" i="25"/>
  <c r="H5" i="25"/>
  <c r="A6" i="25"/>
  <c r="B6" i="25"/>
  <c r="C6" i="25"/>
  <c r="E6" i="25"/>
  <c r="F6" i="25"/>
  <c r="G6" i="25"/>
  <c r="H6" i="25"/>
  <c r="A7" i="25"/>
  <c r="B7" i="25"/>
  <c r="C7" i="25"/>
  <c r="E7" i="25"/>
  <c r="F7" i="25"/>
  <c r="G7" i="25"/>
  <c r="H7" i="25"/>
  <c r="A8" i="25"/>
  <c r="B8" i="25"/>
  <c r="C8" i="25"/>
  <c r="E8" i="25"/>
  <c r="F8" i="25"/>
  <c r="G8" i="25"/>
  <c r="H8" i="25"/>
  <c r="A9" i="25"/>
  <c r="B9" i="25"/>
  <c r="C9" i="25"/>
  <c r="E9" i="25"/>
  <c r="F9" i="25"/>
  <c r="G9" i="25"/>
  <c r="H9" i="25"/>
  <c r="A10" i="25"/>
  <c r="B10" i="25"/>
  <c r="C10" i="25"/>
  <c r="E10" i="25"/>
  <c r="F10" i="25"/>
  <c r="G10" i="25"/>
  <c r="H10" i="25"/>
  <c r="A11" i="25"/>
  <c r="B11" i="25"/>
  <c r="C11" i="25"/>
  <c r="E11" i="25"/>
  <c r="F11" i="25"/>
  <c r="G11" i="25"/>
  <c r="H11" i="25"/>
  <c r="A12" i="25"/>
  <c r="B12" i="25"/>
  <c r="C12" i="25"/>
  <c r="E12" i="25"/>
  <c r="F12" i="25"/>
  <c r="G12" i="25"/>
  <c r="H12" i="25"/>
  <c r="A13" i="25"/>
  <c r="B13" i="25"/>
  <c r="C13" i="25"/>
  <c r="E13" i="25"/>
  <c r="F13" i="25"/>
  <c r="G13" i="25"/>
  <c r="H13" i="25"/>
  <c r="A14" i="25"/>
  <c r="B14" i="25"/>
  <c r="C14" i="25"/>
  <c r="E14" i="25"/>
  <c r="F14" i="25"/>
  <c r="G14" i="25"/>
  <c r="H14" i="25"/>
  <c r="A15" i="25"/>
  <c r="B15" i="25"/>
  <c r="C15" i="25"/>
  <c r="E15" i="25"/>
  <c r="F15" i="25"/>
  <c r="G15" i="25"/>
  <c r="H15" i="25"/>
  <c r="A16" i="25"/>
  <c r="B16" i="25"/>
  <c r="C16" i="25"/>
  <c r="E16" i="25"/>
  <c r="F16" i="25"/>
  <c r="G16" i="25"/>
  <c r="H16" i="25"/>
  <c r="A17" i="25"/>
  <c r="B17" i="25"/>
  <c r="C17" i="25"/>
  <c r="E17" i="25"/>
  <c r="F17" i="25"/>
  <c r="G17" i="25"/>
  <c r="H17" i="25"/>
  <c r="B1" i="25"/>
  <c r="C1" i="25"/>
  <c r="D1" i="25"/>
  <c r="E1" i="25"/>
  <c r="F1" i="25"/>
  <c r="G1" i="25"/>
  <c r="H1" i="25"/>
  <c r="A1" i="25"/>
  <c r="C3" i="24"/>
  <c r="C4" i="24"/>
  <c r="C5" i="24"/>
  <c r="C6" i="24"/>
  <c r="C7" i="24"/>
  <c r="C8" i="24"/>
  <c r="C9" i="24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C36" i="24"/>
  <c r="C37" i="24"/>
  <c r="C38" i="24"/>
  <c r="C39" i="24"/>
  <c r="C40" i="24"/>
  <c r="C41" i="24"/>
  <c r="C42" i="24"/>
  <c r="C43" i="24"/>
  <c r="C44" i="24"/>
  <c r="C45" i="24"/>
  <c r="C46" i="24"/>
  <c r="C47" i="24"/>
  <c r="C48" i="24"/>
  <c r="C49" i="24"/>
  <c r="C50" i="24"/>
  <c r="C51" i="24"/>
  <c r="C52" i="24"/>
  <c r="C53" i="24"/>
  <c r="C54" i="24"/>
  <c r="C55" i="24"/>
  <c r="C56" i="24"/>
  <c r="C57" i="24"/>
  <c r="C58" i="24"/>
  <c r="C59" i="24"/>
  <c r="C60" i="24"/>
  <c r="C61" i="24"/>
  <c r="C62" i="24"/>
  <c r="C63" i="24"/>
  <c r="C64" i="24"/>
  <c r="C65" i="24"/>
  <c r="C2" i="24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2" i="23"/>
  <c r="B3" i="22"/>
  <c r="B4" i="22"/>
  <c r="B5" i="22"/>
  <c r="B6" i="22"/>
  <c r="B7" i="22"/>
  <c r="B8" i="22"/>
  <c r="B2" i="22"/>
  <c r="C3" i="21"/>
  <c r="C4" i="2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  <c r="C51" i="21"/>
  <c r="C52" i="21"/>
  <c r="C53" i="21"/>
  <c r="C54" i="21"/>
  <c r="C55" i="21"/>
  <c r="C56" i="21"/>
  <c r="C57" i="21"/>
  <c r="C58" i="21"/>
  <c r="C59" i="21"/>
  <c r="C60" i="21"/>
  <c r="C61" i="21"/>
  <c r="C62" i="21"/>
  <c r="C63" i="21"/>
  <c r="C64" i="21"/>
  <c r="C65" i="21"/>
  <c r="C66" i="21"/>
  <c r="C67" i="21"/>
  <c r="C68" i="21"/>
  <c r="C69" i="21"/>
  <c r="C70" i="21"/>
  <c r="C71" i="21"/>
  <c r="C72" i="21"/>
  <c r="C73" i="21"/>
  <c r="C74" i="21"/>
  <c r="C75" i="21"/>
  <c r="C76" i="21"/>
  <c r="C77" i="21"/>
  <c r="C78" i="21"/>
  <c r="C79" i="21"/>
  <c r="C80" i="21"/>
  <c r="C81" i="21"/>
  <c r="C82" i="21"/>
  <c r="C2" i="21"/>
  <c r="F403" i="15"/>
  <c r="F404" i="15"/>
  <c r="F405" i="15"/>
  <c r="F406" i="15"/>
  <c r="F407" i="15"/>
  <c r="F408" i="15"/>
  <c r="F409" i="15"/>
  <c r="F410" i="15"/>
  <c r="F411" i="15"/>
  <c r="F412" i="15"/>
  <c r="F413" i="15"/>
  <c r="F414" i="15"/>
  <c r="F415" i="15"/>
  <c r="F416" i="15"/>
  <c r="F417" i="15"/>
  <c r="F418" i="15"/>
  <c r="F419" i="15"/>
  <c r="F420" i="15"/>
  <c r="F421" i="15"/>
  <c r="F422" i="15"/>
  <c r="F423" i="15"/>
  <c r="F424" i="15"/>
  <c r="F425" i="15"/>
  <c r="F426" i="15"/>
  <c r="F427" i="15"/>
  <c r="F428" i="15"/>
  <c r="F429" i="15"/>
  <c r="F430" i="15"/>
  <c r="F431" i="15"/>
  <c r="F432" i="15"/>
  <c r="F433" i="15"/>
  <c r="F434" i="15"/>
  <c r="F435" i="15"/>
  <c r="F436" i="15"/>
  <c r="F437" i="15"/>
  <c r="F438" i="15"/>
  <c r="F439" i="15"/>
  <c r="F440" i="15"/>
  <c r="F441" i="15"/>
  <c r="F442" i="15"/>
  <c r="F443" i="15"/>
  <c r="F444" i="15"/>
  <c r="F445" i="15"/>
  <c r="F446" i="15"/>
  <c r="F447" i="15"/>
  <c r="F448" i="15"/>
  <c r="F449" i="15"/>
  <c r="F450" i="15"/>
  <c r="F451" i="15"/>
  <c r="F452" i="15"/>
  <c r="F453" i="15"/>
  <c r="F454" i="15"/>
  <c r="F455" i="15"/>
  <c r="F456" i="15"/>
  <c r="F457" i="15"/>
  <c r="F458" i="15"/>
  <c r="F459" i="15"/>
  <c r="F460" i="15"/>
  <c r="F461" i="15"/>
  <c r="F462" i="15"/>
  <c r="F463" i="15"/>
  <c r="F464" i="15"/>
  <c r="F465" i="15"/>
  <c r="F466" i="15"/>
  <c r="F467" i="15"/>
  <c r="F468" i="15"/>
  <c r="F469" i="15"/>
  <c r="F470" i="15"/>
  <c r="F471" i="15"/>
  <c r="F472" i="15"/>
  <c r="F473" i="15"/>
  <c r="F474" i="15"/>
  <c r="F475" i="15"/>
  <c r="F476" i="15"/>
  <c r="F477" i="15"/>
  <c r="F478" i="15"/>
  <c r="F479" i="15"/>
  <c r="F480" i="15"/>
  <c r="F481" i="15"/>
  <c r="F482" i="15"/>
  <c r="F483" i="15"/>
  <c r="H200" i="3"/>
  <c r="J200" i="3"/>
  <c r="J221" i="3" s="1"/>
  <c r="K200" i="3"/>
  <c r="K221" i="3" s="1"/>
  <c r="L200" i="3"/>
  <c r="L221" i="3" s="1"/>
  <c r="M200" i="3"/>
  <c r="M221" i="3" s="1"/>
  <c r="N200" i="3"/>
  <c r="N221" i="3" s="1"/>
  <c r="P200" i="3"/>
  <c r="P221" i="3" s="1"/>
  <c r="Q200" i="3"/>
  <c r="Q221" i="3" s="1"/>
  <c r="R200" i="3"/>
  <c r="R221" i="3" s="1"/>
  <c r="S200" i="3"/>
  <c r="T200" i="3"/>
  <c r="T221" i="3" s="1"/>
  <c r="U200" i="3"/>
  <c r="U221" i="3" s="1"/>
  <c r="V200" i="3"/>
  <c r="V221" i="3" s="1"/>
  <c r="W200" i="3"/>
  <c r="W221" i="3" s="1"/>
  <c r="X200" i="3"/>
  <c r="X221" i="3" s="1"/>
  <c r="Z200" i="3"/>
  <c r="Z221" i="3" s="1"/>
  <c r="AA200" i="3"/>
  <c r="AA221" i="3" s="1"/>
  <c r="AB200" i="3"/>
  <c r="AB221" i="3" s="1"/>
  <c r="AC200" i="3"/>
  <c r="AC221" i="3" s="1"/>
  <c r="AD200" i="3"/>
  <c r="AD221" i="3" s="1"/>
  <c r="AE200" i="3"/>
  <c r="AE221" i="3" s="1"/>
  <c r="AF200" i="3"/>
  <c r="AF221" i="3" s="1"/>
  <c r="AG200" i="3"/>
  <c r="AG221" i="3" s="1"/>
  <c r="AH200" i="3"/>
  <c r="AH221" i="3" s="1"/>
  <c r="H201" i="3"/>
  <c r="J201" i="3"/>
  <c r="J222" i="3" s="1"/>
  <c r="K201" i="3"/>
  <c r="K222" i="3" s="1"/>
  <c r="L201" i="3"/>
  <c r="L222" i="3" s="1"/>
  <c r="M201" i="3"/>
  <c r="M222" i="3" s="1"/>
  <c r="N201" i="3"/>
  <c r="N222" i="3" s="1"/>
  <c r="P201" i="3"/>
  <c r="P222" i="3" s="1"/>
  <c r="Q201" i="3"/>
  <c r="R201" i="3"/>
  <c r="R222" i="3" s="1"/>
  <c r="S201" i="3"/>
  <c r="S222" i="3" s="1"/>
  <c r="T201" i="3"/>
  <c r="T222" i="3" s="1"/>
  <c r="U201" i="3"/>
  <c r="U222" i="3" s="1"/>
  <c r="V201" i="3"/>
  <c r="V222" i="3" s="1"/>
  <c r="W201" i="3"/>
  <c r="W222" i="3" s="1"/>
  <c r="X201" i="3"/>
  <c r="X222" i="3" s="1"/>
  <c r="Z201" i="3"/>
  <c r="Z222" i="3" s="1"/>
  <c r="AA201" i="3"/>
  <c r="AA222" i="3" s="1"/>
  <c r="AB201" i="3"/>
  <c r="AC201" i="3"/>
  <c r="AC222" i="3" s="1"/>
  <c r="AD201" i="3"/>
  <c r="AD222" i="3" s="1"/>
  <c r="AE201" i="3"/>
  <c r="AE222" i="3" s="1"/>
  <c r="AF201" i="3"/>
  <c r="AF222" i="3" s="1"/>
  <c r="AG201" i="3"/>
  <c r="AG222" i="3" s="1"/>
  <c r="AH201" i="3"/>
  <c r="AH222" i="3" s="1"/>
  <c r="H202" i="3"/>
  <c r="J202" i="3"/>
  <c r="J223" i="3" s="1"/>
  <c r="K202" i="3"/>
  <c r="K223" i="3" s="1"/>
  <c r="L202" i="3"/>
  <c r="L223" i="3" s="1"/>
  <c r="M202" i="3"/>
  <c r="M223" i="3" s="1"/>
  <c r="N202" i="3"/>
  <c r="N223" i="3" s="1"/>
  <c r="P202" i="3"/>
  <c r="P223" i="3" s="1"/>
  <c r="Q202" i="3"/>
  <c r="Q223" i="3" s="1"/>
  <c r="R202" i="3"/>
  <c r="R223" i="3" s="1"/>
  <c r="S202" i="3"/>
  <c r="S223" i="3" s="1"/>
  <c r="T202" i="3"/>
  <c r="T223" i="3" s="1"/>
  <c r="U202" i="3"/>
  <c r="U223" i="3" s="1"/>
  <c r="V202" i="3"/>
  <c r="V223" i="3" s="1"/>
  <c r="W202" i="3"/>
  <c r="W223" i="3" s="1"/>
  <c r="X202" i="3"/>
  <c r="Z202" i="3"/>
  <c r="Z223" i="3" s="1"/>
  <c r="AA202" i="3"/>
  <c r="AA223" i="3" s="1"/>
  <c r="AB202" i="3"/>
  <c r="AB223" i="3" s="1"/>
  <c r="AC202" i="3"/>
  <c r="AC223" i="3" s="1"/>
  <c r="AD202" i="3"/>
  <c r="AD223" i="3" s="1"/>
  <c r="AE202" i="3"/>
  <c r="AE223" i="3" s="1"/>
  <c r="AF202" i="3"/>
  <c r="AF223" i="3" s="1"/>
  <c r="AG202" i="3"/>
  <c r="AG223" i="3" s="1"/>
  <c r="AH202" i="3"/>
  <c r="AH223" i="3" s="1"/>
  <c r="H203" i="3"/>
  <c r="J203" i="3"/>
  <c r="J224" i="3" s="1"/>
  <c r="K203" i="3"/>
  <c r="K224" i="3" s="1"/>
  <c r="L203" i="3"/>
  <c r="L224" i="3" s="1"/>
  <c r="M203" i="3"/>
  <c r="M224" i="3" s="1"/>
  <c r="N203" i="3"/>
  <c r="N224" i="3" s="1"/>
  <c r="P203" i="3"/>
  <c r="Q203" i="3"/>
  <c r="R203" i="3"/>
  <c r="R224" i="3" s="1"/>
  <c r="S203" i="3"/>
  <c r="S224" i="3" s="1"/>
  <c r="T203" i="3"/>
  <c r="T224" i="3" s="1"/>
  <c r="U203" i="3"/>
  <c r="U224" i="3" s="1"/>
  <c r="V203" i="3"/>
  <c r="V224" i="3" s="1"/>
  <c r="W203" i="3"/>
  <c r="W224" i="3" s="1"/>
  <c r="X203" i="3"/>
  <c r="X224" i="3" s="1"/>
  <c r="Z203" i="3"/>
  <c r="Z224" i="3" s="1"/>
  <c r="AA203" i="3"/>
  <c r="AA224" i="3" s="1"/>
  <c r="AB203" i="3"/>
  <c r="AB224" i="3" s="1"/>
  <c r="AC203" i="3"/>
  <c r="AC224" i="3" s="1"/>
  <c r="AD203" i="3"/>
  <c r="AD224" i="3" s="1"/>
  <c r="AE203" i="3"/>
  <c r="AE224" i="3" s="1"/>
  <c r="AF203" i="3"/>
  <c r="AF224" i="3" s="1"/>
  <c r="AG203" i="3"/>
  <c r="AH203" i="3"/>
  <c r="H204" i="3"/>
  <c r="J204" i="3"/>
  <c r="J225" i="3" s="1"/>
  <c r="K204" i="3"/>
  <c r="K225" i="3" s="1"/>
  <c r="L204" i="3"/>
  <c r="L225" i="3" s="1"/>
  <c r="M204" i="3"/>
  <c r="M225" i="3" s="1"/>
  <c r="N204" i="3"/>
  <c r="P204" i="3"/>
  <c r="P225" i="3" s="1"/>
  <c r="Q204" i="3"/>
  <c r="Q225" i="3" s="1"/>
  <c r="R204" i="3"/>
  <c r="R225" i="3" s="1"/>
  <c r="S204" i="3"/>
  <c r="S225" i="3" s="1"/>
  <c r="T204" i="3"/>
  <c r="T225" i="3" s="1"/>
  <c r="U204" i="3"/>
  <c r="U225" i="3" s="1"/>
  <c r="V204" i="3"/>
  <c r="V225" i="3" s="1"/>
  <c r="W204" i="3"/>
  <c r="W225" i="3" s="1"/>
  <c r="X204" i="3"/>
  <c r="Z204" i="3"/>
  <c r="Z225" i="3" s="1"/>
  <c r="AA204" i="3"/>
  <c r="AA225" i="3" s="1"/>
  <c r="AB204" i="3"/>
  <c r="AB225" i="3" s="1"/>
  <c r="AC204" i="3"/>
  <c r="AC225" i="3" s="1"/>
  <c r="AD204" i="3"/>
  <c r="AD225" i="3" s="1"/>
  <c r="AE204" i="3"/>
  <c r="AE225" i="3" s="1"/>
  <c r="AF204" i="3"/>
  <c r="AF225" i="3" s="1"/>
  <c r="AG204" i="3"/>
  <c r="AG225" i="3" s="1"/>
  <c r="AH204" i="3"/>
  <c r="AH225" i="3" s="1"/>
  <c r="H205" i="3"/>
  <c r="J205" i="3"/>
  <c r="J226" i="3" s="1"/>
  <c r="K205" i="3"/>
  <c r="K226" i="3" s="1"/>
  <c r="L205" i="3"/>
  <c r="L226" i="3" s="1"/>
  <c r="M205" i="3"/>
  <c r="M226" i="3" s="1"/>
  <c r="N205" i="3"/>
  <c r="N226" i="3" s="1"/>
  <c r="P205" i="3"/>
  <c r="Q205" i="3"/>
  <c r="Q226" i="3" s="1"/>
  <c r="R205" i="3"/>
  <c r="R226" i="3" s="1"/>
  <c r="S205" i="3"/>
  <c r="S226" i="3" s="1"/>
  <c r="T205" i="3"/>
  <c r="T226" i="3" s="1"/>
  <c r="U205" i="3"/>
  <c r="U226" i="3" s="1"/>
  <c r="V205" i="3"/>
  <c r="V226" i="3" s="1"/>
  <c r="W205" i="3"/>
  <c r="W226" i="3" s="1"/>
  <c r="X205" i="3"/>
  <c r="X226" i="3" s="1"/>
  <c r="Z205" i="3"/>
  <c r="Z226" i="3" s="1"/>
  <c r="AA205" i="3"/>
  <c r="AA226" i="3" s="1"/>
  <c r="AB205" i="3"/>
  <c r="AB226" i="3" s="1"/>
  <c r="AC205" i="3"/>
  <c r="AC226" i="3" s="1"/>
  <c r="AD205" i="3"/>
  <c r="AD226" i="3" s="1"/>
  <c r="AE205" i="3"/>
  <c r="AE226" i="3" s="1"/>
  <c r="AF205" i="3"/>
  <c r="AF226" i="3" s="1"/>
  <c r="AG205" i="3"/>
  <c r="AH205" i="3"/>
  <c r="AH226" i="3" s="1"/>
  <c r="H206" i="3"/>
  <c r="H207" i="3"/>
  <c r="H208" i="3"/>
  <c r="H209" i="3"/>
  <c r="J209" i="3"/>
  <c r="J230" i="3" s="1"/>
  <c r="K209" i="3"/>
  <c r="K230" i="3" s="1"/>
  <c r="L209" i="3"/>
  <c r="L230" i="3" s="1"/>
  <c r="M209" i="3"/>
  <c r="M230" i="3" s="1"/>
  <c r="N209" i="3"/>
  <c r="P209" i="3"/>
  <c r="P230" i="3" s="1"/>
  <c r="Q209" i="3"/>
  <c r="Q230" i="3" s="1"/>
  <c r="R209" i="3"/>
  <c r="R230" i="3" s="1"/>
  <c r="S209" i="3"/>
  <c r="S230" i="3" s="1"/>
  <c r="T209" i="3"/>
  <c r="T230" i="3" s="1"/>
  <c r="U209" i="3"/>
  <c r="V209" i="3"/>
  <c r="V230" i="3" s="1"/>
  <c r="W209" i="3"/>
  <c r="W230" i="3" s="1"/>
  <c r="X209" i="3"/>
  <c r="X230" i="3" s="1"/>
  <c r="Z209" i="3"/>
  <c r="Z230" i="3" s="1"/>
  <c r="AA209" i="3"/>
  <c r="AA230" i="3" s="1"/>
  <c r="AB209" i="3"/>
  <c r="AB230" i="3" s="1"/>
  <c r="AC209" i="3"/>
  <c r="AC230" i="3" s="1"/>
  <c r="AD209" i="3"/>
  <c r="AD230" i="3" s="1"/>
  <c r="AE209" i="3"/>
  <c r="AE230" i="3" s="1"/>
  <c r="AF209" i="3"/>
  <c r="AF230" i="3" s="1"/>
  <c r="AG209" i="3"/>
  <c r="AH209" i="3"/>
  <c r="AH230" i="3" s="1"/>
  <c r="H210" i="3"/>
  <c r="J210" i="3"/>
  <c r="J231" i="3" s="1"/>
  <c r="K210" i="3"/>
  <c r="K231" i="3" s="1"/>
  <c r="L210" i="3"/>
  <c r="L231" i="3" s="1"/>
  <c r="M210" i="3"/>
  <c r="M231" i="3" s="1"/>
  <c r="N210" i="3"/>
  <c r="N231" i="3" s="1"/>
  <c r="P210" i="3"/>
  <c r="P231" i="3" s="1"/>
  <c r="Q210" i="3"/>
  <c r="Q231" i="3" s="1"/>
  <c r="R210" i="3"/>
  <c r="R231" i="3" s="1"/>
  <c r="S210" i="3"/>
  <c r="S231" i="3" s="1"/>
  <c r="T210" i="3"/>
  <c r="T231" i="3" s="1"/>
  <c r="U210" i="3"/>
  <c r="U231" i="3" s="1"/>
  <c r="V210" i="3"/>
  <c r="V231" i="3" s="1"/>
  <c r="W210" i="3"/>
  <c r="W231" i="3" s="1"/>
  <c r="X210" i="3"/>
  <c r="Z210" i="3"/>
  <c r="Z231" i="3" s="1"/>
  <c r="AA210" i="3"/>
  <c r="AA231" i="3" s="1"/>
  <c r="AB210" i="3"/>
  <c r="AB231" i="3" s="1"/>
  <c r="AC210" i="3"/>
  <c r="AC231" i="3" s="1"/>
  <c r="AD210" i="3"/>
  <c r="AD231" i="3" s="1"/>
  <c r="AE210" i="3"/>
  <c r="AF210" i="3"/>
  <c r="AF231" i="3" s="1"/>
  <c r="AG210" i="3"/>
  <c r="AG231" i="3" s="1"/>
  <c r="AH210" i="3"/>
  <c r="AH231" i="3" s="1"/>
  <c r="H211" i="3"/>
  <c r="J211" i="3"/>
  <c r="J232" i="3" s="1"/>
  <c r="K211" i="3"/>
  <c r="K232" i="3" s="1"/>
  <c r="L211" i="3"/>
  <c r="L232" i="3" s="1"/>
  <c r="M211" i="3"/>
  <c r="M232" i="3" s="1"/>
  <c r="N211" i="3"/>
  <c r="N232" i="3" s="1"/>
  <c r="P211" i="3"/>
  <c r="P232" i="3" s="1"/>
  <c r="Q211" i="3"/>
  <c r="Q232" i="3" s="1"/>
  <c r="R211" i="3"/>
  <c r="R232" i="3" s="1"/>
  <c r="S211" i="3"/>
  <c r="S232" i="3" s="1"/>
  <c r="T211" i="3"/>
  <c r="T232" i="3" s="1"/>
  <c r="U211" i="3"/>
  <c r="U232" i="3" s="1"/>
  <c r="V211" i="3"/>
  <c r="V232" i="3" s="1"/>
  <c r="W211" i="3"/>
  <c r="W232" i="3" s="1"/>
  <c r="X211" i="3"/>
  <c r="X232" i="3" s="1"/>
  <c r="Z211" i="3"/>
  <c r="Z232" i="3" s="1"/>
  <c r="AA211" i="3"/>
  <c r="AA232" i="3" s="1"/>
  <c r="AB211" i="3"/>
  <c r="AB232" i="3" s="1"/>
  <c r="AC211" i="3"/>
  <c r="AC232" i="3" s="1"/>
  <c r="AD211" i="3"/>
  <c r="AD232" i="3" s="1"/>
  <c r="AE211" i="3"/>
  <c r="AE232" i="3" s="1"/>
  <c r="AF211" i="3"/>
  <c r="AF232" i="3" s="1"/>
  <c r="AG211" i="3"/>
  <c r="AG232" i="3" s="1"/>
  <c r="AH211" i="3"/>
  <c r="AH232" i="3" s="1"/>
  <c r="H212" i="3"/>
  <c r="J212" i="3"/>
  <c r="J233" i="3" s="1"/>
  <c r="K212" i="3"/>
  <c r="K233" i="3" s="1"/>
  <c r="L212" i="3"/>
  <c r="L233" i="3" s="1"/>
  <c r="M212" i="3"/>
  <c r="M233" i="3" s="1"/>
  <c r="N212" i="3"/>
  <c r="N233" i="3" s="1"/>
  <c r="P212" i="3"/>
  <c r="P233" i="3" s="1"/>
  <c r="Q212" i="3"/>
  <c r="Q233" i="3" s="1"/>
  <c r="R212" i="3"/>
  <c r="R233" i="3" s="1"/>
  <c r="S212" i="3"/>
  <c r="S233" i="3" s="1"/>
  <c r="T212" i="3"/>
  <c r="T233" i="3" s="1"/>
  <c r="U212" i="3"/>
  <c r="U233" i="3" s="1"/>
  <c r="V212" i="3"/>
  <c r="V233" i="3" s="1"/>
  <c r="W212" i="3"/>
  <c r="W233" i="3" s="1"/>
  <c r="X212" i="3"/>
  <c r="X233" i="3" s="1"/>
  <c r="Z212" i="3"/>
  <c r="Z233" i="3" s="1"/>
  <c r="AA212" i="3"/>
  <c r="AA233" i="3" s="1"/>
  <c r="AB212" i="3"/>
  <c r="AB233" i="3" s="1"/>
  <c r="AC212" i="3"/>
  <c r="AC233" i="3" s="1"/>
  <c r="AD212" i="3"/>
  <c r="AD233" i="3" s="1"/>
  <c r="AE212" i="3"/>
  <c r="AE233" i="3" s="1"/>
  <c r="AF212" i="3"/>
  <c r="AF233" i="3" s="1"/>
  <c r="AG212" i="3"/>
  <c r="AG233" i="3" s="1"/>
  <c r="AH212" i="3"/>
  <c r="AH233" i="3" s="1"/>
  <c r="H213" i="3"/>
  <c r="J213" i="3"/>
  <c r="J234" i="3" s="1"/>
  <c r="K213" i="3"/>
  <c r="K234" i="3" s="1"/>
  <c r="L213" i="3"/>
  <c r="L234" i="3" s="1"/>
  <c r="M213" i="3"/>
  <c r="M234" i="3" s="1"/>
  <c r="N213" i="3"/>
  <c r="N234" i="3" s="1"/>
  <c r="P213" i="3"/>
  <c r="P234" i="3" s="1"/>
  <c r="Q213" i="3"/>
  <c r="Q234" i="3" s="1"/>
  <c r="R213" i="3"/>
  <c r="R234" i="3" s="1"/>
  <c r="S213" i="3"/>
  <c r="S234" i="3" s="1"/>
  <c r="T213" i="3"/>
  <c r="T234" i="3" s="1"/>
  <c r="U213" i="3"/>
  <c r="U234" i="3" s="1"/>
  <c r="V213" i="3"/>
  <c r="V234" i="3" s="1"/>
  <c r="W213" i="3"/>
  <c r="W234" i="3" s="1"/>
  <c r="X213" i="3"/>
  <c r="X234" i="3" s="1"/>
  <c r="Z213" i="3"/>
  <c r="Z234" i="3" s="1"/>
  <c r="AA213" i="3"/>
  <c r="AA234" i="3" s="1"/>
  <c r="AB213" i="3"/>
  <c r="AB234" i="3" s="1"/>
  <c r="AC213" i="3"/>
  <c r="AC234" i="3" s="1"/>
  <c r="AD213" i="3"/>
  <c r="AD234" i="3" s="1"/>
  <c r="AE213" i="3"/>
  <c r="AF213" i="3"/>
  <c r="AF234" i="3" s="1"/>
  <c r="AG213" i="3"/>
  <c r="AG234" i="3" s="1"/>
  <c r="AH213" i="3"/>
  <c r="AH234" i="3" s="1"/>
  <c r="H214" i="3"/>
  <c r="J214" i="3"/>
  <c r="J235" i="3" s="1"/>
  <c r="K214" i="3"/>
  <c r="K235" i="3" s="1"/>
  <c r="L214" i="3"/>
  <c r="L235" i="3" s="1"/>
  <c r="M214" i="3"/>
  <c r="M235" i="3" s="1"/>
  <c r="N214" i="3"/>
  <c r="N235" i="3" s="1"/>
  <c r="P214" i="3"/>
  <c r="P235" i="3" s="1"/>
  <c r="Q214" i="3"/>
  <c r="Q235" i="3" s="1"/>
  <c r="R214" i="3"/>
  <c r="R235" i="3" s="1"/>
  <c r="S214" i="3"/>
  <c r="S235" i="3" s="1"/>
  <c r="T214" i="3"/>
  <c r="T235" i="3" s="1"/>
  <c r="U214" i="3"/>
  <c r="U235" i="3" s="1"/>
  <c r="V214" i="3"/>
  <c r="V235" i="3" s="1"/>
  <c r="W214" i="3"/>
  <c r="X214" i="3"/>
  <c r="X235" i="3" s="1"/>
  <c r="Z214" i="3"/>
  <c r="Z235" i="3" s="1"/>
  <c r="AA214" i="3"/>
  <c r="AA235" i="3" s="1"/>
  <c r="AB214" i="3"/>
  <c r="AB235" i="3" s="1"/>
  <c r="AC214" i="3"/>
  <c r="AC235" i="3" s="1"/>
  <c r="AD214" i="3"/>
  <c r="AD235" i="3" s="1"/>
  <c r="AE214" i="3"/>
  <c r="AE235" i="3" s="1"/>
  <c r="AF214" i="3"/>
  <c r="AF235" i="3" s="1"/>
  <c r="AG214" i="3"/>
  <c r="AG235" i="3" s="1"/>
  <c r="AH214" i="3"/>
  <c r="AH235" i="3" s="1"/>
  <c r="H215" i="3"/>
  <c r="Y215" i="3"/>
  <c r="H216" i="3"/>
  <c r="I216" i="3"/>
  <c r="I237" i="3" s="1"/>
  <c r="O216" i="3"/>
  <c r="O237" i="3" s="1"/>
  <c r="H217" i="3"/>
  <c r="Y217" i="3"/>
  <c r="T217" i="3" s="1"/>
  <c r="T238" i="3" s="1"/>
  <c r="H221" i="3"/>
  <c r="I221" i="3"/>
  <c r="O221" i="3"/>
  <c r="S221" i="3"/>
  <c r="Y221" i="3"/>
  <c r="AI221" i="3"/>
  <c r="H222" i="3"/>
  <c r="I222" i="3"/>
  <c r="O222" i="3"/>
  <c r="Q222" i="3"/>
  <c r="Y222" i="3"/>
  <c r="AB222" i="3"/>
  <c r="AI222" i="3"/>
  <c r="H223" i="3"/>
  <c r="I223" i="3"/>
  <c r="O223" i="3"/>
  <c r="X223" i="3"/>
  <c r="Y223" i="3"/>
  <c r="AI223" i="3"/>
  <c r="H224" i="3"/>
  <c r="I224" i="3"/>
  <c r="O224" i="3"/>
  <c r="P224" i="3"/>
  <c r="Q224" i="3"/>
  <c r="Y224" i="3"/>
  <c r="AG224" i="3"/>
  <c r="AH224" i="3"/>
  <c r="AI224" i="3"/>
  <c r="H225" i="3"/>
  <c r="I225" i="3"/>
  <c r="N225" i="3"/>
  <c r="O225" i="3"/>
  <c r="X225" i="3"/>
  <c r="Y225" i="3"/>
  <c r="AI225" i="3"/>
  <c r="H226" i="3"/>
  <c r="I226" i="3"/>
  <c r="O226" i="3"/>
  <c r="P226" i="3"/>
  <c r="Y226" i="3"/>
  <c r="AG226" i="3"/>
  <c r="AI226" i="3"/>
  <c r="H227" i="3"/>
  <c r="I227" i="3"/>
  <c r="J227" i="3"/>
  <c r="K227" i="3"/>
  <c r="L227" i="3"/>
  <c r="M227" i="3"/>
  <c r="N227" i="3"/>
  <c r="O227" i="3"/>
  <c r="P227" i="3"/>
  <c r="Q227" i="3"/>
  <c r="R227" i="3"/>
  <c r="S227" i="3"/>
  <c r="T227" i="3"/>
  <c r="U227" i="3"/>
  <c r="V227" i="3"/>
  <c r="W227" i="3"/>
  <c r="X227" i="3"/>
  <c r="Y227" i="3"/>
  <c r="Z227" i="3"/>
  <c r="AA227" i="3"/>
  <c r="AB227" i="3"/>
  <c r="AC227" i="3"/>
  <c r="AD227" i="3"/>
  <c r="AE227" i="3"/>
  <c r="AF227" i="3"/>
  <c r="AG227" i="3"/>
  <c r="AH227" i="3"/>
  <c r="AI227" i="3"/>
  <c r="H228" i="3"/>
  <c r="I228" i="3"/>
  <c r="J228" i="3"/>
  <c r="K228" i="3"/>
  <c r="L228" i="3"/>
  <c r="M228" i="3"/>
  <c r="N228" i="3"/>
  <c r="O228" i="3"/>
  <c r="P228" i="3"/>
  <c r="Q228" i="3"/>
  <c r="R228" i="3"/>
  <c r="S228" i="3"/>
  <c r="T228" i="3"/>
  <c r="U228" i="3"/>
  <c r="V228" i="3"/>
  <c r="W228" i="3"/>
  <c r="X228" i="3"/>
  <c r="Y228" i="3"/>
  <c r="Z228" i="3"/>
  <c r="AA228" i="3"/>
  <c r="AB228" i="3"/>
  <c r="AC228" i="3"/>
  <c r="AD228" i="3"/>
  <c r="AE228" i="3"/>
  <c r="AF228" i="3"/>
  <c r="AG228" i="3"/>
  <c r="AH228" i="3"/>
  <c r="AI228" i="3"/>
  <c r="H229" i="3"/>
  <c r="I229" i="3"/>
  <c r="J229" i="3"/>
  <c r="K229" i="3"/>
  <c r="L229" i="3"/>
  <c r="M229" i="3"/>
  <c r="N229" i="3"/>
  <c r="O229" i="3"/>
  <c r="P229" i="3"/>
  <c r="Q229" i="3"/>
  <c r="R229" i="3"/>
  <c r="S229" i="3"/>
  <c r="T229" i="3"/>
  <c r="U229" i="3"/>
  <c r="V229" i="3"/>
  <c r="W229" i="3"/>
  <c r="X229" i="3"/>
  <c r="Y229" i="3"/>
  <c r="Z229" i="3"/>
  <c r="AA229" i="3"/>
  <c r="AB229" i="3"/>
  <c r="AC229" i="3"/>
  <c r="AD229" i="3"/>
  <c r="AE229" i="3"/>
  <c r="AF229" i="3"/>
  <c r="AG229" i="3"/>
  <c r="AH229" i="3"/>
  <c r="AI229" i="3"/>
  <c r="H230" i="3"/>
  <c r="I230" i="3"/>
  <c r="N230" i="3"/>
  <c r="O230" i="3"/>
  <c r="U230" i="3"/>
  <c r="Y230" i="3"/>
  <c r="AG230" i="3"/>
  <c r="AI230" i="3"/>
  <c r="H231" i="3"/>
  <c r="I231" i="3"/>
  <c r="O231" i="3"/>
  <c r="X231" i="3"/>
  <c r="Y231" i="3"/>
  <c r="AE231" i="3"/>
  <c r="AI231" i="3"/>
  <c r="H232" i="3"/>
  <c r="I232" i="3"/>
  <c r="O232" i="3"/>
  <c r="Y232" i="3"/>
  <c r="AI232" i="3"/>
  <c r="H233" i="3"/>
  <c r="D417" i="15" s="1"/>
  <c r="I233" i="3"/>
  <c r="O233" i="3"/>
  <c r="Y233" i="3"/>
  <c r="AI233" i="3"/>
  <c r="H234" i="3"/>
  <c r="I234" i="3"/>
  <c r="O234" i="3"/>
  <c r="Y234" i="3"/>
  <c r="AE234" i="3"/>
  <c r="AI234" i="3"/>
  <c r="H235" i="3"/>
  <c r="I235" i="3"/>
  <c r="O235" i="3"/>
  <c r="W235" i="3"/>
  <c r="Y235" i="3"/>
  <c r="AI235" i="3"/>
  <c r="H236" i="3"/>
  <c r="I236" i="3"/>
  <c r="J236" i="3"/>
  <c r="K236" i="3"/>
  <c r="L236" i="3"/>
  <c r="M236" i="3"/>
  <c r="N236" i="3"/>
  <c r="O236" i="3"/>
  <c r="P236" i="3"/>
  <c r="Q236" i="3"/>
  <c r="R236" i="3"/>
  <c r="S236" i="3"/>
  <c r="U236" i="3"/>
  <c r="V236" i="3"/>
  <c r="W236" i="3"/>
  <c r="X236" i="3"/>
  <c r="Z236" i="3"/>
  <c r="AA236" i="3"/>
  <c r="AB236" i="3"/>
  <c r="AC236" i="3"/>
  <c r="AD236" i="3"/>
  <c r="AE236" i="3"/>
  <c r="AF236" i="3"/>
  <c r="AG236" i="3"/>
  <c r="AH236" i="3"/>
  <c r="H237" i="3"/>
  <c r="J237" i="3"/>
  <c r="K237" i="3"/>
  <c r="L237" i="3"/>
  <c r="M237" i="3"/>
  <c r="N237" i="3"/>
  <c r="P237" i="3"/>
  <c r="Q237" i="3"/>
  <c r="R237" i="3"/>
  <c r="S237" i="3"/>
  <c r="U237" i="3"/>
  <c r="V237" i="3"/>
  <c r="W237" i="3"/>
  <c r="X237" i="3"/>
  <c r="Z237" i="3"/>
  <c r="AA237" i="3"/>
  <c r="AB237" i="3"/>
  <c r="AC237" i="3"/>
  <c r="AD237" i="3"/>
  <c r="AE237" i="3"/>
  <c r="AF237" i="3"/>
  <c r="AG237" i="3"/>
  <c r="AH237" i="3"/>
  <c r="H238" i="3"/>
  <c r="I238" i="3"/>
  <c r="J238" i="3"/>
  <c r="K238" i="3"/>
  <c r="L238" i="3"/>
  <c r="M238" i="3"/>
  <c r="N238" i="3"/>
  <c r="O238" i="3"/>
  <c r="P238" i="3"/>
  <c r="Q238" i="3"/>
  <c r="R238" i="3"/>
  <c r="S238" i="3"/>
  <c r="U238" i="3"/>
  <c r="V238" i="3"/>
  <c r="W238" i="3"/>
  <c r="X238" i="3"/>
  <c r="Z238" i="3"/>
  <c r="AA238" i="3"/>
  <c r="AB238" i="3"/>
  <c r="AC238" i="3"/>
  <c r="AD238" i="3"/>
  <c r="AE238" i="3"/>
  <c r="AF238" i="3"/>
  <c r="AG238" i="3"/>
  <c r="AH238" i="3"/>
  <c r="G241" i="3"/>
  <c r="I241" i="3" s="1"/>
  <c r="E2" i="15" s="1"/>
  <c r="G242" i="3"/>
  <c r="I242" i="3" s="1"/>
  <c r="G243" i="3"/>
  <c r="I243" i="3" s="1"/>
  <c r="G244" i="3"/>
  <c r="I244" i="3" s="1"/>
  <c r="E402" i="15" s="1"/>
  <c r="G245" i="3"/>
  <c r="I245" i="3" s="1"/>
  <c r="H245" i="3"/>
  <c r="G246" i="3"/>
  <c r="I246" i="3" s="1"/>
  <c r="G249" i="3"/>
  <c r="I249" i="3" s="1"/>
  <c r="G250" i="3"/>
  <c r="I250" i="3" s="1"/>
  <c r="G251" i="3"/>
  <c r="I251" i="3" s="1"/>
  <c r="G252" i="3"/>
  <c r="I252" i="3" s="1"/>
  <c r="F402" i="15" s="1"/>
  <c r="G253" i="3"/>
  <c r="I253" i="3" s="1"/>
  <c r="H253" i="3"/>
  <c r="G254" i="3"/>
  <c r="I254" i="3" s="1"/>
  <c r="H254" i="3"/>
  <c r="D322" i="15" l="1"/>
  <c r="D351" i="15"/>
  <c r="D367" i="15"/>
  <c r="D395" i="15"/>
  <c r="D366" i="15"/>
  <c r="D350" i="15"/>
  <c r="D334" i="15"/>
  <c r="D335" i="15"/>
  <c r="D394" i="15"/>
  <c r="D365" i="15"/>
  <c r="D333" i="15"/>
  <c r="D482" i="15"/>
  <c r="D396" i="15"/>
  <c r="D393" i="15"/>
  <c r="D481" i="15"/>
  <c r="D349" i="15"/>
  <c r="D364" i="15"/>
  <c r="D348" i="15"/>
  <c r="D332" i="15"/>
  <c r="D380" i="15"/>
  <c r="D363" i="15"/>
  <c r="D347" i="15"/>
  <c r="D331" i="15"/>
  <c r="D466" i="15"/>
  <c r="D379" i="15"/>
  <c r="D362" i="15"/>
  <c r="D346" i="15"/>
  <c r="D330" i="15"/>
  <c r="D465" i="15"/>
  <c r="D450" i="15"/>
  <c r="D328" i="15"/>
  <c r="D449" i="15"/>
  <c r="D359" i="15"/>
  <c r="D434" i="15"/>
  <c r="D374" i="15"/>
  <c r="D342" i="15"/>
  <c r="D326" i="15"/>
  <c r="D433" i="15"/>
  <c r="D373" i="15"/>
  <c r="D357" i="15"/>
  <c r="D325" i="15"/>
  <c r="D418" i="15"/>
  <c r="D377" i="15"/>
  <c r="D360" i="15"/>
  <c r="D375" i="15"/>
  <c r="D343" i="15"/>
  <c r="D327" i="15"/>
  <c r="D358" i="15"/>
  <c r="D404" i="15"/>
  <c r="D341" i="15"/>
  <c r="D372" i="15"/>
  <c r="D356" i="15"/>
  <c r="D340" i="15"/>
  <c r="D324" i="15"/>
  <c r="D483" i="15"/>
  <c r="D467" i="15"/>
  <c r="D451" i="15"/>
  <c r="D435" i="15"/>
  <c r="D419" i="15"/>
  <c r="D480" i="15"/>
  <c r="D464" i="15"/>
  <c r="D448" i="15"/>
  <c r="D432" i="15"/>
  <c r="D416" i="15"/>
  <c r="D376" i="15"/>
  <c r="D479" i="15"/>
  <c r="D463" i="15"/>
  <c r="D447" i="15"/>
  <c r="D431" i="15"/>
  <c r="D415" i="15"/>
  <c r="D478" i="15"/>
  <c r="D462" i="15"/>
  <c r="D446" i="15"/>
  <c r="D430" i="15"/>
  <c r="D414" i="15"/>
  <c r="D390" i="15"/>
  <c r="D477" i="15"/>
  <c r="D461" i="15"/>
  <c r="D445" i="15"/>
  <c r="D429" i="15"/>
  <c r="D413" i="15"/>
  <c r="D389" i="15"/>
  <c r="D476" i="15"/>
  <c r="D460" i="15"/>
  <c r="G460" i="15" s="1"/>
  <c r="D444" i="15"/>
  <c r="D428" i="15"/>
  <c r="D412" i="15"/>
  <c r="D388" i="15"/>
  <c r="D475" i="15"/>
  <c r="D459" i="15"/>
  <c r="D443" i="15"/>
  <c r="D427" i="15"/>
  <c r="D411" i="15"/>
  <c r="D392" i="15"/>
  <c r="D391" i="15"/>
  <c r="D387" i="15"/>
  <c r="D474" i="15"/>
  <c r="D458" i="15"/>
  <c r="D442" i="15"/>
  <c r="D426" i="15"/>
  <c r="D410" i="15"/>
  <c r="D402" i="15"/>
  <c r="G402" i="15" s="1"/>
  <c r="D386" i="15"/>
  <c r="D473" i="15"/>
  <c r="D457" i="15"/>
  <c r="D441" i="15"/>
  <c r="D425" i="15"/>
  <c r="D409" i="15"/>
  <c r="D401" i="15"/>
  <c r="D385" i="15"/>
  <c r="D472" i="15"/>
  <c r="D456" i="15"/>
  <c r="D440" i="15"/>
  <c r="D424" i="15"/>
  <c r="D408" i="15"/>
  <c r="D400" i="15"/>
  <c r="D384" i="15"/>
  <c r="D471" i="15"/>
  <c r="D455" i="15"/>
  <c r="D439" i="15"/>
  <c r="D423" i="15"/>
  <c r="D407" i="15"/>
  <c r="D399" i="15"/>
  <c r="D383" i="15"/>
  <c r="D470" i="15"/>
  <c r="D454" i="15"/>
  <c r="D438" i="15"/>
  <c r="D422" i="15"/>
  <c r="D406" i="15"/>
  <c r="D398" i="15"/>
  <c r="D382" i="15"/>
  <c r="D469" i="15"/>
  <c r="D453" i="15"/>
  <c r="D437" i="15"/>
  <c r="D421" i="15"/>
  <c r="D405" i="15"/>
  <c r="D397" i="15"/>
  <c r="D381" i="15"/>
  <c r="D403" i="15"/>
  <c r="G403" i="15" s="1"/>
  <c r="D468" i="15"/>
  <c r="D452" i="15"/>
  <c r="D436" i="15"/>
  <c r="D420" i="15"/>
  <c r="E460" i="15"/>
  <c r="E403" i="15"/>
  <c r="E404" i="15"/>
  <c r="E405" i="15"/>
  <c r="G405" i="15" s="1"/>
  <c r="E406" i="15"/>
  <c r="E407" i="15"/>
  <c r="AI215" i="3"/>
  <c r="AI236" i="3" s="1"/>
  <c r="Y236" i="3"/>
  <c r="AI217" i="3"/>
  <c r="AI238" i="3" s="1"/>
  <c r="Y238" i="3"/>
  <c r="Y216" i="3"/>
  <c r="T215" i="3"/>
  <c r="T236" i="3" s="1"/>
  <c r="G407" i="15" l="1"/>
  <c r="G406" i="15"/>
  <c r="G404" i="15"/>
  <c r="Y237" i="3"/>
  <c r="AI216" i="3"/>
  <c r="AI237" i="3" s="1"/>
  <c r="T216" i="3"/>
  <c r="T237" i="3" s="1"/>
  <c r="P168" i="3"/>
  <c r="Q168" i="3"/>
  <c r="P169" i="3"/>
  <c r="Q169" i="3"/>
  <c r="P170" i="3"/>
  <c r="Q170" i="3"/>
  <c r="P171" i="3"/>
  <c r="Q171" i="3"/>
  <c r="P172" i="3"/>
  <c r="Q172" i="3"/>
  <c r="P173" i="3"/>
  <c r="Q173" i="3"/>
  <c r="P174" i="3"/>
  <c r="Q174" i="3"/>
  <c r="P175" i="3"/>
  <c r="Q175" i="3"/>
  <c r="P176" i="3"/>
  <c r="Q176" i="3"/>
  <c r="P177" i="3"/>
  <c r="Q177" i="3"/>
  <c r="P178" i="3"/>
  <c r="Q178" i="3"/>
  <c r="P179" i="3"/>
  <c r="Q179" i="3"/>
  <c r="P180" i="3"/>
  <c r="Q180" i="3"/>
  <c r="P181" i="3"/>
  <c r="Q181" i="3"/>
  <c r="P182" i="3"/>
  <c r="Q182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68" i="3"/>
  <c r="E90" i="15"/>
  <c r="E166" i="15"/>
  <c r="F9" i="15" l="1"/>
  <c r="F105" i="15"/>
  <c r="E365" i="15"/>
  <c r="F346" i="15"/>
  <c r="E685" i="15"/>
  <c r="G685" i="15" s="1"/>
  <c r="E633" i="15"/>
  <c r="G633" i="15" s="1"/>
  <c r="E565" i="15"/>
  <c r="G565" i="15" s="1"/>
  <c r="E493" i="15"/>
  <c r="G493" i="15" s="1"/>
  <c r="E417" i="15"/>
  <c r="G417" i="15" s="1"/>
  <c r="F336" i="15"/>
  <c r="E336" i="15"/>
  <c r="F331" i="15"/>
  <c r="E331" i="15"/>
  <c r="F315" i="15"/>
  <c r="E315" i="15"/>
  <c r="E709" i="15"/>
  <c r="G709" i="15" s="1"/>
  <c r="E649" i="15"/>
  <c r="G649" i="15" s="1"/>
  <c r="E589" i="15"/>
  <c r="G589" i="15" s="1"/>
  <c r="E545" i="15"/>
  <c r="G545" i="15" s="1"/>
  <c r="E505" i="15"/>
  <c r="G505" i="15" s="1"/>
  <c r="E473" i="15"/>
  <c r="G473" i="15" s="1"/>
  <c r="E429" i="15"/>
  <c r="G429" i="15" s="1"/>
  <c r="E381" i="15"/>
  <c r="F381" i="15"/>
  <c r="F351" i="15"/>
  <c r="E351" i="15"/>
  <c r="F272" i="15"/>
  <c r="E272" i="15"/>
  <c r="F256" i="15"/>
  <c r="E256" i="15"/>
  <c r="F240" i="15"/>
  <c r="E240" i="15"/>
  <c r="F341" i="15"/>
  <c r="E341" i="15"/>
  <c r="F325" i="15"/>
  <c r="E325" i="15"/>
  <c r="F309" i="15"/>
  <c r="E309" i="15"/>
  <c r="F293" i="15"/>
  <c r="E293" i="15"/>
  <c r="F277" i="15"/>
  <c r="E277" i="15"/>
  <c r="F261" i="15"/>
  <c r="E261" i="15"/>
  <c r="F245" i="15"/>
  <c r="E245" i="15"/>
  <c r="F229" i="15"/>
  <c r="E229" i="15"/>
  <c r="F213" i="15"/>
  <c r="E213" i="15"/>
  <c r="F32" i="15"/>
  <c r="E713" i="15"/>
  <c r="G713" i="15" s="1"/>
  <c r="E653" i="15"/>
  <c r="G653" i="15" s="1"/>
  <c r="E593" i="15"/>
  <c r="G593" i="15" s="1"/>
  <c r="E537" i="15"/>
  <c r="G537" i="15" s="1"/>
  <c r="E497" i="15"/>
  <c r="G497" i="15" s="1"/>
  <c r="E449" i="15"/>
  <c r="G449" i="15" s="1"/>
  <c r="E421" i="15"/>
  <c r="G421" i="15" s="1"/>
  <c r="F401" i="15"/>
  <c r="E401" i="15"/>
  <c r="F377" i="15"/>
  <c r="E377" i="15"/>
  <c r="F330" i="15"/>
  <c r="E330" i="15"/>
  <c r="F314" i="15"/>
  <c r="E314" i="15"/>
  <c r="F298" i="15"/>
  <c r="E298" i="15"/>
  <c r="F282" i="15"/>
  <c r="E282" i="15"/>
  <c r="F266" i="15"/>
  <c r="E266" i="15"/>
  <c r="F250" i="15"/>
  <c r="E250" i="15"/>
  <c r="F234" i="15"/>
  <c r="E234" i="15"/>
  <c r="F218" i="15"/>
  <c r="E122" i="15"/>
  <c r="E661" i="15"/>
  <c r="G661" i="15" s="1"/>
  <c r="E597" i="15"/>
  <c r="G597" i="15" s="1"/>
  <c r="E517" i="15"/>
  <c r="G517" i="15" s="1"/>
  <c r="E433" i="15"/>
  <c r="G433" i="15" s="1"/>
  <c r="F360" i="15"/>
  <c r="E360" i="15"/>
  <c r="F355" i="15"/>
  <c r="E355" i="15"/>
  <c r="E350" i="15"/>
  <c r="F350" i="15"/>
  <c r="F335" i="15"/>
  <c r="E335" i="15"/>
  <c r="F319" i="15"/>
  <c r="E319" i="15"/>
  <c r="F303" i="15"/>
  <c r="E303" i="15"/>
  <c r="F79" i="15"/>
  <c r="F58" i="15"/>
  <c r="E42" i="15"/>
  <c r="E26" i="15"/>
  <c r="E10" i="15"/>
  <c r="E721" i="15"/>
  <c r="G721" i="15" s="1"/>
  <c r="E665" i="15"/>
  <c r="G665" i="15" s="1"/>
  <c r="E601" i="15"/>
  <c r="G601" i="15" s="1"/>
  <c r="E549" i="15"/>
  <c r="G549" i="15" s="1"/>
  <c r="E481" i="15"/>
  <c r="G481" i="15" s="1"/>
  <c r="F369" i="15"/>
  <c r="E369" i="15"/>
  <c r="E720" i="15"/>
  <c r="G720" i="15" s="1"/>
  <c r="E716" i="15"/>
  <c r="G716" i="15" s="1"/>
  <c r="E712" i="15"/>
  <c r="G712" i="15" s="1"/>
  <c r="E708" i="15"/>
  <c r="G708" i="15" s="1"/>
  <c r="E704" i="15"/>
  <c r="G704" i="15" s="1"/>
  <c r="E700" i="15"/>
  <c r="G700" i="15" s="1"/>
  <c r="E696" i="15"/>
  <c r="G696" i="15" s="1"/>
  <c r="E692" i="15"/>
  <c r="G692" i="15" s="1"/>
  <c r="E688" i="15"/>
  <c r="G688" i="15" s="1"/>
  <c r="E684" i="15"/>
  <c r="G684" i="15" s="1"/>
  <c r="E680" i="15"/>
  <c r="G680" i="15" s="1"/>
  <c r="E676" i="15"/>
  <c r="G676" i="15" s="1"/>
  <c r="E672" i="15"/>
  <c r="G672" i="15" s="1"/>
  <c r="E668" i="15"/>
  <c r="G668" i="15" s="1"/>
  <c r="E664" i="15"/>
  <c r="G664" i="15" s="1"/>
  <c r="E660" i="15"/>
  <c r="G660" i="15" s="1"/>
  <c r="E656" i="15"/>
  <c r="G656" i="15" s="1"/>
  <c r="E652" i="15"/>
  <c r="G652" i="15" s="1"/>
  <c r="E648" i="15"/>
  <c r="G648" i="15" s="1"/>
  <c r="E644" i="15"/>
  <c r="G644" i="15" s="1"/>
  <c r="E640" i="15"/>
  <c r="G640" i="15" s="1"/>
  <c r="E636" i="15"/>
  <c r="G636" i="15" s="1"/>
  <c r="E632" i="15"/>
  <c r="G632" i="15" s="1"/>
  <c r="E628" i="15"/>
  <c r="G628" i="15" s="1"/>
  <c r="E624" i="15"/>
  <c r="G624" i="15" s="1"/>
  <c r="E620" i="15"/>
  <c r="G620" i="15" s="1"/>
  <c r="E616" i="15"/>
  <c r="G616" i="15" s="1"/>
  <c r="E612" i="15"/>
  <c r="G612" i="15" s="1"/>
  <c r="E608" i="15"/>
  <c r="G608" i="15" s="1"/>
  <c r="E604" i="15"/>
  <c r="G604" i="15" s="1"/>
  <c r="E600" i="15"/>
  <c r="G600" i="15" s="1"/>
  <c r="E596" i="15"/>
  <c r="G596" i="15" s="1"/>
  <c r="E592" i="15"/>
  <c r="G592" i="15" s="1"/>
  <c r="E588" i="15"/>
  <c r="G588" i="15" s="1"/>
  <c r="E584" i="15"/>
  <c r="G584" i="15" s="1"/>
  <c r="E580" i="15"/>
  <c r="G580" i="15" s="1"/>
  <c r="E576" i="15"/>
  <c r="G576" i="15" s="1"/>
  <c r="E572" i="15"/>
  <c r="G572" i="15" s="1"/>
  <c r="E568" i="15"/>
  <c r="G568" i="15" s="1"/>
  <c r="E564" i="15"/>
  <c r="G564" i="15" s="1"/>
  <c r="E560" i="15"/>
  <c r="G560" i="15" s="1"/>
  <c r="E556" i="15"/>
  <c r="G556" i="15" s="1"/>
  <c r="E552" i="15"/>
  <c r="G552" i="15" s="1"/>
  <c r="E548" i="15"/>
  <c r="G548" i="15" s="1"/>
  <c r="E544" i="15"/>
  <c r="G544" i="15" s="1"/>
  <c r="E540" i="15"/>
  <c r="G540" i="15" s="1"/>
  <c r="E536" i="15"/>
  <c r="G536" i="15" s="1"/>
  <c r="E532" i="15"/>
  <c r="G532" i="15" s="1"/>
  <c r="E528" i="15"/>
  <c r="G528" i="15" s="1"/>
  <c r="E524" i="15"/>
  <c r="G524" i="15" s="1"/>
  <c r="E520" i="15"/>
  <c r="G520" i="15" s="1"/>
  <c r="E516" i="15"/>
  <c r="G516" i="15" s="1"/>
  <c r="E512" i="15"/>
  <c r="G512" i="15" s="1"/>
  <c r="E508" i="15"/>
  <c r="G508" i="15" s="1"/>
  <c r="E504" i="15"/>
  <c r="G504" i="15" s="1"/>
  <c r="E500" i="15"/>
  <c r="G500" i="15" s="1"/>
  <c r="E496" i="15"/>
  <c r="G496" i="15" s="1"/>
  <c r="E492" i="15"/>
  <c r="G492" i="15" s="1"/>
  <c r="E488" i="15"/>
  <c r="G488" i="15" s="1"/>
  <c r="E484" i="15"/>
  <c r="G484" i="15" s="1"/>
  <c r="E480" i="15"/>
  <c r="G480" i="15" s="1"/>
  <c r="E476" i="15"/>
  <c r="G476" i="15" s="1"/>
  <c r="E472" i="15"/>
  <c r="G472" i="15" s="1"/>
  <c r="E468" i="15"/>
  <c r="G468" i="15" s="1"/>
  <c r="E464" i="15"/>
  <c r="G464" i="15" s="1"/>
  <c r="E456" i="15"/>
  <c r="G456" i="15" s="1"/>
  <c r="E452" i="15"/>
  <c r="G452" i="15" s="1"/>
  <c r="E448" i="15"/>
  <c r="G448" i="15" s="1"/>
  <c r="E444" i="15"/>
  <c r="G444" i="15" s="1"/>
  <c r="E440" i="15"/>
  <c r="G440" i="15" s="1"/>
  <c r="E436" i="15"/>
  <c r="G436" i="15" s="1"/>
  <c r="E432" i="15"/>
  <c r="G432" i="15" s="1"/>
  <c r="E428" i="15"/>
  <c r="G428" i="15" s="1"/>
  <c r="E424" i="15"/>
  <c r="G424" i="15" s="1"/>
  <c r="E420" i="15"/>
  <c r="G420" i="15" s="1"/>
  <c r="E416" i="15"/>
  <c r="G416" i="15" s="1"/>
  <c r="E412" i="15"/>
  <c r="G412" i="15" s="1"/>
  <c r="E408" i="15"/>
  <c r="G408" i="15" s="1"/>
  <c r="F400" i="15"/>
  <c r="E400" i="15"/>
  <c r="E396" i="15"/>
  <c r="F396" i="15"/>
  <c r="F392" i="15"/>
  <c r="E392" i="15"/>
  <c r="F388" i="15"/>
  <c r="E388" i="15"/>
  <c r="F384" i="15"/>
  <c r="E384" i="15"/>
  <c r="E380" i="15"/>
  <c r="F380" i="15"/>
  <c r="F376" i="15"/>
  <c r="E376" i="15"/>
  <c r="F372" i="15"/>
  <c r="E372" i="15"/>
  <c r="F368" i="15"/>
  <c r="E368" i="15"/>
  <c r="E364" i="15"/>
  <c r="F364" i="15"/>
  <c r="F345" i="15"/>
  <c r="E345" i="15"/>
  <c r="F340" i="15"/>
  <c r="E340" i="15"/>
  <c r="F324" i="15"/>
  <c r="E324" i="15"/>
  <c r="F308" i="15"/>
  <c r="E308" i="15"/>
  <c r="F292" i="15"/>
  <c r="E292" i="15"/>
  <c r="F276" i="15"/>
  <c r="E276" i="15"/>
  <c r="F260" i="15"/>
  <c r="E260" i="15"/>
  <c r="F244" i="15"/>
  <c r="E244" i="15"/>
  <c r="F31" i="15"/>
  <c r="E701" i="15"/>
  <c r="G701" i="15" s="1"/>
  <c r="E641" i="15"/>
  <c r="G641" i="15" s="1"/>
  <c r="E553" i="15"/>
  <c r="G553" i="15" s="1"/>
  <c r="E489" i="15"/>
  <c r="G489" i="15" s="1"/>
  <c r="E441" i="15"/>
  <c r="G441" i="15" s="1"/>
  <c r="E413" i="15"/>
  <c r="G413" i="15" s="1"/>
  <c r="F385" i="15"/>
  <c r="E385" i="15"/>
  <c r="F329" i="15"/>
  <c r="E329" i="15"/>
  <c r="F313" i="15"/>
  <c r="E313" i="15"/>
  <c r="F297" i="15"/>
  <c r="E297" i="15"/>
  <c r="F281" i="15"/>
  <c r="E281" i="15"/>
  <c r="F265" i="15"/>
  <c r="E265" i="15"/>
  <c r="F249" i="15"/>
  <c r="E249" i="15"/>
  <c r="F233" i="15"/>
  <c r="E233" i="15"/>
  <c r="F217" i="15"/>
  <c r="E217" i="15"/>
  <c r="E201" i="15"/>
  <c r="E105" i="15"/>
  <c r="G105" i="15" s="1"/>
  <c r="E89" i="15"/>
  <c r="E73" i="15"/>
  <c r="E669" i="15"/>
  <c r="G669" i="15" s="1"/>
  <c r="E605" i="15"/>
  <c r="G605" i="15" s="1"/>
  <c r="E541" i="15"/>
  <c r="G541" i="15" s="1"/>
  <c r="E485" i="15"/>
  <c r="G485" i="15" s="1"/>
  <c r="E437" i="15"/>
  <c r="G437" i="15" s="1"/>
  <c r="F393" i="15"/>
  <c r="E393" i="15"/>
  <c r="F359" i="15"/>
  <c r="E359" i="15"/>
  <c r="F354" i="15"/>
  <c r="E354" i="15"/>
  <c r="E334" i="15"/>
  <c r="F334" i="15"/>
  <c r="E318" i="15"/>
  <c r="F318" i="15"/>
  <c r="E302" i="15"/>
  <c r="F302" i="15"/>
  <c r="E286" i="15"/>
  <c r="F286" i="15"/>
  <c r="E270" i="15"/>
  <c r="F270" i="15"/>
  <c r="E254" i="15"/>
  <c r="F254" i="15"/>
  <c r="E238" i="15"/>
  <c r="F238" i="15"/>
  <c r="E222" i="15"/>
  <c r="F222" i="15"/>
  <c r="F57" i="15"/>
  <c r="E705" i="15"/>
  <c r="G705" i="15" s="1"/>
  <c r="E645" i="15"/>
  <c r="G645" i="15" s="1"/>
  <c r="E573" i="15"/>
  <c r="G573" i="15" s="1"/>
  <c r="E529" i="15"/>
  <c r="G529" i="15" s="1"/>
  <c r="E461" i="15"/>
  <c r="G461" i="15" s="1"/>
  <c r="E349" i="15"/>
  <c r="F349" i="15"/>
  <c r="F344" i="15"/>
  <c r="E344" i="15"/>
  <c r="F339" i="15"/>
  <c r="E339" i="15"/>
  <c r="F323" i="15"/>
  <c r="E323" i="15"/>
  <c r="F307" i="15"/>
  <c r="E307" i="15"/>
  <c r="E677" i="15"/>
  <c r="G677" i="15" s="1"/>
  <c r="E617" i="15"/>
  <c r="G617" i="15" s="1"/>
  <c r="E557" i="15"/>
  <c r="G557" i="15" s="1"/>
  <c r="E501" i="15"/>
  <c r="G501" i="15" s="1"/>
  <c r="E453" i="15"/>
  <c r="G453" i="15" s="1"/>
  <c r="E397" i="15"/>
  <c r="F397" i="15"/>
  <c r="F304" i="15"/>
  <c r="E304" i="15"/>
  <c r="E719" i="15"/>
  <c r="G719" i="15" s="1"/>
  <c r="E715" i="15"/>
  <c r="G715" i="15" s="1"/>
  <c r="E711" i="15"/>
  <c r="G711" i="15" s="1"/>
  <c r="E707" i="15"/>
  <c r="G707" i="15" s="1"/>
  <c r="E703" i="15"/>
  <c r="G703" i="15" s="1"/>
  <c r="E699" i="15"/>
  <c r="G699" i="15" s="1"/>
  <c r="E695" i="15"/>
  <c r="G695" i="15" s="1"/>
  <c r="E691" i="15"/>
  <c r="G691" i="15" s="1"/>
  <c r="E687" i="15"/>
  <c r="G687" i="15" s="1"/>
  <c r="E683" i="15"/>
  <c r="G683" i="15" s="1"/>
  <c r="E679" i="15"/>
  <c r="G679" i="15" s="1"/>
  <c r="E675" i="15"/>
  <c r="G675" i="15" s="1"/>
  <c r="E671" i="15"/>
  <c r="G671" i="15" s="1"/>
  <c r="E667" i="15"/>
  <c r="G667" i="15" s="1"/>
  <c r="E663" i="15"/>
  <c r="G663" i="15" s="1"/>
  <c r="E659" i="15"/>
  <c r="G659" i="15" s="1"/>
  <c r="E655" i="15"/>
  <c r="G655" i="15" s="1"/>
  <c r="E651" i="15"/>
  <c r="G651" i="15" s="1"/>
  <c r="E647" i="15"/>
  <c r="G647" i="15" s="1"/>
  <c r="E643" i="15"/>
  <c r="G643" i="15" s="1"/>
  <c r="E639" i="15"/>
  <c r="G639" i="15" s="1"/>
  <c r="E635" i="15"/>
  <c r="G635" i="15" s="1"/>
  <c r="E631" i="15"/>
  <c r="G631" i="15" s="1"/>
  <c r="E627" i="15"/>
  <c r="G627" i="15" s="1"/>
  <c r="E623" i="15"/>
  <c r="G623" i="15" s="1"/>
  <c r="E619" i="15"/>
  <c r="G619" i="15" s="1"/>
  <c r="E615" i="15"/>
  <c r="G615" i="15" s="1"/>
  <c r="E611" i="15"/>
  <c r="G611" i="15" s="1"/>
  <c r="E607" i="15"/>
  <c r="G607" i="15" s="1"/>
  <c r="E603" i="15"/>
  <c r="G603" i="15" s="1"/>
  <c r="E599" i="15"/>
  <c r="G599" i="15" s="1"/>
  <c r="E595" i="15"/>
  <c r="G595" i="15" s="1"/>
  <c r="E591" i="15"/>
  <c r="G591" i="15" s="1"/>
  <c r="E587" i="15"/>
  <c r="G587" i="15" s="1"/>
  <c r="E583" i="15"/>
  <c r="G583" i="15" s="1"/>
  <c r="E579" i="15"/>
  <c r="G579" i="15" s="1"/>
  <c r="E575" i="15"/>
  <c r="G575" i="15" s="1"/>
  <c r="E571" i="15"/>
  <c r="G571" i="15" s="1"/>
  <c r="E567" i="15"/>
  <c r="G567" i="15" s="1"/>
  <c r="E563" i="15"/>
  <c r="G563" i="15" s="1"/>
  <c r="E559" i="15"/>
  <c r="G559" i="15" s="1"/>
  <c r="E555" i="15"/>
  <c r="G555" i="15" s="1"/>
  <c r="E551" i="15"/>
  <c r="G551" i="15" s="1"/>
  <c r="E547" i="15"/>
  <c r="G547" i="15" s="1"/>
  <c r="E543" i="15"/>
  <c r="G543" i="15" s="1"/>
  <c r="E539" i="15"/>
  <c r="G539" i="15" s="1"/>
  <c r="E535" i="15"/>
  <c r="G535" i="15" s="1"/>
  <c r="E531" i="15"/>
  <c r="G531" i="15" s="1"/>
  <c r="E527" i="15"/>
  <c r="G527" i="15" s="1"/>
  <c r="E523" i="15"/>
  <c r="G523" i="15" s="1"/>
  <c r="E519" i="15"/>
  <c r="G519" i="15" s="1"/>
  <c r="E515" i="15"/>
  <c r="G515" i="15" s="1"/>
  <c r="E511" i="15"/>
  <c r="G511" i="15" s="1"/>
  <c r="E507" i="15"/>
  <c r="G507" i="15" s="1"/>
  <c r="E503" i="15"/>
  <c r="G503" i="15" s="1"/>
  <c r="E499" i="15"/>
  <c r="G499" i="15" s="1"/>
  <c r="E495" i="15"/>
  <c r="G495" i="15" s="1"/>
  <c r="E491" i="15"/>
  <c r="G491" i="15" s="1"/>
  <c r="E487" i="15"/>
  <c r="G487" i="15" s="1"/>
  <c r="E483" i="15"/>
  <c r="G483" i="15" s="1"/>
  <c r="E479" i="15"/>
  <c r="G479" i="15" s="1"/>
  <c r="E475" i="15"/>
  <c r="G475" i="15" s="1"/>
  <c r="E471" i="15"/>
  <c r="G471" i="15" s="1"/>
  <c r="E467" i="15"/>
  <c r="G467" i="15" s="1"/>
  <c r="E463" i="15"/>
  <c r="G463" i="15" s="1"/>
  <c r="E459" i="15"/>
  <c r="G459" i="15" s="1"/>
  <c r="E455" i="15"/>
  <c r="G455" i="15" s="1"/>
  <c r="E451" i="15"/>
  <c r="G451" i="15" s="1"/>
  <c r="E447" i="15"/>
  <c r="G447" i="15" s="1"/>
  <c r="E443" i="15"/>
  <c r="G443" i="15" s="1"/>
  <c r="E439" i="15"/>
  <c r="G439" i="15" s="1"/>
  <c r="E435" i="15"/>
  <c r="G435" i="15" s="1"/>
  <c r="E431" i="15"/>
  <c r="G431" i="15" s="1"/>
  <c r="E427" i="15"/>
  <c r="G427" i="15" s="1"/>
  <c r="E423" i="15"/>
  <c r="G423" i="15" s="1"/>
  <c r="E419" i="15"/>
  <c r="G419" i="15" s="1"/>
  <c r="E415" i="15"/>
  <c r="G415" i="15" s="1"/>
  <c r="E411" i="15"/>
  <c r="G411" i="15" s="1"/>
  <c r="F399" i="15"/>
  <c r="E399" i="15"/>
  <c r="F395" i="15"/>
  <c r="E395" i="15"/>
  <c r="F391" i="15"/>
  <c r="E391" i="15"/>
  <c r="F387" i="15"/>
  <c r="E387" i="15"/>
  <c r="F383" i="15"/>
  <c r="E383" i="15"/>
  <c r="F379" i="15"/>
  <c r="E379" i="15"/>
  <c r="F375" i="15"/>
  <c r="E375" i="15"/>
  <c r="F371" i="15"/>
  <c r="E371" i="15"/>
  <c r="F367" i="15"/>
  <c r="E367" i="15"/>
  <c r="F363" i="15"/>
  <c r="E363" i="15"/>
  <c r="F328" i="15"/>
  <c r="E328" i="15"/>
  <c r="F312" i="15"/>
  <c r="E312" i="15"/>
  <c r="F296" i="15"/>
  <c r="E296" i="15"/>
  <c r="F280" i="15"/>
  <c r="E280" i="15"/>
  <c r="F264" i="15"/>
  <c r="E264" i="15"/>
  <c r="F248" i="15"/>
  <c r="E248" i="15"/>
  <c r="F232" i="15"/>
  <c r="E232" i="15"/>
  <c r="F104" i="15"/>
  <c r="E697" i="15"/>
  <c r="G697" i="15" s="1"/>
  <c r="E637" i="15"/>
  <c r="G637" i="15" s="1"/>
  <c r="E577" i="15"/>
  <c r="G577" i="15" s="1"/>
  <c r="E533" i="15"/>
  <c r="G533" i="15" s="1"/>
  <c r="E477" i="15"/>
  <c r="G477" i="15" s="1"/>
  <c r="E425" i="15"/>
  <c r="G425" i="15" s="1"/>
  <c r="F389" i="15"/>
  <c r="E389" i="15"/>
  <c r="F288" i="15"/>
  <c r="E288" i="15"/>
  <c r="F358" i="15"/>
  <c r="E358" i="15"/>
  <c r="E333" i="15"/>
  <c r="F333" i="15"/>
  <c r="E317" i="15"/>
  <c r="F317" i="15"/>
  <c r="E301" i="15"/>
  <c r="F301" i="15"/>
  <c r="E285" i="15"/>
  <c r="F285" i="15"/>
  <c r="E269" i="15"/>
  <c r="F269" i="15"/>
  <c r="E253" i="15"/>
  <c r="F253" i="15"/>
  <c r="E237" i="15"/>
  <c r="E221" i="15"/>
  <c r="F221" i="15"/>
  <c r="F205" i="15"/>
  <c r="F40" i="15"/>
  <c r="E40" i="15"/>
  <c r="E346" i="15"/>
  <c r="G346" i="15" s="1"/>
  <c r="E689" i="15"/>
  <c r="G689" i="15" s="1"/>
  <c r="E629" i="15"/>
  <c r="G629" i="15" s="1"/>
  <c r="E585" i="15"/>
  <c r="G585" i="15" s="1"/>
  <c r="E521" i="15"/>
  <c r="G521" i="15" s="1"/>
  <c r="E469" i="15"/>
  <c r="G469" i="15" s="1"/>
  <c r="F353" i="15"/>
  <c r="E353" i="15"/>
  <c r="E348" i="15"/>
  <c r="F348" i="15"/>
  <c r="F343" i="15"/>
  <c r="E343" i="15"/>
  <c r="F338" i="15"/>
  <c r="E338" i="15"/>
  <c r="F322" i="15"/>
  <c r="E322" i="15"/>
  <c r="F306" i="15"/>
  <c r="E306" i="15"/>
  <c r="F290" i="15"/>
  <c r="E290" i="15"/>
  <c r="F274" i="15"/>
  <c r="E274" i="15"/>
  <c r="F258" i="15"/>
  <c r="E258" i="15"/>
  <c r="F242" i="15"/>
  <c r="E242" i="15"/>
  <c r="F226" i="15"/>
  <c r="E226" i="15"/>
  <c r="F210" i="15"/>
  <c r="E210" i="15"/>
  <c r="E45" i="15"/>
  <c r="F45" i="15"/>
  <c r="E218" i="15"/>
  <c r="G218" i="15" s="1"/>
  <c r="E681" i="15"/>
  <c r="G681" i="15" s="1"/>
  <c r="E625" i="15"/>
  <c r="G625" i="15" s="1"/>
  <c r="E581" i="15"/>
  <c r="G581" i="15" s="1"/>
  <c r="E525" i="15"/>
  <c r="G525" i="15" s="1"/>
  <c r="E457" i="15"/>
  <c r="G457" i="15" s="1"/>
  <c r="F361" i="15"/>
  <c r="E361" i="15"/>
  <c r="E9" i="15"/>
  <c r="G9" i="15" s="1"/>
  <c r="E41" i="15"/>
  <c r="F327" i="15"/>
  <c r="E327" i="15"/>
  <c r="F311" i="15"/>
  <c r="E311" i="15"/>
  <c r="F50" i="15"/>
  <c r="E50" i="15"/>
  <c r="E693" i="15"/>
  <c r="G693" i="15" s="1"/>
  <c r="E613" i="15"/>
  <c r="G613" i="15" s="1"/>
  <c r="E513" i="15"/>
  <c r="G513" i="15" s="1"/>
  <c r="F373" i="15"/>
  <c r="E373" i="15"/>
  <c r="E718" i="15"/>
  <c r="G718" i="15" s="1"/>
  <c r="E714" i="15"/>
  <c r="G714" i="15" s="1"/>
  <c r="E710" i="15"/>
  <c r="G710" i="15" s="1"/>
  <c r="E706" i="15"/>
  <c r="G706" i="15" s="1"/>
  <c r="E702" i="15"/>
  <c r="G702" i="15" s="1"/>
  <c r="E698" i="15"/>
  <c r="G698" i="15" s="1"/>
  <c r="E694" i="15"/>
  <c r="G694" i="15" s="1"/>
  <c r="E690" i="15"/>
  <c r="G690" i="15" s="1"/>
  <c r="E686" i="15"/>
  <c r="G686" i="15" s="1"/>
  <c r="E682" i="15"/>
  <c r="G682" i="15" s="1"/>
  <c r="E678" i="15"/>
  <c r="G678" i="15" s="1"/>
  <c r="E674" i="15"/>
  <c r="G674" i="15" s="1"/>
  <c r="E670" i="15"/>
  <c r="G670" i="15" s="1"/>
  <c r="E666" i="15"/>
  <c r="G666" i="15" s="1"/>
  <c r="E662" i="15"/>
  <c r="G662" i="15" s="1"/>
  <c r="E658" i="15"/>
  <c r="G658" i="15" s="1"/>
  <c r="E654" i="15"/>
  <c r="G654" i="15" s="1"/>
  <c r="E650" i="15"/>
  <c r="G650" i="15" s="1"/>
  <c r="E646" i="15"/>
  <c r="G646" i="15" s="1"/>
  <c r="E642" i="15"/>
  <c r="G642" i="15" s="1"/>
  <c r="E638" i="15"/>
  <c r="G638" i="15" s="1"/>
  <c r="E634" i="15"/>
  <c r="G634" i="15" s="1"/>
  <c r="E630" i="15"/>
  <c r="G630" i="15" s="1"/>
  <c r="E626" i="15"/>
  <c r="G626" i="15" s="1"/>
  <c r="E622" i="15"/>
  <c r="G622" i="15" s="1"/>
  <c r="E618" i="15"/>
  <c r="G618" i="15" s="1"/>
  <c r="E614" i="15"/>
  <c r="G614" i="15" s="1"/>
  <c r="E610" i="15"/>
  <c r="G610" i="15" s="1"/>
  <c r="E606" i="15"/>
  <c r="G606" i="15" s="1"/>
  <c r="E602" i="15"/>
  <c r="G602" i="15" s="1"/>
  <c r="E598" i="15"/>
  <c r="G598" i="15" s="1"/>
  <c r="E594" i="15"/>
  <c r="G594" i="15" s="1"/>
  <c r="E590" i="15"/>
  <c r="G590" i="15" s="1"/>
  <c r="E586" i="15"/>
  <c r="G586" i="15" s="1"/>
  <c r="E582" i="15"/>
  <c r="G582" i="15" s="1"/>
  <c r="E578" i="15"/>
  <c r="G578" i="15" s="1"/>
  <c r="E574" i="15"/>
  <c r="G574" i="15" s="1"/>
  <c r="E570" i="15"/>
  <c r="G570" i="15" s="1"/>
  <c r="E566" i="15"/>
  <c r="G566" i="15" s="1"/>
  <c r="E562" i="15"/>
  <c r="G562" i="15" s="1"/>
  <c r="E558" i="15"/>
  <c r="G558" i="15" s="1"/>
  <c r="E554" i="15"/>
  <c r="G554" i="15" s="1"/>
  <c r="E550" i="15"/>
  <c r="G550" i="15" s="1"/>
  <c r="E546" i="15"/>
  <c r="G546" i="15" s="1"/>
  <c r="E542" i="15"/>
  <c r="G542" i="15" s="1"/>
  <c r="E538" i="15"/>
  <c r="G538" i="15" s="1"/>
  <c r="E534" i="15"/>
  <c r="G534" i="15" s="1"/>
  <c r="E530" i="15"/>
  <c r="G530" i="15" s="1"/>
  <c r="E526" i="15"/>
  <c r="G526" i="15" s="1"/>
  <c r="E522" i="15"/>
  <c r="G522" i="15" s="1"/>
  <c r="E518" i="15"/>
  <c r="G518" i="15" s="1"/>
  <c r="E514" i="15"/>
  <c r="G514" i="15" s="1"/>
  <c r="E510" i="15"/>
  <c r="G510" i="15" s="1"/>
  <c r="E506" i="15"/>
  <c r="G506" i="15" s="1"/>
  <c r="E502" i="15"/>
  <c r="G502" i="15" s="1"/>
  <c r="E498" i="15"/>
  <c r="G498" i="15" s="1"/>
  <c r="E494" i="15"/>
  <c r="G494" i="15" s="1"/>
  <c r="E490" i="15"/>
  <c r="G490" i="15" s="1"/>
  <c r="E486" i="15"/>
  <c r="G486" i="15" s="1"/>
  <c r="E482" i="15"/>
  <c r="G482" i="15" s="1"/>
  <c r="E478" i="15"/>
  <c r="G478" i="15" s="1"/>
  <c r="E474" i="15"/>
  <c r="G474" i="15" s="1"/>
  <c r="E470" i="15"/>
  <c r="G470" i="15" s="1"/>
  <c r="E466" i="15"/>
  <c r="G466" i="15" s="1"/>
  <c r="E462" i="15"/>
  <c r="G462" i="15" s="1"/>
  <c r="E458" i="15"/>
  <c r="G458" i="15" s="1"/>
  <c r="E454" i="15"/>
  <c r="G454" i="15" s="1"/>
  <c r="E450" i="15"/>
  <c r="G450" i="15" s="1"/>
  <c r="E446" i="15"/>
  <c r="G446" i="15" s="1"/>
  <c r="E442" i="15"/>
  <c r="G442" i="15" s="1"/>
  <c r="E438" i="15"/>
  <c r="G438" i="15" s="1"/>
  <c r="E434" i="15"/>
  <c r="G434" i="15" s="1"/>
  <c r="E430" i="15"/>
  <c r="G430" i="15" s="1"/>
  <c r="E426" i="15"/>
  <c r="G426" i="15" s="1"/>
  <c r="E422" i="15"/>
  <c r="G422" i="15" s="1"/>
  <c r="E418" i="15"/>
  <c r="G418" i="15" s="1"/>
  <c r="E414" i="15"/>
  <c r="G414" i="15" s="1"/>
  <c r="E410" i="15"/>
  <c r="G410" i="15" s="1"/>
  <c r="E398" i="15"/>
  <c r="F398" i="15"/>
  <c r="F394" i="15"/>
  <c r="E394" i="15"/>
  <c r="F390" i="15"/>
  <c r="E390" i="15"/>
  <c r="F386" i="15"/>
  <c r="E386" i="15"/>
  <c r="E382" i="15"/>
  <c r="F382" i="15"/>
  <c r="F378" i="15"/>
  <c r="E378" i="15"/>
  <c r="F374" i="15"/>
  <c r="E374" i="15"/>
  <c r="F370" i="15"/>
  <c r="E370" i="15"/>
  <c r="E366" i="15"/>
  <c r="F366" i="15"/>
  <c r="F362" i="15"/>
  <c r="E362" i="15"/>
  <c r="E332" i="15"/>
  <c r="F332" i="15"/>
  <c r="E316" i="15"/>
  <c r="F316" i="15"/>
  <c r="E300" i="15"/>
  <c r="F300" i="15"/>
  <c r="E284" i="15"/>
  <c r="F284" i="15"/>
  <c r="E268" i="15"/>
  <c r="F268" i="15"/>
  <c r="E252" i="15"/>
  <c r="F252" i="15"/>
  <c r="E236" i="15"/>
  <c r="F236" i="15"/>
  <c r="F220" i="15"/>
  <c r="F204" i="15"/>
  <c r="F188" i="15"/>
  <c r="F55" i="15"/>
  <c r="E55" i="15"/>
  <c r="F365" i="15"/>
  <c r="E673" i="15"/>
  <c r="G673" i="15" s="1"/>
  <c r="E621" i="15"/>
  <c r="G621" i="15" s="1"/>
  <c r="E569" i="15"/>
  <c r="G569" i="15" s="1"/>
  <c r="E465" i="15"/>
  <c r="G465" i="15" s="1"/>
  <c r="E409" i="15"/>
  <c r="G409" i="15" s="1"/>
  <c r="F320" i="15"/>
  <c r="E320" i="15"/>
  <c r="F357" i="15"/>
  <c r="E357" i="15"/>
  <c r="F352" i="15"/>
  <c r="E352" i="15"/>
  <c r="F347" i="15"/>
  <c r="E347" i="15"/>
  <c r="F342" i="15"/>
  <c r="E342" i="15"/>
  <c r="F337" i="15"/>
  <c r="E337" i="15"/>
  <c r="F321" i="15"/>
  <c r="E321" i="15"/>
  <c r="F305" i="15"/>
  <c r="E305" i="15"/>
  <c r="F289" i="15"/>
  <c r="E289" i="15"/>
  <c r="F273" i="15"/>
  <c r="E273" i="15"/>
  <c r="F257" i="15"/>
  <c r="E257" i="15"/>
  <c r="F241" i="15"/>
  <c r="E241" i="15"/>
  <c r="F225" i="15"/>
  <c r="E225" i="15"/>
  <c r="F209" i="15"/>
  <c r="E209" i="15"/>
  <c r="F237" i="15"/>
  <c r="E717" i="15"/>
  <c r="G717" i="15" s="1"/>
  <c r="E657" i="15"/>
  <c r="G657" i="15" s="1"/>
  <c r="E609" i="15"/>
  <c r="G609" i="15" s="1"/>
  <c r="E561" i="15"/>
  <c r="G561" i="15" s="1"/>
  <c r="E509" i="15"/>
  <c r="G509" i="15" s="1"/>
  <c r="E445" i="15"/>
  <c r="G445" i="15" s="1"/>
  <c r="F356" i="15"/>
  <c r="E356" i="15"/>
  <c r="F326" i="15"/>
  <c r="E326" i="15"/>
  <c r="F310" i="15"/>
  <c r="E310" i="15"/>
  <c r="F294" i="15"/>
  <c r="E294" i="15"/>
  <c r="F278" i="15"/>
  <c r="E278" i="15"/>
  <c r="F262" i="15"/>
  <c r="E262" i="15"/>
  <c r="F246" i="15"/>
  <c r="E246" i="15"/>
  <c r="F230" i="15"/>
  <c r="E230" i="15"/>
  <c r="F214" i="15"/>
  <c r="E214" i="15"/>
  <c r="F70" i="15"/>
  <c r="E70" i="15"/>
  <c r="F65" i="15"/>
  <c r="E65" i="15"/>
  <c r="F60" i="15"/>
  <c r="E60" i="15"/>
  <c r="F11" i="15"/>
  <c r="E11" i="15"/>
  <c r="F6" i="15"/>
  <c r="F122" i="15"/>
  <c r="E206" i="15"/>
  <c r="F206" i="15"/>
  <c r="F202" i="15"/>
  <c r="F198" i="15"/>
  <c r="E198" i="15"/>
  <c r="F194" i="15"/>
  <c r="E194" i="15"/>
  <c r="E190" i="15"/>
  <c r="F190" i="15"/>
  <c r="F186" i="15"/>
  <c r="F182" i="15"/>
  <c r="E182" i="15"/>
  <c r="F178" i="15"/>
  <c r="E178" i="15"/>
  <c r="E174" i="15"/>
  <c r="F174" i="15"/>
  <c r="F170" i="15"/>
  <c r="F166" i="15"/>
  <c r="G166" i="15" s="1"/>
  <c r="F162" i="15"/>
  <c r="E162" i="15"/>
  <c r="E158" i="15"/>
  <c r="F158" i="15"/>
  <c r="F154" i="15"/>
  <c r="F150" i="15"/>
  <c r="E150" i="15"/>
  <c r="F146" i="15"/>
  <c r="E146" i="15"/>
  <c r="F142" i="15"/>
  <c r="E142" i="15"/>
  <c r="F138" i="15"/>
  <c r="F134" i="15"/>
  <c r="E134" i="15"/>
  <c r="F130" i="15"/>
  <c r="E130" i="15"/>
  <c r="F126" i="15"/>
  <c r="E126" i="15"/>
  <c r="F118" i="15"/>
  <c r="E118" i="15"/>
  <c r="E114" i="15"/>
  <c r="F114" i="15"/>
  <c r="E110" i="15"/>
  <c r="F110" i="15"/>
  <c r="F106" i="15"/>
  <c r="F102" i="15"/>
  <c r="E102" i="15"/>
  <c r="F98" i="15"/>
  <c r="E98" i="15"/>
  <c r="E94" i="15"/>
  <c r="F94" i="15"/>
  <c r="F90" i="15"/>
  <c r="G90" i="15" s="1"/>
  <c r="F86" i="15"/>
  <c r="E86" i="15"/>
  <c r="F82" i="15"/>
  <c r="E82" i="15"/>
  <c r="E78" i="15"/>
  <c r="F74" i="15"/>
  <c r="F35" i="15"/>
  <c r="E35" i="15"/>
  <c r="E30" i="15"/>
  <c r="F30" i="15"/>
  <c r="F25" i="15"/>
  <c r="F20" i="15"/>
  <c r="E20" i="15"/>
  <c r="F69" i="15"/>
  <c r="E69" i="15"/>
  <c r="F64" i="15"/>
  <c r="E64" i="15"/>
  <c r="F15" i="15"/>
  <c r="E15" i="15"/>
  <c r="E5" i="15"/>
  <c r="E202" i="15"/>
  <c r="E74" i="15"/>
  <c r="G74" i="15" s="1"/>
  <c r="F59" i="15"/>
  <c r="E59" i="15"/>
  <c r="F54" i="15"/>
  <c r="E54" i="15"/>
  <c r="F49" i="15"/>
  <c r="E49" i="15"/>
  <c r="E44" i="15"/>
  <c r="F44" i="15"/>
  <c r="F78" i="15"/>
  <c r="F73" i="15"/>
  <c r="F39" i="15"/>
  <c r="E39" i="15"/>
  <c r="F34" i="15"/>
  <c r="E34" i="15"/>
  <c r="E29" i="15"/>
  <c r="F29" i="15"/>
  <c r="F24" i="15"/>
  <c r="E24" i="15"/>
  <c r="E186" i="15"/>
  <c r="G186" i="15" s="1"/>
  <c r="E58" i="15"/>
  <c r="E205" i="15"/>
  <c r="F201" i="15"/>
  <c r="F197" i="15"/>
  <c r="E197" i="15"/>
  <c r="F193" i="15"/>
  <c r="E193" i="15"/>
  <c r="E189" i="15"/>
  <c r="F185" i="15"/>
  <c r="F181" i="15"/>
  <c r="E181" i="15"/>
  <c r="F177" i="15"/>
  <c r="E177" i="15"/>
  <c r="E173" i="15"/>
  <c r="F169" i="15"/>
  <c r="F165" i="15"/>
  <c r="E165" i="15"/>
  <c r="F161" i="15"/>
  <c r="E161" i="15"/>
  <c r="E157" i="15"/>
  <c r="F153" i="15"/>
  <c r="F149" i="15"/>
  <c r="E149" i="15"/>
  <c r="F145" i="15"/>
  <c r="E145" i="15"/>
  <c r="E141" i="15"/>
  <c r="F141" i="15"/>
  <c r="F137" i="15"/>
  <c r="F133" i="15"/>
  <c r="E133" i="15"/>
  <c r="F129" i="15"/>
  <c r="E129" i="15"/>
  <c r="F125" i="15"/>
  <c r="E125" i="15"/>
  <c r="F121" i="15"/>
  <c r="F117" i="15"/>
  <c r="E117" i="15"/>
  <c r="E113" i="15"/>
  <c r="F113" i="15"/>
  <c r="E109" i="15"/>
  <c r="F109" i="15"/>
  <c r="E101" i="15"/>
  <c r="F101" i="15"/>
  <c r="F97" i="15"/>
  <c r="E97" i="15"/>
  <c r="E93" i="15"/>
  <c r="F93" i="15"/>
  <c r="F89" i="15"/>
  <c r="F85" i="15"/>
  <c r="E85" i="15"/>
  <c r="F81" i="15"/>
  <c r="E81" i="15"/>
  <c r="E77" i="15"/>
  <c r="F77" i="15"/>
  <c r="F68" i="15"/>
  <c r="E68" i="15"/>
  <c r="F19" i="15"/>
  <c r="E19" i="15"/>
  <c r="F14" i="15"/>
  <c r="E14" i="15"/>
  <c r="F4" i="15"/>
  <c r="E4" i="15"/>
  <c r="E185" i="15"/>
  <c r="E57" i="15"/>
  <c r="G57" i="15" s="1"/>
  <c r="F63" i="15"/>
  <c r="E63" i="15"/>
  <c r="E53" i="15"/>
  <c r="F53" i="15"/>
  <c r="E48" i="15"/>
  <c r="F48" i="15"/>
  <c r="E170" i="15"/>
  <c r="F189" i="15"/>
  <c r="F43" i="15"/>
  <c r="E43" i="15"/>
  <c r="F38" i="15"/>
  <c r="E38" i="15"/>
  <c r="F33" i="15"/>
  <c r="E33" i="15"/>
  <c r="E28" i="15"/>
  <c r="F28" i="15"/>
  <c r="E169" i="15"/>
  <c r="F72" i="15"/>
  <c r="E72" i="15"/>
  <c r="F23" i="15"/>
  <c r="E23" i="15"/>
  <c r="F18" i="15"/>
  <c r="E18" i="15"/>
  <c r="F13" i="15"/>
  <c r="F8" i="15"/>
  <c r="E8" i="15"/>
  <c r="E154" i="15"/>
  <c r="F173" i="15"/>
  <c r="F10" i="15"/>
  <c r="F228" i="15"/>
  <c r="E228" i="15"/>
  <c r="F224" i="15"/>
  <c r="E224" i="15"/>
  <c r="E220" i="15"/>
  <c r="F216" i="15"/>
  <c r="E216" i="15"/>
  <c r="F212" i="15"/>
  <c r="E212" i="15"/>
  <c r="F208" i="15"/>
  <c r="E208" i="15"/>
  <c r="E204" i="15"/>
  <c r="F200" i="15"/>
  <c r="E200" i="15"/>
  <c r="F196" i="15"/>
  <c r="E196" i="15"/>
  <c r="F192" i="15"/>
  <c r="E192" i="15"/>
  <c r="E188" i="15"/>
  <c r="F184" i="15"/>
  <c r="E184" i="15"/>
  <c r="F180" i="15"/>
  <c r="E180" i="15"/>
  <c r="F176" i="15"/>
  <c r="E176" i="15"/>
  <c r="E172" i="15"/>
  <c r="F168" i="15"/>
  <c r="E168" i="15"/>
  <c r="F164" i="15"/>
  <c r="E164" i="15"/>
  <c r="F160" i="15"/>
  <c r="E160" i="15"/>
  <c r="E156" i="15"/>
  <c r="F152" i="15"/>
  <c r="E152" i="15"/>
  <c r="F148" i="15"/>
  <c r="E148" i="15"/>
  <c r="F144" i="15"/>
  <c r="E144" i="15"/>
  <c r="E140" i="15"/>
  <c r="F136" i="15"/>
  <c r="E136" i="15"/>
  <c r="F132" i="15"/>
  <c r="E132" i="15"/>
  <c r="F128" i="15"/>
  <c r="E128" i="15"/>
  <c r="E124" i="15"/>
  <c r="F124" i="15"/>
  <c r="F120" i="15"/>
  <c r="E120" i="15"/>
  <c r="F116" i="15"/>
  <c r="E116" i="15"/>
  <c r="E112" i="15"/>
  <c r="F112" i="15"/>
  <c r="E108" i="15"/>
  <c r="F108" i="15"/>
  <c r="E104" i="15"/>
  <c r="F100" i="15"/>
  <c r="E100" i="15"/>
  <c r="E96" i="15"/>
  <c r="F96" i="15"/>
  <c r="E92" i="15"/>
  <c r="F92" i="15"/>
  <c r="F88" i="15"/>
  <c r="E88" i="15"/>
  <c r="F84" i="15"/>
  <c r="E84" i="15"/>
  <c r="E80" i="15"/>
  <c r="F80" i="15"/>
  <c r="E76" i="15"/>
  <c r="F76" i="15"/>
  <c r="F67" i="15"/>
  <c r="E67" i="15"/>
  <c r="F62" i="15"/>
  <c r="E62" i="15"/>
  <c r="F52" i="15"/>
  <c r="E52" i="15"/>
  <c r="E153" i="15"/>
  <c r="E25" i="15"/>
  <c r="F172" i="15"/>
  <c r="E47" i="15"/>
  <c r="F47" i="15"/>
  <c r="F42" i="15"/>
  <c r="E37" i="15"/>
  <c r="F37" i="15"/>
  <c r="E32" i="15"/>
  <c r="G32" i="15" s="1"/>
  <c r="E138" i="15"/>
  <c r="F157" i="15"/>
  <c r="F27" i="15"/>
  <c r="E27" i="15"/>
  <c r="F22" i="15"/>
  <c r="E22" i="15"/>
  <c r="E17" i="15"/>
  <c r="F12" i="15"/>
  <c r="E12" i="15"/>
  <c r="E137" i="15"/>
  <c r="F156" i="15"/>
  <c r="F71" i="15"/>
  <c r="E71" i="15"/>
  <c r="F66" i="15"/>
  <c r="E66" i="15"/>
  <c r="F61" i="15"/>
  <c r="E61" i="15"/>
  <c r="F56" i="15"/>
  <c r="E56" i="15"/>
  <c r="E7" i="15"/>
  <c r="F7" i="15"/>
  <c r="F140" i="15"/>
  <c r="F299" i="15"/>
  <c r="E299" i="15"/>
  <c r="F295" i="15"/>
  <c r="E295" i="15"/>
  <c r="F291" i="15"/>
  <c r="E291" i="15"/>
  <c r="F287" i="15"/>
  <c r="E287" i="15"/>
  <c r="F283" i="15"/>
  <c r="E283" i="15"/>
  <c r="F279" i="15"/>
  <c r="E279" i="15"/>
  <c r="F275" i="15"/>
  <c r="E275" i="15"/>
  <c r="F271" i="15"/>
  <c r="E271" i="15"/>
  <c r="F267" i="15"/>
  <c r="E267" i="15"/>
  <c r="F263" i="15"/>
  <c r="E263" i="15"/>
  <c r="F259" i="15"/>
  <c r="E259" i="15"/>
  <c r="F255" i="15"/>
  <c r="E255" i="15"/>
  <c r="F251" i="15"/>
  <c r="E251" i="15"/>
  <c r="F247" i="15"/>
  <c r="E247" i="15"/>
  <c r="F243" i="15"/>
  <c r="E243" i="15"/>
  <c r="F239" i="15"/>
  <c r="E239" i="15"/>
  <c r="F235" i="15"/>
  <c r="E235" i="15"/>
  <c r="F231" i="15"/>
  <c r="E231" i="15"/>
  <c r="F227" i="15"/>
  <c r="E227" i="15"/>
  <c r="F223" i="15"/>
  <c r="E223" i="15"/>
  <c r="F219" i="15"/>
  <c r="E219" i="15"/>
  <c r="F215" i="15"/>
  <c r="E215" i="15"/>
  <c r="F211" i="15"/>
  <c r="E211" i="15"/>
  <c r="F207" i="15"/>
  <c r="E207" i="15"/>
  <c r="F203" i="15"/>
  <c r="E203" i="15"/>
  <c r="F199" i="15"/>
  <c r="E199" i="15"/>
  <c r="F195" i="15"/>
  <c r="E195" i="15"/>
  <c r="F191" i="15"/>
  <c r="E191" i="15"/>
  <c r="F187" i="15"/>
  <c r="E187" i="15"/>
  <c r="F183" i="15"/>
  <c r="E183" i="15"/>
  <c r="F179" i="15"/>
  <c r="E179" i="15"/>
  <c r="F175" i="15"/>
  <c r="E175" i="15"/>
  <c r="F171" i="15"/>
  <c r="E171" i="15"/>
  <c r="F167" i="15"/>
  <c r="E167" i="15"/>
  <c r="F163" i="15"/>
  <c r="E163" i="15"/>
  <c r="F159" i="15"/>
  <c r="E159" i="15"/>
  <c r="F155" i="15"/>
  <c r="E155" i="15"/>
  <c r="F151" i="15"/>
  <c r="E151" i="15"/>
  <c r="F147" i="15"/>
  <c r="E147" i="15"/>
  <c r="F143" i="15"/>
  <c r="E143" i="15"/>
  <c r="E139" i="15"/>
  <c r="F135" i="15"/>
  <c r="E135" i="15"/>
  <c r="F131" i="15"/>
  <c r="E131" i="15"/>
  <c r="F127" i="15"/>
  <c r="E127" i="15"/>
  <c r="E123" i="15"/>
  <c r="F119" i="15"/>
  <c r="E119" i="15"/>
  <c r="E115" i="15"/>
  <c r="F115" i="15"/>
  <c r="E111" i="15"/>
  <c r="F111" i="15"/>
  <c r="F107" i="15"/>
  <c r="E107" i="15"/>
  <c r="E103" i="15"/>
  <c r="F103" i="15"/>
  <c r="F99" i="15"/>
  <c r="E99" i="15"/>
  <c r="E95" i="15"/>
  <c r="F95" i="15"/>
  <c r="F91" i="15"/>
  <c r="E91" i="15"/>
  <c r="F87" i="15"/>
  <c r="E87" i="15"/>
  <c r="F83" i="15"/>
  <c r="E83" i="15"/>
  <c r="E79" i="15"/>
  <c r="F75" i="15"/>
  <c r="E75" i="15"/>
  <c r="F51" i="15"/>
  <c r="E51" i="15"/>
  <c r="E46" i="15"/>
  <c r="F46" i="15"/>
  <c r="F41" i="15"/>
  <c r="F36" i="15"/>
  <c r="E36" i="15"/>
  <c r="E121" i="15"/>
  <c r="F139" i="15"/>
  <c r="E31" i="15"/>
  <c r="F26" i="15"/>
  <c r="F21" i="15"/>
  <c r="E21" i="15"/>
  <c r="F16" i="15"/>
  <c r="E16" i="15"/>
  <c r="E106" i="15"/>
  <c r="F123" i="15"/>
  <c r="F5" i="15"/>
  <c r="F3" i="15"/>
  <c r="E6" i="15"/>
  <c r="E3" i="15"/>
  <c r="F17" i="15"/>
  <c r="E13" i="15"/>
  <c r="G170" i="15" l="1"/>
  <c r="G169" i="15"/>
  <c r="G141" i="15"/>
  <c r="G158" i="15"/>
  <c r="G236" i="15"/>
  <c r="G366" i="15"/>
  <c r="G271" i="15"/>
  <c r="G211" i="15"/>
  <c r="G275" i="15"/>
  <c r="G136" i="15"/>
  <c r="G101" i="15"/>
  <c r="G360" i="15"/>
  <c r="G61" i="15"/>
  <c r="G138" i="15"/>
  <c r="G144" i="15"/>
  <c r="G20" i="15"/>
  <c r="G98" i="15"/>
  <c r="G314" i="15"/>
  <c r="G220" i="15"/>
  <c r="G107" i="15"/>
  <c r="G104" i="15"/>
  <c r="G13" i="15"/>
  <c r="G137" i="15"/>
  <c r="G202" i="15"/>
  <c r="G154" i="15"/>
  <c r="G398" i="15"/>
  <c r="G31" i="15"/>
  <c r="G213" i="15"/>
  <c r="G21" i="15"/>
  <c r="G83" i="15"/>
  <c r="G151" i="15"/>
  <c r="G183" i="15"/>
  <c r="G215" i="15"/>
  <c r="G23" i="15"/>
  <c r="G48" i="15"/>
  <c r="G77" i="15"/>
  <c r="G45" i="15"/>
  <c r="G333" i="15"/>
  <c r="G369" i="15"/>
  <c r="G335" i="15"/>
  <c r="G250" i="15"/>
  <c r="G277" i="15"/>
  <c r="G351" i="15"/>
  <c r="G121" i="15"/>
  <c r="G188" i="15"/>
  <c r="G3" i="15"/>
  <c r="G99" i="15"/>
  <c r="G167" i="15"/>
  <c r="G231" i="15"/>
  <c r="G263" i="15"/>
  <c r="G295" i="15"/>
  <c r="G312" i="15"/>
  <c r="G315" i="15"/>
  <c r="G117" i="15"/>
  <c r="G94" i="15"/>
  <c r="G292" i="15"/>
  <c r="G376" i="15"/>
  <c r="G355" i="15"/>
  <c r="G282" i="15"/>
  <c r="G309" i="15"/>
  <c r="G310" i="15"/>
  <c r="G70" i="15"/>
  <c r="G106" i="15"/>
  <c r="G62" i="15"/>
  <c r="G208" i="15"/>
  <c r="G68" i="15"/>
  <c r="G289" i="15"/>
  <c r="G320" i="15"/>
  <c r="G306" i="15"/>
  <c r="G344" i="15"/>
  <c r="G345" i="15"/>
  <c r="G392" i="15"/>
  <c r="G303" i="15"/>
  <c r="G377" i="15"/>
  <c r="G245" i="15"/>
  <c r="G349" i="15"/>
  <c r="G286" i="15"/>
  <c r="G364" i="15"/>
  <c r="G396" i="15"/>
  <c r="G260" i="15"/>
  <c r="G368" i="15"/>
  <c r="G400" i="15"/>
  <c r="G87" i="15"/>
  <c r="G119" i="15"/>
  <c r="G155" i="15"/>
  <c r="G187" i="15"/>
  <c r="G219" i="15"/>
  <c r="G283" i="15"/>
  <c r="G72" i="15"/>
  <c r="G161" i="15"/>
  <c r="G159" i="15"/>
  <c r="G191" i="15"/>
  <c r="G223" i="15"/>
  <c r="G255" i="15"/>
  <c r="G287" i="15"/>
  <c r="G116" i="15"/>
  <c r="G224" i="15"/>
  <c r="G58" i="15"/>
  <c r="G386" i="15"/>
  <c r="G280" i="15"/>
  <c r="G379" i="15"/>
  <c r="G65" i="15"/>
  <c r="G348" i="15"/>
  <c r="G253" i="15"/>
  <c r="G97" i="15"/>
  <c r="G326" i="15"/>
  <c r="G362" i="15"/>
  <c r="G394" i="15"/>
  <c r="G25" i="15"/>
  <c r="G238" i="15"/>
  <c r="G143" i="15"/>
  <c r="G175" i="15"/>
  <c r="G207" i="15"/>
  <c r="G239" i="15"/>
  <c r="G204" i="15"/>
  <c r="G395" i="15"/>
  <c r="G265" i="15"/>
  <c r="G75" i="15"/>
  <c r="G256" i="15"/>
  <c r="G113" i="15"/>
  <c r="G206" i="15"/>
  <c r="G268" i="15"/>
  <c r="G336" i="15"/>
  <c r="G180" i="15"/>
  <c r="G216" i="15"/>
  <c r="G81" i="15"/>
  <c r="G321" i="15"/>
  <c r="G311" i="15"/>
  <c r="G210" i="15"/>
  <c r="G338" i="15"/>
  <c r="G358" i="15"/>
  <c r="G91" i="15"/>
  <c r="G37" i="15"/>
  <c r="G318" i="15"/>
  <c r="G350" i="15"/>
  <c r="G381" i="15"/>
  <c r="G103" i="15"/>
  <c r="G36" i="15"/>
  <c r="G163" i="15"/>
  <c r="G195" i="15"/>
  <c r="G227" i="15"/>
  <c r="G259" i="15"/>
  <c r="G291" i="15"/>
  <c r="G120" i="15"/>
  <c r="G192" i="15"/>
  <c r="G228" i="15"/>
  <c r="G24" i="15"/>
  <c r="G59" i="15"/>
  <c r="G35" i="15"/>
  <c r="G390" i="15"/>
  <c r="G296" i="15"/>
  <c r="G33" i="15"/>
  <c r="G4" i="15"/>
  <c r="G133" i="15"/>
  <c r="G361" i="15"/>
  <c r="G258" i="15"/>
  <c r="G353" i="15"/>
  <c r="G307" i="15"/>
  <c r="G354" i="15"/>
  <c r="G308" i="15"/>
  <c r="G135" i="15"/>
  <c r="G38" i="15"/>
  <c r="G14" i="15"/>
  <c r="G51" i="15"/>
  <c r="G52" i="15"/>
  <c r="G8" i="15"/>
  <c r="G43" i="15"/>
  <c r="G19" i="15"/>
  <c r="G15" i="15"/>
  <c r="G198" i="15"/>
  <c r="G273" i="15"/>
  <c r="G357" i="15"/>
  <c r="G290" i="15"/>
  <c r="G339" i="15"/>
  <c r="G393" i="15"/>
  <c r="G340" i="15"/>
  <c r="G388" i="15"/>
  <c r="G330" i="15"/>
  <c r="G229" i="15"/>
  <c r="G240" i="15"/>
  <c r="G100" i="15"/>
  <c r="G109" i="15"/>
  <c r="G64" i="15"/>
  <c r="G252" i="15"/>
  <c r="G147" i="15"/>
  <c r="G179" i="15"/>
  <c r="G243" i="15"/>
  <c r="G27" i="15"/>
  <c r="G18" i="15"/>
  <c r="G130" i="15"/>
  <c r="G246" i="15"/>
  <c r="G232" i="15"/>
  <c r="G367" i="15"/>
  <c r="G399" i="15"/>
  <c r="G304" i="15"/>
  <c r="G79" i="15"/>
  <c r="G247" i="15"/>
  <c r="G279" i="15"/>
  <c r="G140" i="15"/>
  <c r="G197" i="15"/>
  <c r="G134" i="15"/>
  <c r="G262" i="15"/>
  <c r="G378" i="15"/>
  <c r="G248" i="15"/>
  <c r="G371" i="15"/>
  <c r="G297" i="15"/>
  <c r="G112" i="15"/>
  <c r="G300" i="15"/>
  <c r="G382" i="15"/>
  <c r="G221" i="15"/>
  <c r="G80" i="15"/>
  <c r="G129" i="15"/>
  <c r="G30" i="15"/>
  <c r="G146" i="15"/>
  <c r="G225" i="15"/>
  <c r="G342" i="15"/>
  <c r="G55" i="15"/>
  <c r="G316" i="15"/>
  <c r="G185" i="15"/>
  <c r="G383" i="15"/>
  <c r="G217" i="15"/>
  <c r="G385" i="15"/>
  <c r="G131" i="15"/>
  <c r="G150" i="15"/>
  <c r="G241" i="15"/>
  <c r="G298" i="15"/>
  <c r="G124" i="15"/>
  <c r="G29" i="15"/>
  <c r="G92" i="15"/>
  <c r="G285" i="15"/>
  <c r="G115" i="15"/>
  <c r="G251" i="15"/>
  <c r="G76" i="15"/>
  <c r="G53" i="15"/>
  <c r="G49" i="15"/>
  <c r="G178" i="15"/>
  <c r="G11" i="15"/>
  <c r="G278" i="15"/>
  <c r="G264" i="15"/>
  <c r="G375" i="15"/>
  <c r="G302" i="15"/>
  <c r="G73" i="15"/>
  <c r="G313" i="15"/>
  <c r="G66" i="15"/>
  <c r="G148" i="15"/>
  <c r="G184" i="15"/>
  <c r="G63" i="15"/>
  <c r="G85" i="15"/>
  <c r="G125" i="15"/>
  <c r="G205" i="15"/>
  <c r="G102" i="15"/>
  <c r="G142" i="15"/>
  <c r="G209" i="15"/>
  <c r="G337" i="15"/>
  <c r="G327" i="15"/>
  <c r="G226" i="15"/>
  <c r="G343" i="15"/>
  <c r="G288" i="15"/>
  <c r="G89" i="15"/>
  <c r="G276" i="15"/>
  <c r="G372" i="15"/>
  <c r="G266" i="15"/>
  <c r="G293" i="15"/>
  <c r="G123" i="15"/>
  <c r="G165" i="15"/>
  <c r="G54" i="15"/>
  <c r="G182" i="15"/>
  <c r="G60" i="15"/>
  <c r="G294" i="15"/>
  <c r="G237" i="15"/>
  <c r="G329" i="15"/>
  <c r="G127" i="15"/>
  <c r="G71" i="15"/>
  <c r="G84" i="15"/>
  <c r="G152" i="15"/>
  <c r="G41" i="15"/>
  <c r="G242" i="15"/>
  <c r="G389" i="15"/>
  <c r="G201" i="15"/>
  <c r="G284" i="15"/>
  <c r="G28" i="15"/>
  <c r="G334" i="15"/>
  <c r="G95" i="15"/>
  <c r="G47" i="15"/>
  <c r="G88" i="15"/>
  <c r="G156" i="15"/>
  <c r="G93" i="15"/>
  <c r="G173" i="15"/>
  <c r="G110" i="15"/>
  <c r="G347" i="15"/>
  <c r="G332" i="15"/>
  <c r="G325" i="15"/>
  <c r="G199" i="15"/>
  <c r="G160" i="15"/>
  <c r="G196" i="15"/>
  <c r="G177" i="15"/>
  <c r="G190" i="15"/>
  <c r="G269" i="15"/>
  <c r="G387" i="15"/>
  <c r="G222" i="15"/>
  <c r="G233" i="15"/>
  <c r="G380" i="15"/>
  <c r="G10" i="15"/>
  <c r="G365" i="15"/>
  <c r="G174" i="15"/>
  <c r="G6" i="15"/>
  <c r="G12" i="15"/>
  <c r="G78" i="15"/>
  <c r="G114" i="15"/>
  <c r="G194" i="15"/>
  <c r="G257" i="15"/>
  <c r="G352" i="15"/>
  <c r="G274" i="15"/>
  <c r="G323" i="15"/>
  <c r="G359" i="15"/>
  <c r="G324" i="15"/>
  <c r="G384" i="15"/>
  <c r="G26" i="15"/>
  <c r="G341" i="15"/>
  <c r="G44" i="15"/>
  <c r="G46" i="15"/>
  <c r="G171" i="15"/>
  <c r="G203" i="15"/>
  <c r="G235" i="15"/>
  <c r="G267" i="15"/>
  <c r="G299" i="15"/>
  <c r="G153" i="15"/>
  <c r="G128" i="15"/>
  <c r="G164" i="15"/>
  <c r="G200" i="15"/>
  <c r="G181" i="15"/>
  <c r="G34" i="15"/>
  <c r="G5" i="15"/>
  <c r="G82" i="15"/>
  <c r="G118" i="15"/>
  <c r="G214" i="15"/>
  <c r="G356" i="15"/>
  <c r="G373" i="15"/>
  <c r="G328" i="15"/>
  <c r="G391" i="15"/>
  <c r="G249" i="15"/>
  <c r="G42" i="15"/>
  <c r="G139" i="15"/>
  <c r="G17" i="15"/>
  <c r="G397" i="15"/>
  <c r="G22" i="15"/>
  <c r="G96" i="15"/>
  <c r="G132" i="15"/>
  <c r="G168" i="15"/>
  <c r="G145" i="15"/>
  <c r="G39" i="15"/>
  <c r="G86" i="15"/>
  <c r="G126" i="15"/>
  <c r="G162" i="15"/>
  <c r="G230" i="15"/>
  <c r="G370" i="15"/>
  <c r="G301" i="15"/>
  <c r="G363" i="15"/>
  <c r="G254" i="15"/>
  <c r="G108" i="15"/>
  <c r="G189" i="15"/>
  <c r="G122" i="15"/>
  <c r="G157" i="15"/>
  <c r="G16" i="15"/>
  <c r="G7" i="15"/>
  <c r="G172" i="15"/>
  <c r="G149" i="15"/>
  <c r="G193" i="15"/>
  <c r="G374" i="15"/>
  <c r="G317" i="15"/>
  <c r="G270" i="15"/>
  <c r="G281" i="15"/>
  <c r="G331" i="15"/>
  <c r="G111" i="15"/>
  <c r="G56" i="15"/>
  <c r="G67" i="15"/>
  <c r="G176" i="15"/>
  <c r="G212" i="15"/>
  <c r="G69" i="15"/>
  <c r="G305" i="15"/>
  <c r="G50" i="15"/>
  <c r="G322" i="15"/>
  <c r="G40" i="15"/>
  <c r="G244" i="15"/>
  <c r="G319" i="15"/>
  <c r="G234" i="15"/>
  <c r="G401" i="15"/>
  <c r="G261" i="15"/>
  <c r="G272" i="15"/>
  <c r="G126" i="3"/>
  <c r="H126" i="3"/>
  <c r="I126" i="3"/>
  <c r="F126" i="3"/>
  <c r="F128" i="3"/>
  <c r="D75" i="6" s="1"/>
  <c r="G128" i="3"/>
  <c r="D79" i="6" s="1"/>
  <c r="H128" i="3"/>
  <c r="D83" i="6" s="1"/>
  <c r="I128" i="3"/>
  <c r="D87" i="6" s="1"/>
  <c r="F129" i="3"/>
  <c r="D76" i="6" s="1"/>
  <c r="G129" i="3"/>
  <c r="D80" i="6" s="1"/>
  <c r="H129" i="3"/>
  <c r="D84" i="6" s="1"/>
  <c r="I129" i="3"/>
  <c r="D88" i="6" s="1"/>
  <c r="F130" i="3"/>
  <c r="D77" i="6" s="1"/>
  <c r="G130" i="3"/>
  <c r="D81" i="6" s="1"/>
  <c r="H130" i="3"/>
  <c r="D85" i="6" s="1"/>
  <c r="I130" i="3"/>
  <c r="D89" i="6" s="1"/>
  <c r="G127" i="3"/>
  <c r="D78" i="6" s="1"/>
  <c r="H127" i="3"/>
  <c r="D82" i="6" s="1"/>
  <c r="I127" i="3"/>
  <c r="D86" i="6" s="1"/>
  <c r="F127" i="3"/>
  <c r="D74" i="6" s="1"/>
  <c r="F2" i="15" l="1"/>
  <c r="G2" i="15" s="1"/>
  <c r="D3" i="6"/>
  <c r="D4" i="6"/>
  <c r="D5" i="6"/>
  <c r="D6" i="6"/>
  <c r="D7" i="6"/>
  <c r="D2" i="6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14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98" i="11"/>
  <c r="E94" i="11"/>
  <c r="E95" i="11"/>
  <c r="E96" i="11"/>
  <c r="E97" i="11"/>
  <c r="E83" i="11"/>
  <c r="E84" i="11"/>
  <c r="E85" i="11"/>
  <c r="E86" i="11"/>
  <c r="E87" i="11"/>
  <c r="E88" i="11"/>
  <c r="E89" i="11"/>
  <c r="E90" i="11"/>
  <c r="E91" i="11"/>
  <c r="E92" i="11"/>
  <c r="E93" i="11"/>
  <c r="E82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66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50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34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18" i="1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D60" i="6"/>
  <c r="D61" i="6"/>
  <c r="D62" i="6"/>
  <c r="D63" i="6"/>
  <c r="D64" i="6"/>
  <c r="D65" i="6"/>
  <c r="D66" i="6"/>
  <c r="D67" i="6"/>
  <c r="D68" i="6"/>
  <c r="D69" i="6"/>
  <c r="D59" i="6"/>
  <c r="D49" i="6"/>
  <c r="D50" i="6"/>
  <c r="D51" i="6"/>
  <c r="D52" i="6"/>
  <c r="D53" i="6"/>
  <c r="D54" i="6"/>
  <c r="D55" i="6"/>
  <c r="D56" i="6"/>
  <c r="D57" i="6"/>
  <c r="D58" i="6"/>
  <c r="D48" i="6"/>
  <c r="D38" i="6"/>
  <c r="D39" i="6"/>
  <c r="D40" i="6"/>
  <c r="D41" i="6"/>
  <c r="D42" i="6"/>
  <c r="D43" i="6"/>
  <c r="D44" i="6"/>
  <c r="D45" i="6"/>
  <c r="D46" i="6"/>
  <c r="D47" i="6"/>
  <c r="D37" i="6"/>
  <c r="D27" i="6"/>
  <c r="D28" i="6"/>
  <c r="D30" i="6"/>
  <c r="D31" i="6"/>
  <c r="D32" i="6"/>
  <c r="D33" i="6"/>
  <c r="D34" i="6"/>
  <c r="D35" i="6"/>
  <c r="D36" i="6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2" i="4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78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62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46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30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14" i="8"/>
  <c r="D111" i="8"/>
  <c r="D112" i="8"/>
  <c r="D113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98" i="8"/>
  <c r="D97" i="8"/>
  <c r="D81" i="8"/>
  <c r="D65" i="8"/>
  <c r="D35" i="8"/>
  <c r="D227" i="8" s="1"/>
  <c r="D36" i="8"/>
  <c r="D228" i="8" s="1"/>
  <c r="D37" i="8"/>
  <c r="D229" i="8" s="1"/>
  <c r="D38" i="8"/>
  <c r="D230" i="8" s="1"/>
  <c r="D39" i="8"/>
  <c r="D231" i="8" s="1"/>
  <c r="D40" i="8"/>
  <c r="D232" i="8" s="1"/>
  <c r="D41" i="8"/>
  <c r="D233" i="8" s="1"/>
  <c r="D42" i="8"/>
  <c r="D234" i="8" s="1"/>
  <c r="D43" i="8"/>
  <c r="D235" i="8" s="1"/>
  <c r="D44" i="8"/>
  <c r="D236" i="8" s="1"/>
  <c r="D45" i="8"/>
  <c r="D237" i="8" s="1"/>
  <c r="D46" i="8"/>
  <c r="D238" i="8" s="1"/>
  <c r="D47" i="8"/>
  <c r="D239" i="8" s="1"/>
  <c r="D48" i="8"/>
  <c r="D240" i="8" s="1"/>
  <c r="D49" i="8"/>
  <c r="D241" i="8" s="1"/>
  <c r="D34" i="8"/>
  <c r="D226" i="8" s="1"/>
  <c r="D19" i="8"/>
  <c r="D211" i="8" s="1"/>
  <c r="D20" i="8"/>
  <c r="D212" i="8" s="1"/>
  <c r="D21" i="8"/>
  <c r="D213" i="8" s="1"/>
  <c r="D22" i="8"/>
  <c r="D214" i="8" s="1"/>
  <c r="D23" i="8"/>
  <c r="D215" i="8" s="1"/>
  <c r="D24" i="8"/>
  <c r="D216" i="8" s="1"/>
  <c r="D25" i="8"/>
  <c r="D217" i="8" s="1"/>
  <c r="D26" i="8"/>
  <c r="D218" i="8" s="1"/>
  <c r="D27" i="8"/>
  <c r="D219" i="8" s="1"/>
  <c r="D28" i="8"/>
  <c r="D220" i="8" s="1"/>
  <c r="D29" i="8"/>
  <c r="D221" i="8" s="1"/>
  <c r="D30" i="8"/>
  <c r="D222" i="8" s="1"/>
  <c r="D31" i="8"/>
  <c r="D223" i="8" s="1"/>
  <c r="D32" i="8"/>
  <c r="D224" i="8" s="1"/>
  <c r="D33" i="8"/>
  <c r="D225" i="8" s="1"/>
  <c r="D18" i="8"/>
  <c r="D210" i="8" s="1"/>
  <c r="D3" i="8"/>
  <c r="D195" i="8" s="1"/>
  <c r="D4" i="8"/>
  <c r="D196" i="8" s="1"/>
  <c r="D5" i="8"/>
  <c r="D197" i="8" s="1"/>
  <c r="D6" i="8"/>
  <c r="D198" i="8" s="1"/>
  <c r="D7" i="8"/>
  <c r="D199" i="8" s="1"/>
  <c r="D8" i="8"/>
  <c r="D200" i="8" s="1"/>
  <c r="D9" i="8"/>
  <c r="D201" i="8" s="1"/>
  <c r="D10" i="8"/>
  <c r="D202" i="8" s="1"/>
  <c r="D11" i="8"/>
  <c r="D203" i="8" s="1"/>
  <c r="D12" i="8"/>
  <c r="D204" i="8" s="1"/>
  <c r="D13" i="8"/>
  <c r="D205" i="8" s="1"/>
  <c r="D14" i="8"/>
  <c r="D206" i="8" s="1"/>
  <c r="D15" i="8"/>
  <c r="D207" i="8" s="1"/>
  <c r="D16" i="8"/>
  <c r="D208" i="8" s="1"/>
  <c r="D17" i="8"/>
  <c r="D209" i="8" s="1"/>
  <c r="D2" i="8"/>
  <c r="D194" i="8" s="1"/>
  <c r="F135" i="3"/>
  <c r="G135" i="3"/>
  <c r="H135" i="3"/>
  <c r="I135" i="3"/>
  <c r="G134" i="3"/>
  <c r="H134" i="3"/>
  <c r="I134" i="3"/>
  <c r="G136" i="3"/>
  <c r="H136" i="3"/>
  <c r="I136" i="3"/>
  <c r="G137" i="3"/>
  <c r="H137" i="3"/>
  <c r="I137" i="3"/>
  <c r="G138" i="3"/>
  <c r="H138" i="3"/>
  <c r="I138" i="3"/>
  <c r="G139" i="3"/>
  <c r="H139" i="3"/>
  <c r="I139" i="3"/>
  <c r="G140" i="3"/>
  <c r="H140" i="3"/>
  <c r="I140" i="3"/>
  <c r="G141" i="3"/>
  <c r="H141" i="3"/>
  <c r="I141" i="3"/>
  <c r="F141" i="3"/>
  <c r="F140" i="3"/>
  <c r="F139" i="3"/>
  <c r="F138" i="3"/>
  <c r="F137" i="3"/>
  <c r="F136" i="3"/>
  <c r="F134" i="3"/>
  <c r="D51" i="8"/>
  <c r="D67" i="8"/>
  <c r="D83" i="8"/>
  <c r="D52" i="8"/>
  <c r="D68" i="8"/>
  <c r="D84" i="8"/>
  <c r="D53" i="8"/>
  <c r="D69" i="8"/>
  <c r="D85" i="8"/>
  <c r="D54" i="8"/>
  <c r="D70" i="8"/>
  <c r="D86" i="8"/>
  <c r="D55" i="8"/>
  <c r="D71" i="8"/>
  <c r="D87" i="8"/>
  <c r="D56" i="8"/>
  <c r="D72" i="8"/>
  <c r="D88" i="8"/>
  <c r="D57" i="8"/>
  <c r="D73" i="8"/>
  <c r="D89" i="8"/>
  <c r="D58" i="8"/>
  <c r="D74" i="8"/>
  <c r="D90" i="8"/>
  <c r="D59" i="8"/>
  <c r="D75" i="8"/>
  <c r="D91" i="8"/>
  <c r="D60" i="8"/>
  <c r="D76" i="8"/>
  <c r="D92" i="8"/>
  <c r="D61" i="8"/>
  <c r="D77" i="8"/>
  <c r="D93" i="8"/>
  <c r="D62" i="8"/>
  <c r="D78" i="8"/>
  <c r="D94" i="8"/>
  <c r="D63" i="8"/>
  <c r="D79" i="8"/>
  <c r="D95" i="8"/>
  <c r="D64" i="8"/>
  <c r="D80" i="8"/>
  <c r="D96" i="8"/>
  <c r="D66" i="8"/>
  <c r="D82" i="8"/>
  <c r="D50" i="8"/>
  <c r="D8" i="6" l="1"/>
  <c r="D9" i="6"/>
  <c r="D11" i="6"/>
  <c r="D12" i="6"/>
  <c r="D13" i="6"/>
  <c r="D14" i="6"/>
  <c r="D15" i="6"/>
  <c r="D16" i="6"/>
  <c r="D17" i="6"/>
  <c r="D18" i="6"/>
  <c r="D19" i="6"/>
  <c r="D20" i="6"/>
  <c r="D22" i="6"/>
  <c r="D23" i="6"/>
  <c r="D24" i="6"/>
  <c r="D25" i="6"/>
  <c r="F51" i="2"/>
  <c r="F115" i="2" s="1"/>
  <c r="F52" i="2"/>
  <c r="F116" i="2" s="1"/>
  <c r="F53" i="2"/>
  <c r="F117" i="2" s="1"/>
  <c r="F54" i="2"/>
  <c r="F118" i="2" s="1"/>
  <c r="F55" i="2"/>
  <c r="F119" i="2" s="1"/>
  <c r="F56" i="2"/>
  <c r="F120" i="2" s="1"/>
  <c r="F57" i="2"/>
  <c r="F121" i="2" s="1"/>
  <c r="F58" i="2"/>
  <c r="F122" i="2" s="1"/>
  <c r="F59" i="2"/>
  <c r="F123" i="2" s="1"/>
  <c r="F60" i="2"/>
  <c r="F124" i="2" s="1"/>
  <c r="F61" i="2"/>
  <c r="F125" i="2" s="1"/>
  <c r="F62" i="2"/>
  <c r="F126" i="2" s="1"/>
  <c r="F63" i="2"/>
  <c r="F127" i="2" s="1"/>
  <c r="F64" i="2"/>
  <c r="F128" i="2" s="1"/>
  <c r="F65" i="2"/>
  <c r="F129" i="2" s="1"/>
  <c r="F50" i="2"/>
  <c r="F114" i="2" s="1"/>
  <c r="F17" i="2"/>
  <c r="F113" i="2" s="1"/>
  <c r="F16" i="2"/>
  <c r="F112" i="2" s="1"/>
  <c r="F3" i="2"/>
  <c r="F99" i="2" s="1"/>
  <c r="F4" i="2"/>
  <c r="F100" i="2" s="1"/>
  <c r="F5" i="2"/>
  <c r="F101" i="2" s="1"/>
  <c r="F6" i="2"/>
  <c r="F102" i="2" s="1"/>
  <c r="F7" i="2"/>
  <c r="F103" i="2" s="1"/>
  <c r="F8" i="2"/>
  <c r="F104" i="2" s="1"/>
  <c r="F9" i="2"/>
  <c r="F105" i="2" s="1"/>
  <c r="F10" i="2"/>
  <c r="F106" i="2" s="1"/>
  <c r="F11" i="2"/>
  <c r="F107" i="2" s="1"/>
  <c r="F12" i="2"/>
  <c r="F108" i="2" s="1"/>
  <c r="F13" i="2"/>
  <c r="F109" i="2" s="1"/>
  <c r="F14" i="2"/>
  <c r="F110" i="2" s="1"/>
  <c r="F15" i="2"/>
  <c r="F111" i="2" s="1"/>
  <c r="F2" i="2"/>
  <c r="F98" i="2" s="1"/>
  <c r="R64" i="3"/>
  <c r="T64" i="3" s="1"/>
  <c r="F97" i="2" s="1"/>
  <c r="R63" i="3"/>
  <c r="T63" i="3" s="1"/>
  <c r="F96" i="2" s="1"/>
  <c r="R62" i="3"/>
  <c r="T62" i="3" s="1"/>
  <c r="F95" i="2" s="1"/>
  <c r="R61" i="3"/>
  <c r="T61" i="3" s="1"/>
  <c r="F94" i="2" s="1"/>
  <c r="R60" i="3"/>
  <c r="T60" i="3" s="1"/>
  <c r="F93" i="2" s="1"/>
  <c r="R59" i="3"/>
  <c r="T59" i="3" s="1"/>
  <c r="F92" i="2" s="1"/>
  <c r="R58" i="3"/>
  <c r="F75" i="2" s="1"/>
  <c r="R57" i="3"/>
  <c r="T57" i="3" s="1"/>
  <c r="F90" i="2" s="1"/>
  <c r="R56" i="3"/>
  <c r="T56" i="3" s="1"/>
  <c r="F89" i="2" s="1"/>
  <c r="R55" i="3"/>
  <c r="T55" i="3" s="1"/>
  <c r="F88" i="2" s="1"/>
  <c r="R54" i="3"/>
  <c r="F71" i="2" s="1"/>
  <c r="R53" i="3"/>
  <c r="T53" i="3" s="1"/>
  <c r="F86" i="2" s="1"/>
  <c r="R52" i="3"/>
  <c r="T52" i="3" s="1"/>
  <c r="F85" i="2" s="1"/>
  <c r="R51" i="3"/>
  <c r="T51" i="3" s="1"/>
  <c r="F84" i="2" s="1"/>
  <c r="R50" i="3"/>
  <c r="F67" i="2" s="1"/>
  <c r="R49" i="3"/>
  <c r="T49" i="3" s="1"/>
  <c r="F82" i="2" s="1"/>
  <c r="I50" i="3"/>
  <c r="F19" i="2" s="1"/>
  <c r="I51" i="3"/>
  <c r="F20" i="2" s="1"/>
  <c r="I52" i="3"/>
  <c r="F21" i="2" s="1"/>
  <c r="I53" i="3"/>
  <c r="F22" i="2" s="1"/>
  <c r="I54" i="3"/>
  <c r="F23" i="2" s="1"/>
  <c r="I55" i="3"/>
  <c r="F24" i="2" s="1"/>
  <c r="I56" i="3"/>
  <c r="K56" i="3" s="1"/>
  <c r="F41" i="2" s="1"/>
  <c r="I57" i="3"/>
  <c r="F26" i="2" s="1"/>
  <c r="I58" i="3"/>
  <c r="K58" i="3" s="1"/>
  <c r="F43" i="2" s="1"/>
  <c r="I59" i="3"/>
  <c r="K59" i="3" s="1"/>
  <c r="F44" i="2" s="1"/>
  <c r="I60" i="3"/>
  <c r="K60" i="3" s="1"/>
  <c r="F45" i="2" s="1"/>
  <c r="I61" i="3"/>
  <c r="K61" i="3" s="1"/>
  <c r="F46" i="2" s="1"/>
  <c r="I62" i="3"/>
  <c r="K62" i="3" s="1"/>
  <c r="F47" i="2" s="1"/>
  <c r="I63" i="3"/>
  <c r="K63" i="3" s="1"/>
  <c r="F48" i="2" s="1"/>
  <c r="I64" i="3"/>
  <c r="K64" i="3" s="1"/>
  <c r="F49" i="2" s="1"/>
  <c r="I49" i="3"/>
  <c r="K49" i="3" s="1"/>
  <c r="F34" i="2" s="1"/>
  <c r="F30" i="2" l="1"/>
  <c r="F66" i="2"/>
  <c r="F81" i="2"/>
  <c r="F80" i="2"/>
  <c r="F79" i="2"/>
  <c r="F78" i="2"/>
  <c r="F29" i="2"/>
  <c r="F32" i="2"/>
  <c r="F31" i="2"/>
  <c r="F77" i="2"/>
  <c r="F76" i="2"/>
  <c r="F18" i="2"/>
  <c r="F33" i="2"/>
  <c r="K57" i="3"/>
  <c r="F42" i="2" s="1"/>
  <c r="T54" i="3"/>
  <c r="F87" i="2" s="1"/>
  <c r="K55" i="3"/>
  <c r="F40" i="2" s="1"/>
  <c r="K54" i="3"/>
  <c r="F39" i="2" s="1"/>
  <c r="K53" i="3"/>
  <c r="F38" i="2" s="1"/>
  <c r="F28" i="2"/>
  <c r="K52" i="3"/>
  <c r="F37" i="2" s="1"/>
  <c r="T58" i="3"/>
  <c r="F91" i="2" s="1"/>
  <c r="F27" i="2"/>
  <c r="K51" i="3"/>
  <c r="F36" i="2" s="1"/>
  <c r="F74" i="2"/>
  <c r="K50" i="3"/>
  <c r="F35" i="2" s="1"/>
  <c r="F25" i="2"/>
  <c r="F73" i="2"/>
  <c r="F72" i="2"/>
  <c r="T50" i="3"/>
  <c r="F83" i="2" s="1"/>
  <c r="F70" i="2"/>
  <c r="F69" i="2"/>
  <c r="F68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07E6F5C-1B9B-43C6-A96C-C32BC7F8FACF}" keepAlive="1" name="Consulta - CAPEX_Vehicles" description="Conexión a la consulta 'CAPEX_Vehicles' en el libro." type="5" refreshedVersion="7" background="1" saveData="1">
    <dbPr connection="Provider=Microsoft.Mashup.OleDb.1;Data Source=$Workbook$;Location=CAPEX_Vehicles;Extended Properties=&quot;&quot;" command="SELECT * FROM [CAPEX_Vehicles]"/>
  </connection>
  <connection id="2" xr16:uid="{4A361FC5-97CA-472D-B074-A61081E5FA14}" keepAlive="1" name="Consulta - Chassis" description="Conexión a la consulta 'Chassis' en el libro." type="5" refreshedVersion="0" background="1">
    <dbPr connection="Provider=Microsoft.Mashup.OleDb.1;Data Source=$Workbook$;Location=Chassis;Extended Properties=&quot;&quot;" command="SELECT * FROM [Chassis]"/>
  </connection>
  <connection id="3" xr16:uid="{BA3381D9-4A16-44D0-81E0-418CE9E84284}" keepAlive="1" name="Consulta - Components_Prices" description="Conexión a la consulta 'Components_Prices' en el libro." type="5" refreshedVersion="0" background="1">
    <dbPr connection="Provider=Microsoft.Mashup.OleDb.1;Data Source=$Workbook$;Location=Components_Prices;Extended Properties=&quot;&quot;" command="SELECT * FROM [Components_Prices]"/>
  </connection>
  <connection id="4" xr16:uid="{44D4C361-30D1-4CC3-A901-C9CF3F69EB83}" keepAlive="1" name="Consulta - Efficiencies" description="Conexión a la consulta 'Efficiencies' en el libro." type="5" refreshedVersion="0" background="1">
    <dbPr connection="Provider=Microsoft.Mashup.OleDb.1;Data Source=$Workbook$;Location=Efficiencies;Extended Properties=&quot;&quot;" command="SELECT * FROM [Efficiencies]"/>
  </connection>
  <connection id="5" xr16:uid="{7F662137-D458-4942-BF00-39A20F701197}" keepAlive="1" name="Consulta - Efficiencies (2)" description="Conexión a la consulta 'Efficiencies (2)' en el libro." type="5" refreshedVersion="7" background="1" saveData="1">
    <dbPr connection="Provider=Microsoft.Mashup.OleDb.1;Data Source=$Workbook$;Location=&quot;Efficiencies (2)&quot;;Extended Properties=&quot;&quot;" command="SELECT * FROM [Efficiencies (2)]"/>
  </connection>
  <connection id="6" xr16:uid="{20283C60-7A73-46A0-B15B-91AE83B85A5A}" keepAlive="1" name="Consulta - Electricity_Prices" description="Conexión a la consulta 'Electricity_Prices' en el libro." type="5" refreshedVersion="0" background="1">
    <dbPr connection="Provider=Microsoft.Mashup.OleDb.1;Data Source=$Workbook$;Location=Electricity_Prices;Extended Properties=&quot;&quot;" command="SELECT * FROM [Electricity_Prices]"/>
  </connection>
  <connection id="7" xr16:uid="{F08BAAAD-5F73-46E3-83BC-63444C67F187}" keepAlive="1" name="Consulta - Powetrain_Features" description="Conexión a la consulta 'Powetrain_Features' en el libro." type="5" refreshedVersion="0" background="1">
    <dbPr connection="Provider=Microsoft.Mashup.OleDb.1;Data Source=$Workbook$;Location=Powetrain_Features;Extended Properties=&quot;&quot;" command="SELECT * FROM [Powetrain_Features]"/>
  </connection>
</connections>
</file>

<file path=xl/sharedStrings.xml><?xml version="1.0" encoding="utf-8"?>
<sst xmlns="http://schemas.openxmlformats.org/spreadsheetml/2006/main" count="3427" uniqueCount="172">
  <si>
    <t>Technology</t>
  </si>
  <si>
    <t>VECTO_Group</t>
  </si>
  <si>
    <t>Year</t>
  </si>
  <si>
    <t>Scenario</t>
  </si>
  <si>
    <t>Component</t>
  </si>
  <si>
    <t>Value</t>
  </si>
  <si>
    <t>Diesel</t>
  </si>
  <si>
    <t>0</t>
  </si>
  <si>
    <t>Average</t>
  </si>
  <si>
    <t>CAPEX</t>
  </si>
  <si>
    <t>1</t>
  </si>
  <si>
    <t>2</t>
  </si>
  <si>
    <t>3</t>
  </si>
  <si>
    <t>4-UD</t>
  </si>
  <si>
    <t>4-RD</t>
  </si>
  <si>
    <t>4-LH</t>
  </si>
  <si>
    <t>5-RD</t>
  </si>
  <si>
    <t>5-LH</t>
  </si>
  <si>
    <t>9-RD</t>
  </si>
  <si>
    <t>9-LH</t>
  </si>
  <si>
    <t>10-RD</t>
  </si>
  <si>
    <t>10-LH</t>
  </si>
  <si>
    <t>11</t>
  </si>
  <si>
    <t>12</t>
  </si>
  <si>
    <t>16</t>
  </si>
  <si>
    <t>NG</t>
  </si>
  <si>
    <t>BG</t>
  </si>
  <si>
    <t>NG/Diesel Overcost</t>
  </si>
  <si>
    <t>Price_Eur</t>
  </si>
  <si>
    <t>Price</t>
  </si>
  <si>
    <t>Energy battery</t>
  </si>
  <si>
    <t>Power battery</t>
  </si>
  <si>
    <t>Fuel cell stack</t>
  </si>
  <si>
    <t>H2_storage</t>
  </si>
  <si>
    <t>Electric drive</t>
  </si>
  <si>
    <t>Power electronics</t>
  </si>
  <si>
    <t>Efficiency</t>
  </si>
  <si>
    <t>-</t>
  </si>
  <si>
    <t>BET</t>
  </si>
  <si>
    <t>FCET</t>
  </si>
  <si>
    <t>l/100 km</t>
  </si>
  <si>
    <t>kg/100 km</t>
  </si>
  <si>
    <t>kWh/km</t>
  </si>
  <si>
    <t>FCEV</t>
  </si>
  <si>
    <t>kg H2/100 km</t>
  </si>
  <si>
    <t>CNG/Diesel Efficiency loss</t>
  </si>
  <si>
    <t>Near market</t>
  </si>
  <si>
    <t>Scientific</t>
  </si>
  <si>
    <t>Others</t>
  </si>
  <si>
    <t>All</t>
  </si>
  <si>
    <t>ICCT</t>
  </si>
  <si>
    <t>Battery</t>
  </si>
  <si>
    <t>FC</t>
  </si>
  <si>
    <t>Electric drive + PE</t>
  </si>
  <si>
    <t>CH2 Tank</t>
  </si>
  <si>
    <t>Nature</t>
  </si>
  <si>
    <t>ICCT_Central</t>
  </si>
  <si>
    <t>Feature</t>
  </si>
  <si>
    <t>Capacity</t>
  </si>
  <si>
    <t>H2_Tank</t>
  </si>
  <si>
    <t>FC_Power</t>
  </si>
  <si>
    <t>Battery_kWh</t>
  </si>
  <si>
    <t>Power Battery</t>
  </si>
  <si>
    <t>Oil</t>
  </si>
  <si>
    <t>Gas</t>
  </si>
  <si>
    <t>High</t>
  </si>
  <si>
    <t>Low</t>
  </si>
  <si>
    <t>Electricity</t>
  </si>
  <si>
    <t>HVO</t>
  </si>
  <si>
    <t>USD/barrel</t>
  </si>
  <si>
    <t>USD/Mbtu</t>
  </si>
  <si>
    <t>USD/MWh</t>
  </si>
  <si>
    <t>USD/kWh</t>
  </si>
  <si>
    <t>Fuel</t>
  </si>
  <si>
    <t>Energy_Taxes</t>
  </si>
  <si>
    <t>Distribution</t>
  </si>
  <si>
    <t>€/GJ</t>
  </si>
  <si>
    <t>EUR/MWh</t>
  </si>
  <si>
    <t>EUR/kWh</t>
  </si>
  <si>
    <t>EUR/litro</t>
  </si>
  <si>
    <t>EUR/kg</t>
  </si>
  <si>
    <t>Final_price</t>
  </si>
  <si>
    <t>H2</t>
  </si>
  <si>
    <t>USD/kg</t>
  </si>
  <si>
    <t>IEA_minimum</t>
  </si>
  <si>
    <t>IEA_average</t>
  </si>
  <si>
    <t>IEA_high</t>
  </si>
  <si>
    <t>Lifetime_hours</t>
  </si>
  <si>
    <t>VEHICLE DATA</t>
  </si>
  <si>
    <t>Basma, Hussein, and Felipe Rodríguez. 2023. ‘The European Heavy-Duty Vehicle Market until 2040: Analysis of Decarbonization Pathways’.</t>
  </si>
  <si>
    <t>BEV Battery (kWh)</t>
  </si>
  <si>
    <t>HV BATTERY (kWh)</t>
  </si>
  <si>
    <t>FC POWER (kW)</t>
  </si>
  <si>
    <t>POWERTRAIN COMPONENTS PRICES</t>
  </si>
  <si>
    <t>CHASSIS [1]</t>
  </si>
  <si>
    <t>POWERTRAIN FEATUERS [2]</t>
  </si>
  <si>
    <t>Basma, Hussein, and Felipe Rodríguez. 2023. ‘A Total Cost of Ownership Comparison of Truck Decarbonization Pathways in Europe’.</t>
  </si>
  <si>
    <t>ICCT [2]</t>
  </si>
  <si>
    <t>LINK ET AL. [3]</t>
  </si>
  <si>
    <t>COMPARISON</t>
  </si>
  <si>
    <t>VEHICLE ENERGY EFFICIENCY [1]</t>
  </si>
  <si>
    <t>DIESEL (L/100km)</t>
  </si>
  <si>
    <t>CNG (kg/100km)</t>
  </si>
  <si>
    <t>BEV (kWh/km)</t>
  </si>
  <si>
    <t>FCEV (kg/1km)</t>
  </si>
  <si>
    <t>ENERGY PRICES DATA</t>
  </si>
  <si>
    <t>Link, Steffen, Annegret Stephan, Daniel Speth, and Patrick Plötz. 2024. ‘Rapidly Declining Costs of Truck Batteries and Fuel Cells Enable Large-Scale Road Freight Electrification’. Nature Energy 9(8):1032–39. doi: 10.1038/s41560-024-01531-9.</t>
  </si>
  <si>
    <t>Brown, Adam, Lars Waldheim, Ingvar Landälv, Jack Saddoer, Mahmood Ebadian, James D. McMillan, Antonio Bonomi, and Bruno Klein. 2020. ‘Advanced Biofuels – Potential for Cost Reduction – Bioenergy’. Retrieved 4 February 2025 (https://www.ieabioenergy.com/blog/publications/new-publication-advanced-biofuels-potential-for-cost-reduction/).</t>
  </si>
  <si>
    <t>European Comission. 2024. ‘IF23 Auction for Renewable Hydrogen Production - European Commission’. Retrieved 18 March 2025 (https://climate.ec.europa.eu/eu-action/eu-funding-climate-action/innovation-fund/calls-proposals/if23-auction-renewable-hydrogen-production_en).</t>
  </si>
  <si>
    <t>ENERGY PRICES [4-7]</t>
  </si>
  <si>
    <t>Conversion Factor</t>
  </si>
  <si>
    <t>Unit</t>
  </si>
  <si>
    <t>ENERGY PRICES IN kWh [4-7]</t>
  </si>
  <si>
    <t>European Council. 2023. ‘Fit for 55: How the EU Plans to Revise Energy Taxation’. Retrieved 30 November 2023 (https://www.consilium.europa.eu/en/infographics/fit-for-55-energy-taxation/).</t>
  </si>
  <si>
    <t>ENERGY TAXES [8]</t>
  </si>
  <si>
    <t xml:space="preserve">ENERGY DIST. </t>
  </si>
  <si>
    <t>HRS DATA</t>
  </si>
  <si>
    <t>Cost</t>
  </si>
  <si>
    <t>Precooling_Unit</t>
  </si>
  <si>
    <t>Comp_cost</t>
  </si>
  <si>
    <t>High_st_cost</t>
  </si>
  <si>
    <t>Low_st_cost</t>
  </si>
  <si>
    <t>Disp_cost</t>
  </si>
  <si>
    <t>COSTS REDUCTION PATH</t>
  </si>
  <si>
    <t>Price_eur_tco2</t>
  </si>
  <si>
    <t>ETS II (EUR/tCO2eq)</t>
  </si>
  <si>
    <t>FE</t>
  </si>
  <si>
    <t>RE-FCET</t>
  </si>
  <si>
    <t>Coeff</t>
  </si>
  <si>
    <t>7.5</t>
  </si>
  <si>
    <t>MAINTENACE CURVE AND PRICE [1]</t>
  </si>
  <si>
    <t>CONVENTIONAL TECHS CAPEX (EUR/vehicle) [1]</t>
  </si>
  <si>
    <t>Tech</t>
  </si>
  <si>
    <t>Curb_weight</t>
  </si>
  <si>
    <t>GVW</t>
  </si>
  <si>
    <t>Payload</t>
  </si>
  <si>
    <t>Engine_Power_kW</t>
  </si>
  <si>
    <t>km_year</t>
  </si>
  <si>
    <t>Pressure</t>
  </si>
  <si>
    <t>Minutes_Refuelling</t>
  </si>
  <si>
    <t>2.7</t>
  </si>
  <si>
    <t>5.2</t>
  </si>
  <si>
    <t>7.2</t>
  </si>
  <si>
    <t>11.2</t>
  </si>
  <si>
    <t>30.7</t>
  </si>
  <si>
    <t>30.4</t>
  </si>
  <si>
    <t>28.8</t>
  </si>
  <si>
    <t>VECTO GROUPS FEATUERS [1, 8]</t>
  </si>
  <si>
    <t>OTHERS</t>
  </si>
  <si>
    <t>ETS II</t>
  </si>
  <si>
    <t>EMISSION FACTORS</t>
  </si>
  <si>
    <t>FE (kgCO2/kWh)</t>
  </si>
  <si>
    <t>P_inlet</t>
  </si>
  <si>
    <t>P_output</t>
  </si>
  <si>
    <t>Compressor_eff</t>
  </si>
  <si>
    <t>Electric_eff</t>
  </si>
  <si>
    <t>Tin</t>
  </si>
  <si>
    <t>MH2</t>
  </si>
  <si>
    <t>Lifetime</t>
  </si>
  <si>
    <t>Cost reduction</t>
  </si>
  <si>
    <t>Linger_minutes</t>
  </si>
  <si>
    <t>Security_Factor</t>
  </si>
  <si>
    <t>Cooling_consump</t>
  </si>
  <si>
    <t>Minimum_bar</t>
  </si>
  <si>
    <t>Low_Pressure_Storage</t>
  </si>
  <si>
    <t>COMPONENTS FEATURES</t>
  </si>
  <si>
    <t xml:space="preserve">This is the input Excel file to generate .csv files to be used in the TCO model developed by Pérez-Bravo et al. (2025) https://github.com/mperezbravo/TCO_HeavyDuty </t>
  </si>
  <si>
    <t xml:space="preserve">INSTRUCTIONS: Please change parameters within the "Input" sheet, "data_" sheets will be automatically updated. To generate all .csv files in this same folder (/data), please click on the button --&gt; </t>
  </si>
  <si>
    <t>SOURCES USED IN DATA (For more info, please see manuscript)</t>
  </si>
  <si>
    <r>
      <t xml:space="preserve">Birman, Jessie, Julien Burdloff, Hugues De Peufeillhoux, Guillaume Erbs, Malo Feniou, and Pierre-Laurent Lucille. 2021. </t>
    </r>
    <r>
      <rPr>
        <i/>
        <sz val="11"/>
        <color theme="1"/>
        <rFont val="Tahoma"/>
        <family val="2"/>
      </rPr>
      <t>Geographical Analysis of Biomethane Potential and Costs in Europe in 2050</t>
    </r>
    <r>
      <rPr>
        <sz val="11"/>
        <color theme="1"/>
        <rFont val="Tahoma"/>
        <family val="2"/>
      </rPr>
      <t>.</t>
    </r>
  </si>
  <si>
    <r>
      <t xml:space="preserve">ENTSO-E, ENTSOG and. 2022. </t>
    </r>
    <r>
      <rPr>
        <i/>
        <sz val="11"/>
        <color theme="1"/>
        <rFont val="Tahoma"/>
        <family val="2"/>
      </rPr>
      <t>TYNDP 2022 Scenario Report</t>
    </r>
    <r>
      <rPr>
        <sz val="11"/>
        <color theme="1"/>
        <rFont val="Tahoma"/>
        <family val="2"/>
      </rPr>
      <t>.</t>
    </r>
  </si>
  <si>
    <t>Energy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</si>
</sst>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36"/>
      <color rgb="FF000000"/>
      <name val="Calibri"/>
      <family val="2"/>
    </font>
    <font>
      <sz val="11"/>
      <color theme="1"/>
      <name val="Tahoma"/>
      <family val="2"/>
    </font>
    <font>
      <b/>
      <sz val="14"/>
      <color theme="1"/>
      <name val="Tahoma"/>
      <family val="2"/>
    </font>
    <font>
      <b/>
      <sz val="16"/>
      <color theme="1"/>
      <name val="Tahoma"/>
      <family val="2"/>
    </font>
    <font>
      <u/>
      <sz val="11"/>
      <color theme="10"/>
      <name val="Tahoma"/>
      <family val="2"/>
    </font>
    <font>
      <i/>
      <sz val="11"/>
      <color theme="1"/>
      <name val="Tahoma"/>
      <family val="2"/>
    </font>
    <font>
      <b/>
      <sz val="36"/>
      <color theme="1"/>
      <name val="Tahoma"/>
      <family val="2"/>
    </font>
    <font>
      <b/>
      <sz val="18"/>
      <color theme="1"/>
      <name val="Tahoma"/>
      <family val="2"/>
    </font>
    <font>
      <b/>
      <sz val="11"/>
      <color theme="1"/>
      <name val="Tahoma"/>
      <family val="2"/>
    </font>
    <font>
      <sz val="14"/>
      <color theme="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theme="9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34">
    <xf numFmtId="0" fontId="0" fillId="0" borderId="0" xfId="0"/>
    <xf numFmtId="0" fontId="1" fillId="0" borderId="0" xfId="0" applyFont="1"/>
    <xf numFmtId="2" fontId="0" fillId="0" borderId="0" xfId="0" applyNumberFormat="1"/>
    <xf numFmtId="0" fontId="0" fillId="0" borderId="0" xfId="0" applyFill="1"/>
    <xf numFmtId="0" fontId="1" fillId="0" borderId="0" xfId="0" applyFont="1" applyFill="1"/>
    <xf numFmtId="0" fontId="0" fillId="7" borderId="1" xfId="0" applyFill="1" applyBorder="1"/>
    <xf numFmtId="0" fontId="1" fillId="7" borderId="1" xfId="0" applyFont="1" applyFill="1" applyBorder="1"/>
    <xf numFmtId="0" fontId="5" fillId="0" borderId="0" xfId="0" applyFont="1"/>
    <xf numFmtId="0" fontId="5" fillId="5" borderId="0" xfId="0" applyFont="1" applyFill="1"/>
    <xf numFmtId="0" fontId="5" fillId="5" borderId="0" xfId="0" applyFont="1" applyFill="1" applyAlignment="1">
      <alignment horizontal="left" vertical="center" indent="2"/>
    </xf>
    <xf numFmtId="0" fontId="8" fillId="5" borderId="0" xfId="1" applyFont="1" applyFill="1" applyAlignment="1">
      <alignment horizontal="left" vertical="center" indent="2"/>
    </xf>
    <xf numFmtId="0" fontId="5" fillId="5" borderId="0" xfId="0" applyFont="1" applyFill="1" applyAlignment="1">
      <alignment horizontal="center"/>
    </xf>
    <xf numFmtId="0" fontId="5" fillId="0" borderId="0" xfId="0" applyFont="1" applyFill="1"/>
    <xf numFmtId="0" fontId="5" fillId="4" borderId="0" xfId="0" applyFont="1" applyFill="1"/>
    <xf numFmtId="0" fontId="12" fillId="7" borderId="1" xfId="0" applyFont="1" applyFill="1" applyBorder="1"/>
    <xf numFmtId="0" fontId="5" fillId="7" borderId="1" xfId="0" applyFont="1" applyFill="1" applyBorder="1"/>
    <xf numFmtId="3" fontId="5" fillId="7" borderId="1" xfId="0" applyNumberFormat="1" applyFont="1" applyFill="1" applyBorder="1"/>
    <xf numFmtId="9" fontId="5" fillId="0" borderId="0" xfId="0" applyNumberFormat="1" applyFont="1"/>
    <xf numFmtId="0" fontId="12" fillId="0" borderId="0" xfId="0" applyFont="1"/>
    <xf numFmtId="1" fontId="5" fillId="7" borderId="1" xfId="0" applyNumberFormat="1" applyFont="1" applyFill="1" applyBorder="1"/>
    <xf numFmtId="0" fontId="5" fillId="0" borderId="0" xfId="0" applyFont="1" applyFill="1" applyBorder="1"/>
    <xf numFmtId="0" fontId="11" fillId="0" borderId="0" xfId="0" applyFont="1" applyFill="1" applyAlignment="1">
      <alignment horizontal="center" vertical="center" textRotation="90"/>
    </xf>
    <xf numFmtId="0" fontId="12" fillId="3" borderId="1" xfId="0" applyFont="1" applyFill="1" applyBorder="1"/>
    <xf numFmtId="0" fontId="5" fillId="3" borderId="1" xfId="0" applyFont="1" applyFill="1" applyBorder="1"/>
    <xf numFmtId="0" fontId="5" fillId="0" borderId="0" xfId="0" applyFont="1" applyBorder="1"/>
    <xf numFmtId="0" fontId="12" fillId="0" borderId="0" xfId="0" applyFont="1" applyFill="1" applyBorder="1"/>
    <xf numFmtId="0" fontId="5" fillId="0" borderId="0" xfId="0" applyFont="1" applyBorder="1" applyAlignment="1">
      <alignment horizontal="center" vertical="center"/>
    </xf>
    <xf numFmtId="164" fontId="5" fillId="0" borderId="0" xfId="0" applyNumberFormat="1" applyFont="1"/>
    <xf numFmtId="0" fontId="5" fillId="3" borderId="1" xfId="0" applyFont="1" applyFill="1" applyBorder="1" applyAlignment="1">
      <alignment horizontal="center" vertical="center"/>
    </xf>
    <xf numFmtId="0" fontId="5" fillId="6" borderId="1" xfId="0" applyNumberFormat="1" applyFont="1" applyFill="1" applyBorder="1"/>
    <xf numFmtId="0" fontId="5" fillId="3" borderId="1" xfId="0" applyNumberFormat="1" applyFont="1" applyFill="1" applyBorder="1"/>
    <xf numFmtId="2" fontId="5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2" fontId="5" fillId="3" borderId="1" xfId="0" applyNumberFormat="1" applyFont="1" applyFill="1" applyBorder="1"/>
    <xf numFmtId="0" fontId="5" fillId="0" borderId="0" xfId="0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2" fontId="12" fillId="3" borderId="1" xfId="0" applyNumberFormat="1" applyFont="1" applyFill="1" applyBorder="1"/>
    <xf numFmtId="0" fontId="12" fillId="4" borderId="0" xfId="0" applyFont="1" applyFill="1"/>
    <xf numFmtId="0" fontId="12" fillId="0" borderId="0" xfId="0" applyFont="1" applyFill="1"/>
    <xf numFmtId="0" fontId="5" fillId="3" borderId="4" xfId="0" applyFont="1" applyFill="1" applyBorder="1" applyAlignment="1">
      <alignment horizontal="center" vertical="center"/>
    </xf>
    <xf numFmtId="0" fontId="5" fillId="2" borderId="0" xfId="0" applyFont="1" applyFill="1"/>
    <xf numFmtId="0" fontId="12" fillId="2" borderId="0" xfId="0" applyFont="1" applyFill="1"/>
    <xf numFmtId="0" fontId="5" fillId="7" borderId="1" xfId="0" applyNumberFormat="1" applyFont="1" applyFill="1" applyBorder="1"/>
    <xf numFmtId="0" fontId="5" fillId="7" borderId="1" xfId="0" applyFont="1" applyFill="1" applyBorder="1" applyAlignment="1">
      <alignment horizontal="center"/>
    </xf>
    <xf numFmtId="0" fontId="5" fillId="0" borderId="0" xfId="0" applyFont="1" applyFill="1" applyAlignment="1">
      <alignment horizontal="center"/>
    </xf>
    <xf numFmtId="0" fontId="5" fillId="0" borderId="0" xfId="0" applyFont="1" applyAlignment="1">
      <alignment horizontal="left"/>
    </xf>
    <xf numFmtId="3" fontId="5" fillId="0" borderId="0" xfId="0" applyNumberFormat="1" applyFont="1" applyFill="1"/>
    <xf numFmtId="0" fontId="13" fillId="0" borderId="0" xfId="0" applyFont="1" applyAlignment="1">
      <alignment wrapText="1"/>
    </xf>
    <xf numFmtId="0" fontId="13" fillId="5" borderId="0" xfId="0" applyFont="1" applyFill="1" applyAlignment="1">
      <alignment wrapText="1"/>
    </xf>
    <xf numFmtId="0" fontId="13" fillId="4" borderId="0" xfId="0" applyFont="1" applyFill="1" applyAlignment="1">
      <alignment wrapText="1"/>
    </xf>
    <xf numFmtId="0" fontId="6" fillId="4" borderId="0" xfId="0" applyFont="1" applyFill="1" applyAlignment="1">
      <alignment wrapText="1"/>
    </xf>
    <xf numFmtId="0" fontId="6" fillId="4" borderId="0" xfId="0" applyFont="1" applyFill="1" applyAlignment="1">
      <alignment vertical="center" textRotation="90" wrapText="1"/>
    </xf>
    <xf numFmtId="0" fontId="6" fillId="0" borderId="0" xfId="0" applyFont="1" applyAlignment="1">
      <alignment vertical="center" textRotation="90" wrapText="1"/>
    </xf>
    <xf numFmtId="0" fontId="6" fillId="2" borderId="0" xfId="0" applyFont="1" applyFill="1" applyAlignment="1">
      <alignment vertical="center" textRotation="90" wrapText="1"/>
    </xf>
    <xf numFmtId="0" fontId="13" fillId="2" borderId="0" xfId="0" applyFont="1" applyFill="1" applyAlignment="1">
      <alignment wrapText="1"/>
    </xf>
    <xf numFmtId="0" fontId="6" fillId="2" borderId="0" xfId="0" applyFont="1" applyFill="1" applyBorder="1" applyAlignment="1">
      <alignment vertical="center" textRotation="90" wrapText="1"/>
    </xf>
    <xf numFmtId="0" fontId="13" fillId="0" borderId="0" xfId="0" applyFont="1" applyFill="1" applyAlignment="1">
      <alignment wrapText="1"/>
    </xf>
    <xf numFmtId="0" fontId="13" fillId="8" borderId="0" xfId="0" applyFont="1" applyFill="1" applyAlignment="1">
      <alignment wrapText="1"/>
    </xf>
    <xf numFmtId="0" fontId="0" fillId="0" borderId="0" xfId="0" applyNumberFormat="1"/>
    <xf numFmtId="49" fontId="0" fillId="0" borderId="0" xfId="0" applyNumberFormat="1"/>
    <xf numFmtId="165" fontId="1" fillId="0" borderId="0" xfId="0" applyNumberFormat="1" applyFont="1" applyFill="1"/>
    <xf numFmtId="165" fontId="0" fillId="0" borderId="0" xfId="0" applyNumberFormat="1" applyFill="1"/>
    <xf numFmtId="165" fontId="0" fillId="0" borderId="0" xfId="0" applyNumberFormat="1"/>
    <xf numFmtId="165" fontId="1" fillId="0" borderId="0" xfId="0" applyNumberFormat="1" applyFont="1"/>
    <xf numFmtId="49" fontId="0" fillId="0" borderId="0" xfId="0" applyNumberFormat="1" applyFont="1" applyFill="1" applyBorder="1" applyAlignment="1">
      <alignment horizontal="left"/>
    </xf>
    <xf numFmtId="2" fontId="0" fillId="0" borderId="0" xfId="0" applyNumberFormat="1" applyFill="1" applyBorder="1"/>
    <xf numFmtId="49" fontId="0" fillId="0" borderId="0" xfId="0" applyNumberFormat="1" applyFont="1" applyFill="1" applyBorder="1" applyAlignment="1">
      <alignment horizontal="left" vertical="center"/>
    </xf>
    <xf numFmtId="2" fontId="5" fillId="7" borderId="1" xfId="0" applyNumberFormat="1" applyFont="1" applyFill="1" applyBorder="1"/>
    <xf numFmtId="0" fontId="6" fillId="5" borderId="8" xfId="0" applyFont="1" applyFill="1" applyBorder="1" applyAlignment="1">
      <alignment horizontal="center" vertical="center" wrapText="1"/>
    </xf>
    <xf numFmtId="0" fontId="6" fillId="5" borderId="9" xfId="0" applyFont="1" applyFill="1" applyBorder="1" applyAlignment="1">
      <alignment horizontal="center" vertical="center" wrapText="1"/>
    </xf>
    <xf numFmtId="0" fontId="6" fillId="5" borderId="10" xfId="0" applyFont="1" applyFill="1" applyBorder="1" applyAlignment="1">
      <alignment horizontal="center" vertical="center" wrapText="1"/>
    </xf>
    <xf numFmtId="0" fontId="6" fillId="5" borderId="13" xfId="0" applyFont="1" applyFill="1" applyBorder="1" applyAlignment="1">
      <alignment horizontal="center" vertical="center" wrapText="1"/>
    </xf>
    <xf numFmtId="0" fontId="6" fillId="5" borderId="14" xfId="0" applyFont="1" applyFill="1" applyBorder="1" applyAlignment="1">
      <alignment horizontal="center" vertical="center" wrapText="1"/>
    </xf>
    <xf numFmtId="0" fontId="6" fillId="5" borderId="15" xfId="0" applyFont="1" applyFill="1" applyBorder="1" applyAlignment="1">
      <alignment horizontal="center" vertical="center" wrapText="1"/>
    </xf>
    <xf numFmtId="0" fontId="7" fillId="5" borderId="0" xfId="0" applyFont="1" applyFill="1" applyBorder="1" applyAlignment="1">
      <alignment horizontal="center"/>
    </xf>
    <xf numFmtId="0" fontId="10" fillId="8" borderId="8" xfId="0" applyFont="1" applyFill="1" applyBorder="1" applyAlignment="1">
      <alignment horizontal="center" vertical="center"/>
    </xf>
    <xf numFmtId="0" fontId="10" fillId="8" borderId="9" xfId="0" applyFont="1" applyFill="1" applyBorder="1" applyAlignment="1">
      <alignment horizontal="center" vertical="center"/>
    </xf>
    <xf numFmtId="0" fontId="10" fillId="8" borderId="10" xfId="0" applyFont="1" applyFill="1" applyBorder="1" applyAlignment="1">
      <alignment horizontal="center" vertical="center"/>
    </xf>
    <xf numFmtId="0" fontId="10" fillId="8" borderId="11" xfId="0" applyFont="1" applyFill="1" applyBorder="1" applyAlignment="1">
      <alignment horizontal="center" vertical="center"/>
    </xf>
    <xf numFmtId="0" fontId="10" fillId="8" borderId="0" xfId="0" applyFont="1" applyFill="1" applyBorder="1" applyAlignment="1">
      <alignment horizontal="center" vertical="center"/>
    </xf>
    <xf numFmtId="0" fontId="10" fillId="8" borderId="12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14" xfId="0" applyFont="1" applyFill="1" applyBorder="1" applyAlignment="1">
      <alignment horizontal="center" vertical="center"/>
    </xf>
    <xf numFmtId="0" fontId="10" fillId="8" borderId="15" xfId="0" applyFont="1" applyFill="1" applyBorder="1" applyAlignment="1">
      <alignment horizontal="center" vertical="center"/>
    </xf>
    <xf numFmtId="0" fontId="6" fillId="8" borderId="5" xfId="0" applyFont="1" applyFill="1" applyBorder="1" applyAlignment="1">
      <alignment horizontal="center" vertical="center" textRotation="90" wrapText="1"/>
    </xf>
    <xf numFmtId="0" fontId="6" fillId="8" borderId="6" xfId="0" applyFont="1" applyFill="1" applyBorder="1" applyAlignment="1">
      <alignment horizontal="center" vertical="center" textRotation="90" wrapText="1"/>
    </xf>
    <xf numFmtId="0" fontId="6" fillId="8" borderId="7" xfId="0" applyFont="1" applyFill="1" applyBorder="1" applyAlignment="1">
      <alignment horizontal="center" vertical="center" textRotation="90" wrapText="1"/>
    </xf>
    <xf numFmtId="0" fontId="10" fillId="4" borderId="8" xfId="0" applyFont="1" applyFill="1" applyBorder="1" applyAlignment="1">
      <alignment horizontal="center" vertical="center"/>
    </xf>
    <xf numFmtId="0" fontId="10" fillId="4" borderId="9" xfId="0" applyFont="1" applyFill="1" applyBorder="1" applyAlignment="1">
      <alignment horizontal="center" vertical="center"/>
    </xf>
    <xf numFmtId="0" fontId="10" fillId="4" borderId="10" xfId="0" applyFont="1" applyFill="1" applyBorder="1" applyAlignment="1">
      <alignment horizontal="center" vertical="center"/>
    </xf>
    <xf numFmtId="0" fontId="10" fillId="4" borderId="11" xfId="0" applyFont="1" applyFill="1" applyBorder="1" applyAlignment="1">
      <alignment horizontal="center" vertical="center"/>
    </xf>
    <xf numFmtId="0" fontId="10" fillId="4" borderId="0" xfId="0" applyFont="1" applyFill="1" applyBorder="1" applyAlignment="1">
      <alignment horizontal="center" vertical="center"/>
    </xf>
    <xf numFmtId="0" fontId="10" fillId="4" borderId="12" xfId="0" applyFont="1" applyFill="1" applyBorder="1" applyAlignment="1">
      <alignment horizontal="center" vertical="center"/>
    </xf>
    <xf numFmtId="0" fontId="10" fillId="4" borderId="13" xfId="0" applyFont="1" applyFill="1" applyBorder="1" applyAlignment="1">
      <alignment horizontal="center" vertical="center"/>
    </xf>
    <xf numFmtId="0" fontId="10" fillId="4" borderId="14" xfId="0" applyFont="1" applyFill="1" applyBorder="1" applyAlignment="1">
      <alignment horizontal="center" vertical="center"/>
    </xf>
    <xf numFmtId="0" fontId="10" fillId="4" borderId="15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 textRotation="90" wrapText="1"/>
    </xf>
    <xf numFmtId="0" fontId="6" fillId="4" borderId="6" xfId="0" applyFont="1" applyFill="1" applyBorder="1" applyAlignment="1">
      <alignment horizontal="center" vertical="center" textRotation="90" wrapText="1"/>
    </xf>
    <xf numFmtId="0" fontId="6" fillId="4" borderId="7" xfId="0" applyFont="1" applyFill="1" applyBorder="1" applyAlignment="1">
      <alignment horizontal="center" vertical="center" textRotation="90" wrapText="1"/>
    </xf>
    <xf numFmtId="0" fontId="12" fillId="0" borderId="5" xfId="0" applyFont="1" applyFill="1" applyBorder="1" applyAlignment="1">
      <alignment horizontal="center" vertical="center"/>
    </xf>
    <xf numFmtId="0" fontId="12" fillId="0" borderId="6" xfId="0" applyFont="1" applyFill="1" applyBorder="1" applyAlignment="1">
      <alignment horizontal="center" vertical="center"/>
    </xf>
    <xf numFmtId="0" fontId="12" fillId="0" borderId="7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/>
    </xf>
    <xf numFmtId="0" fontId="12" fillId="0" borderId="0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 textRotation="90" wrapText="1"/>
    </xf>
    <xf numFmtId="0" fontId="6" fillId="5" borderId="6" xfId="0" applyFont="1" applyFill="1" applyBorder="1" applyAlignment="1">
      <alignment horizontal="center" vertical="center" textRotation="90" wrapText="1"/>
    </xf>
    <xf numFmtId="0" fontId="6" fillId="5" borderId="7" xfId="0" applyFont="1" applyFill="1" applyBorder="1" applyAlignment="1">
      <alignment horizontal="center" vertical="center" textRotation="90" wrapText="1"/>
    </xf>
    <xf numFmtId="0" fontId="6" fillId="2" borderId="5" xfId="0" applyFont="1" applyFill="1" applyBorder="1" applyAlignment="1">
      <alignment horizontal="center" vertical="center" textRotation="90" wrapText="1"/>
    </xf>
    <xf numFmtId="0" fontId="6" fillId="2" borderId="6" xfId="0" applyFont="1" applyFill="1" applyBorder="1" applyAlignment="1">
      <alignment horizontal="center" vertical="center" textRotation="90" wrapText="1"/>
    </xf>
    <xf numFmtId="0" fontId="6" fillId="2" borderId="7" xfId="0" applyFont="1" applyFill="1" applyBorder="1" applyAlignment="1">
      <alignment horizontal="center" vertical="center" textRotation="90" wrapText="1"/>
    </xf>
    <xf numFmtId="0" fontId="10" fillId="2" borderId="8" xfId="0" applyFont="1" applyFill="1" applyBorder="1" applyAlignment="1">
      <alignment horizontal="center" vertical="center"/>
    </xf>
    <xf numFmtId="0" fontId="10" fillId="2" borderId="9" xfId="0" applyFont="1" applyFill="1" applyBorder="1" applyAlignment="1">
      <alignment horizontal="center" vertical="center"/>
    </xf>
    <xf numFmtId="0" fontId="10" fillId="2" borderId="10" xfId="0" applyFont="1" applyFill="1" applyBorder="1" applyAlignment="1">
      <alignment horizontal="center" vertical="center"/>
    </xf>
    <xf numFmtId="0" fontId="10" fillId="2" borderId="11" xfId="0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/>
    </xf>
    <xf numFmtId="0" fontId="10" fillId="2" borderId="12" xfId="0" applyFont="1" applyFill="1" applyBorder="1" applyAlignment="1">
      <alignment horizontal="center" vertical="center"/>
    </xf>
    <xf numFmtId="0" fontId="10" fillId="2" borderId="13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10" fillId="2" borderId="15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/>
    </xf>
    <xf numFmtId="1" fontId="7" fillId="0" borderId="1" xfId="0" applyNumberFormat="1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10" fillId="5" borderId="8" xfId="0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  <xf numFmtId="0" fontId="10" fillId="5" borderId="10" xfId="0" applyFont="1" applyFill="1" applyBorder="1" applyAlignment="1">
      <alignment horizontal="center" vertical="center"/>
    </xf>
    <xf numFmtId="0" fontId="10" fillId="5" borderId="11" xfId="0" applyFont="1" applyFill="1" applyBorder="1" applyAlignment="1">
      <alignment horizontal="center" vertical="center"/>
    </xf>
    <xf numFmtId="0" fontId="10" fillId="5" borderId="0" xfId="0" applyFont="1" applyFill="1" applyBorder="1" applyAlignment="1">
      <alignment horizontal="center" vertical="center"/>
    </xf>
    <xf numFmtId="0" fontId="10" fillId="5" borderId="12" xfId="0" applyFont="1" applyFill="1" applyBorder="1" applyAlignment="1">
      <alignment horizontal="center" vertical="center"/>
    </xf>
    <xf numFmtId="0" fontId="10" fillId="5" borderId="13" xfId="0" applyFont="1" applyFill="1" applyBorder="1" applyAlignment="1">
      <alignment horizontal="center" vertical="center"/>
    </xf>
    <xf numFmtId="0" fontId="10" fillId="5" borderId="14" xfId="0" applyFont="1" applyFill="1" applyBorder="1" applyAlignment="1">
      <alignment horizontal="center" vertical="center"/>
    </xf>
    <xf numFmtId="0" fontId="10" fillId="5" borderId="15" xfId="0" applyFont="1" applyFill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523875</xdr:colOff>
          <xdr:row>2</xdr:row>
          <xdr:rowOff>200025</xdr:rowOff>
        </xdr:from>
        <xdr:to>
          <xdr:col>18</xdr:col>
          <xdr:colOff>476250</xdr:colOff>
          <xdr:row>8</xdr:row>
          <xdr:rowOff>504825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s-ES" sz="3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CSV Files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s://climate.ec.europa.eu/eu-action/eu-funding-climate-action/innovation-fund/calls-proposals/if23-auction-renewable-hydrogen-production_en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ieabioenergy.com/blog/publications/new-publication-advanced-biofuels-potential-for-cost-reduction/" TargetMode="External"/><Relationship Id="rId1" Type="http://schemas.openxmlformats.org/officeDocument/2006/relationships/hyperlink" Target="https://doi.org/10.1038/s41560-024-01531-9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consilium.europa.eu/en/infographics/fit-for-55-energy-taxation/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8858B-14C1-4FD9-A3BC-89DB03ED794B}">
  <sheetPr codeName="Hoja1"/>
  <dimension ref="A3:AL388"/>
  <sheetViews>
    <sheetView tabSelected="1" topLeftCell="A196" zoomScale="70" zoomScaleNormal="70" workbookViewId="0">
      <selection activeCell="I223" sqref="I223"/>
    </sheetView>
  </sheetViews>
  <sheetFormatPr baseColWidth="10" defaultRowHeight="18" x14ac:dyDescent="0.25"/>
  <cols>
    <col min="1" max="1" width="12" style="7" bestFit="1" customWidth="1"/>
    <col min="2" max="2" width="20.7109375" style="47" customWidth="1"/>
    <col min="3" max="3" width="11.42578125" style="7"/>
    <col min="4" max="4" width="29.5703125" style="7" customWidth="1"/>
    <col min="5" max="5" width="19.85546875" style="7" customWidth="1"/>
    <col min="6" max="6" width="12" style="7" bestFit="1" customWidth="1"/>
    <col min="7" max="7" width="11.42578125" style="7"/>
    <col min="8" max="8" width="27" style="7" customWidth="1"/>
    <col min="9" max="9" width="31.140625" style="7" customWidth="1"/>
    <col min="10" max="10" width="11.85546875" style="7" bestFit="1" customWidth="1"/>
    <col min="11" max="11" width="25.28515625" style="7" customWidth="1"/>
    <col min="12" max="12" width="24.5703125" style="7" customWidth="1"/>
    <col min="13" max="13" width="11.42578125" style="7"/>
    <col min="14" max="14" width="21.5703125" style="7" customWidth="1"/>
    <col min="15" max="17" width="11.42578125" style="7"/>
    <col min="18" max="18" width="23.140625" style="7" customWidth="1"/>
    <col min="19" max="24" width="11.42578125" style="7"/>
    <col min="25" max="25" width="22.28515625" style="7" customWidth="1"/>
    <col min="26" max="16384" width="11.42578125" style="7"/>
  </cols>
  <sheetData>
    <row r="3" spans="2:36" ht="18.75" thickBot="1" x14ac:dyDescent="0.3">
      <c r="B3" s="4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</row>
    <row r="4" spans="2:36" ht="15" customHeight="1" x14ac:dyDescent="0.25">
      <c r="B4" s="48"/>
      <c r="C4" s="68" t="s">
        <v>166</v>
      </c>
      <c r="D4" s="69"/>
      <c r="E4" s="69"/>
      <c r="F4" s="69"/>
      <c r="G4" s="69"/>
      <c r="H4" s="69"/>
      <c r="I4" s="69"/>
      <c r="J4" s="69"/>
      <c r="K4" s="69"/>
      <c r="L4" s="70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</row>
    <row r="5" spans="2:36" ht="48.75" customHeight="1" thickBot="1" x14ac:dyDescent="0.3">
      <c r="B5" s="48"/>
      <c r="C5" s="71"/>
      <c r="D5" s="72"/>
      <c r="E5" s="72"/>
      <c r="F5" s="72"/>
      <c r="G5" s="72"/>
      <c r="H5" s="72"/>
      <c r="I5" s="72"/>
      <c r="J5" s="72"/>
      <c r="K5" s="72"/>
      <c r="L5" s="73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</row>
    <row r="6" spans="2:36" x14ac:dyDescent="0.25">
      <c r="B6" s="4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</row>
    <row r="7" spans="2:36" ht="18.75" thickBot="1" x14ac:dyDescent="0.3">
      <c r="B7" s="4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</row>
    <row r="8" spans="2:36" ht="15" customHeight="1" x14ac:dyDescent="0.25">
      <c r="B8" s="48"/>
      <c r="C8" s="68" t="s">
        <v>167</v>
      </c>
      <c r="D8" s="69"/>
      <c r="E8" s="69"/>
      <c r="F8" s="69"/>
      <c r="G8" s="69"/>
      <c r="H8" s="69"/>
      <c r="I8" s="69"/>
      <c r="J8" s="69"/>
      <c r="K8" s="69"/>
      <c r="L8" s="70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</row>
    <row r="9" spans="2:36" ht="47.25" customHeight="1" thickBot="1" x14ac:dyDescent="0.3">
      <c r="B9" s="48"/>
      <c r="C9" s="71"/>
      <c r="D9" s="72"/>
      <c r="E9" s="72"/>
      <c r="F9" s="72"/>
      <c r="G9" s="72"/>
      <c r="H9" s="72"/>
      <c r="I9" s="72"/>
      <c r="J9" s="72"/>
      <c r="K9" s="72"/>
      <c r="L9" s="73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</row>
    <row r="10" spans="2:36" x14ac:dyDescent="0.25">
      <c r="B10" s="4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</row>
    <row r="11" spans="2:36" ht="19.5" x14ac:dyDescent="0.25">
      <c r="B11" s="74" t="s">
        <v>168</v>
      </c>
      <c r="C11" s="74"/>
      <c r="D11" s="74"/>
      <c r="E11" s="74"/>
      <c r="F11" s="74"/>
      <c r="G11" s="74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</row>
    <row r="12" spans="2:36" x14ac:dyDescent="0.25">
      <c r="B12" s="4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</row>
    <row r="13" spans="2:36" x14ac:dyDescent="0.25">
      <c r="B13" s="48">
        <v>1</v>
      </c>
      <c r="C13" s="9" t="s">
        <v>89</v>
      </c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</row>
    <row r="14" spans="2:36" x14ac:dyDescent="0.25">
      <c r="B14" s="48">
        <v>2</v>
      </c>
      <c r="C14" s="9" t="s">
        <v>96</v>
      </c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</row>
    <row r="15" spans="2:36" x14ac:dyDescent="0.25">
      <c r="B15" s="48">
        <v>3</v>
      </c>
      <c r="C15" s="10" t="s">
        <v>106</v>
      </c>
      <c r="D15" s="8"/>
      <c r="E15" s="8"/>
      <c r="F15" s="8"/>
      <c r="G15" s="11"/>
      <c r="H15" s="11"/>
      <c r="I15" s="11"/>
      <c r="J15" s="11"/>
      <c r="K15" s="11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</row>
    <row r="16" spans="2:36" x14ac:dyDescent="0.25">
      <c r="B16" s="48">
        <v>4</v>
      </c>
      <c r="C16" s="9" t="s">
        <v>169</v>
      </c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</row>
    <row r="17" spans="1:36" x14ac:dyDescent="0.25">
      <c r="B17" s="48">
        <v>5</v>
      </c>
      <c r="C17" s="10" t="s">
        <v>107</v>
      </c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</row>
    <row r="18" spans="1:36" x14ac:dyDescent="0.25">
      <c r="B18" s="48">
        <v>6</v>
      </c>
      <c r="C18" s="9" t="s">
        <v>170</v>
      </c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</row>
    <row r="19" spans="1:36" x14ac:dyDescent="0.25">
      <c r="B19" s="48">
        <v>7</v>
      </c>
      <c r="C19" s="10" t="s">
        <v>108</v>
      </c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</row>
    <row r="20" spans="1:36" s="12" customFormat="1" x14ac:dyDescent="0.25">
      <c r="A20" s="7"/>
      <c r="B20" s="48">
        <v>8</v>
      </c>
      <c r="C20" s="10" t="s">
        <v>113</v>
      </c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</row>
    <row r="21" spans="1:36" s="12" customFormat="1" x14ac:dyDescent="0.25">
      <c r="A21" s="7"/>
      <c r="B21" s="48">
        <v>9</v>
      </c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</row>
    <row r="22" spans="1:36" s="12" customFormat="1" x14ac:dyDescent="0.25">
      <c r="A22" s="7"/>
      <c r="B22" s="48">
        <v>10</v>
      </c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</row>
    <row r="23" spans="1:36" s="12" customFormat="1" ht="18.75" thickBot="1" x14ac:dyDescent="0.3">
      <c r="A23" s="7"/>
      <c r="B23" s="4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</row>
    <row r="24" spans="1:36" s="12" customFormat="1" ht="15" customHeight="1" x14ac:dyDescent="0.2">
      <c r="A24" s="7"/>
      <c r="B24" s="87" t="s">
        <v>88</v>
      </c>
      <c r="C24" s="88"/>
      <c r="D24" s="88"/>
      <c r="E24" s="88"/>
      <c r="F24" s="88"/>
      <c r="G24" s="88"/>
      <c r="H24" s="88"/>
      <c r="I24" s="88"/>
      <c r="J24" s="88"/>
      <c r="K24" s="88"/>
      <c r="L24" s="88"/>
      <c r="M24" s="88"/>
      <c r="N24" s="88"/>
      <c r="O24" s="88"/>
      <c r="P24" s="88"/>
      <c r="Q24" s="88"/>
      <c r="R24" s="88"/>
      <c r="S24" s="88"/>
      <c r="T24" s="88"/>
      <c r="U24" s="88"/>
      <c r="V24" s="88"/>
      <c r="W24" s="88"/>
      <c r="X24" s="88"/>
      <c r="Y24" s="88"/>
      <c r="Z24" s="88"/>
      <c r="AA24" s="88"/>
      <c r="AB24" s="88"/>
      <c r="AC24" s="88"/>
      <c r="AD24" s="88"/>
      <c r="AE24" s="88"/>
      <c r="AF24" s="88"/>
      <c r="AG24" s="88"/>
      <c r="AH24" s="88"/>
      <c r="AI24" s="88"/>
      <c r="AJ24" s="89"/>
    </row>
    <row r="25" spans="1:36" s="12" customFormat="1" ht="15" customHeight="1" x14ac:dyDescent="0.2">
      <c r="A25" s="7"/>
      <c r="B25" s="90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91"/>
      <c r="S25" s="91"/>
      <c r="T25" s="91"/>
      <c r="U25" s="91"/>
      <c r="V25" s="91"/>
      <c r="W25" s="91"/>
      <c r="X25" s="91"/>
      <c r="Y25" s="91"/>
      <c r="Z25" s="91"/>
      <c r="AA25" s="91"/>
      <c r="AB25" s="91"/>
      <c r="AC25" s="91"/>
      <c r="AD25" s="91"/>
      <c r="AE25" s="91"/>
      <c r="AF25" s="91"/>
      <c r="AG25" s="91"/>
      <c r="AH25" s="91"/>
      <c r="AI25" s="91"/>
      <c r="AJ25" s="92"/>
    </row>
    <row r="26" spans="1:36" s="12" customFormat="1" ht="15" customHeight="1" thickBot="1" x14ac:dyDescent="0.25">
      <c r="A26" s="7"/>
      <c r="B26" s="93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  <c r="R26" s="94"/>
      <c r="S26" s="94"/>
      <c r="T26" s="94"/>
      <c r="U26" s="94"/>
      <c r="V26" s="94"/>
      <c r="W26" s="94"/>
      <c r="X26" s="94"/>
      <c r="Y26" s="94"/>
      <c r="Z26" s="94"/>
      <c r="AA26" s="94"/>
      <c r="AB26" s="94"/>
      <c r="AC26" s="94"/>
      <c r="AD26" s="94"/>
      <c r="AE26" s="94"/>
      <c r="AF26" s="94"/>
      <c r="AG26" s="94"/>
      <c r="AH26" s="94"/>
      <c r="AI26" s="94"/>
      <c r="AJ26" s="95"/>
    </row>
    <row r="27" spans="1:36" s="12" customFormat="1" x14ac:dyDescent="0.25">
      <c r="A27" s="7"/>
      <c r="B27" s="49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13"/>
      <c r="AJ27" s="13"/>
    </row>
    <row r="28" spans="1:36" s="12" customFormat="1" ht="18.75" thickBot="1" x14ac:dyDescent="0.3">
      <c r="A28" s="7"/>
      <c r="B28" s="49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13"/>
      <c r="AJ28" s="13"/>
    </row>
    <row r="29" spans="1:36" s="12" customFormat="1" ht="15" customHeight="1" x14ac:dyDescent="0.2">
      <c r="A29" s="7"/>
      <c r="B29" s="96" t="s">
        <v>147</v>
      </c>
      <c r="D29" s="14" t="s">
        <v>1</v>
      </c>
      <c r="E29" s="14" t="s">
        <v>133</v>
      </c>
      <c r="F29" s="14" t="s">
        <v>134</v>
      </c>
      <c r="G29" s="14" t="s">
        <v>135</v>
      </c>
      <c r="H29" s="14" t="s">
        <v>136</v>
      </c>
      <c r="I29" s="14" t="s">
        <v>137</v>
      </c>
      <c r="J29" s="14" t="s">
        <v>138</v>
      </c>
      <c r="K29" s="14" t="s">
        <v>139</v>
      </c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13"/>
      <c r="AJ29" s="13"/>
    </row>
    <row r="30" spans="1:36" s="12" customFormat="1" ht="14.25" x14ac:dyDescent="0.2">
      <c r="A30" s="7"/>
      <c r="B30" s="97"/>
      <c r="D30" s="15">
        <v>0</v>
      </c>
      <c r="E30" s="15">
        <v>4800</v>
      </c>
      <c r="F30" s="15" t="s">
        <v>129</v>
      </c>
      <c r="G30" s="15" t="s">
        <v>140</v>
      </c>
      <c r="H30" s="15">
        <v>170</v>
      </c>
      <c r="I30" s="15">
        <v>116000</v>
      </c>
      <c r="J30" s="15">
        <v>350</v>
      </c>
      <c r="K30" s="15">
        <v>11</v>
      </c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13"/>
      <c r="AJ30" s="13"/>
    </row>
    <row r="31" spans="1:36" s="12" customFormat="1" ht="14.25" x14ac:dyDescent="0.2">
      <c r="A31" s="7"/>
      <c r="B31" s="97"/>
      <c r="D31" s="15">
        <v>1</v>
      </c>
      <c r="E31" s="15">
        <v>4800</v>
      </c>
      <c r="F31" s="15">
        <v>10</v>
      </c>
      <c r="G31" s="15" t="s">
        <v>141</v>
      </c>
      <c r="H31" s="15">
        <v>170</v>
      </c>
      <c r="I31" s="15">
        <v>116000</v>
      </c>
      <c r="J31" s="15">
        <v>350</v>
      </c>
      <c r="K31" s="15">
        <v>11</v>
      </c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13"/>
      <c r="AJ31" s="13"/>
    </row>
    <row r="32" spans="1:36" s="12" customFormat="1" ht="14.25" x14ac:dyDescent="0.2">
      <c r="A32" s="7"/>
      <c r="B32" s="97"/>
      <c r="D32" s="15">
        <v>2</v>
      </c>
      <c r="E32" s="15">
        <v>4800</v>
      </c>
      <c r="F32" s="15">
        <v>12</v>
      </c>
      <c r="G32" s="15" t="s">
        <v>142</v>
      </c>
      <c r="H32" s="15">
        <v>170</v>
      </c>
      <c r="I32" s="15">
        <v>116000</v>
      </c>
      <c r="J32" s="15">
        <v>350</v>
      </c>
      <c r="K32" s="15">
        <v>11</v>
      </c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13"/>
      <c r="AJ32" s="13"/>
    </row>
    <row r="33" spans="1:36" s="12" customFormat="1" ht="14.25" x14ac:dyDescent="0.2">
      <c r="A33" s="7"/>
      <c r="B33" s="97"/>
      <c r="D33" s="15">
        <v>3</v>
      </c>
      <c r="E33" s="15">
        <v>4800</v>
      </c>
      <c r="F33" s="15">
        <v>16</v>
      </c>
      <c r="G33" s="15" t="s">
        <v>143</v>
      </c>
      <c r="H33" s="15">
        <v>220</v>
      </c>
      <c r="I33" s="15">
        <v>116000</v>
      </c>
      <c r="J33" s="15">
        <v>350</v>
      </c>
      <c r="K33" s="15">
        <v>11</v>
      </c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13"/>
      <c r="AJ33" s="13"/>
    </row>
    <row r="34" spans="1:36" s="12" customFormat="1" ht="14.25" x14ac:dyDescent="0.2">
      <c r="A34" s="7"/>
      <c r="B34" s="97"/>
      <c r="D34" s="15" t="s">
        <v>13</v>
      </c>
      <c r="E34" s="15">
        <v>8229</v>
      </c>
      <c r="F34" s="15">
        <v>40</v>
      </c>
      <c r="G34" s="16">
        <v>31771</v>
      </c>
      <c r="H34" s="15">
        <v>170</v>
      </c>
      <c r="I34" s="15">
        <v>116000</v>
      </c>
      <c r="J34" s="15">
        <v>350</v>
      </c>
      <c r="K34" s="15">
        <v>11</v>
      </c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13"/>
      <c r="AJ34" s="13"/>
    </row>
    <row r="35" spans="1:36" s="12" customFormat="1" ht="14.25" x14ac:dyDescent="0.2">
      <c r="A35" s="7"/>
      <c r="B35" s="97"/>
      <c r="D35" s="15" t="s">
        <v>14</v>
      </c>
      <c r="E35" s="15">
        <v>8229</v>
      </c>
      <c r="F35" s="15">
        <v>40</v>
      </c>
      <c r="G35" s="16">
        <v>31771</v>
      </c>
      <c r="H35" s="15">
        <v>220</v>
      </c>
      <c r="I35" s="15">
        <v>116000</v>
      </c>
      <c r="J35" s="15">
        <v>350</v>
      </c>
      <c r="K35" s="15">
        <v>11</v>
      </c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13"/>
      <c r="AJ35" s="13"/>
    </row>
    <row r="36" spans="1:36" s="12" customFormat="1" ht="14.25" x14ac:dyDescent="0.2">
      <c r="A36" s="7"/>
      <c r="B36" s="97"/>
      <c r="D36" s="15" t="s">
        <v>15</v>
      </c>
      <c r="E36" s="15">
        <v>8229</v>
      </c>
      <c r="F36" s="15">
        <v>40</v>
      </c>
      <c r="G36" s="16">
        <v>31771</v>
      </c>
      <c r="H36" s="15">
        <v>325</v>
      </c>
      <c r="I36" s="15">
        <v>116000</v>
      </c>
      <c r="J36" s="15">
        <v>350</v>
      </c>
      <c r="K36" s="15">
        <v>11</v>
      </c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13"/>
      <c r="AJ36" s="13"/>
    </row>
    <row r="37" spans="1:36" s="12" customFormat="1" ht="14.25" x14ac:dyDescent="0.2">
      <c r="A37" s="7"/>
      <c r="B37" s="97"/>
      <c r="D37" s="15" t="s">
        <v>16</v>
      </c>
      <c r="E37" s="15">
        <v>8229</v>
      </c>
      <c r="F37" s="15">
        <v>40</v>
      </c>
      <c r="G37" s="16">
        <v>31771</v>
      </c>
      <c r="H37" s="15">
        <v>220</v>
      </c>
      <c r="I37" s="15">
        <v>116000</v>
      </c>
      <c r="J37" s="15">
        <v>350</v>
      </c>
      <c r="K37" s="15">
        <v>11</v>
      </c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13"/>
      <c r="AJ37" s="13"/>
    </row>
    <row r="38" spans="1:36" s="12" customFormat="1" ht="14.25" x14ac:dyDescent="0.2">
      <c r="A38" s="7"/>
      <c r="B38" s="97"/>
      <c r="D38" s="15" t="s">
        <v>17</v>
      </c>
      <c r="E38" s="15">
        <v>8229</v>
      </c>
      <c r="F38" s="15">
        <v>40</v>
      </c>
      <c r="G38" s="16">
        <v>31771</v>
      </c>
      <c r="H38" s="15">
        <v>325</v>
      </c>
      <c r="I38" s="15">
        <v>116000</v>
      </c>
      <c r="J38" s="15">
        <v>350</v>
      </c>
      <c r="K38" s="15">
        <v>11</v>
      </c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13"/>
      <c r="AJ38" s="13"/>
    </row>
    <row r="39" spans="1:36" s="12" customFormat="1" ht="14.25" x14ac:dyDescent="0.2">
      <c r="A39" s="7"/>
      <c r="B39" s="97"/>
      <c r="D39" s="15" t="s">
        <v>18</v>
      </c>
      <c r="E39" s="15">
        <v>9300</v>
      </c>
      <c r="F39" s="15">
        <v>40</v>
      </c>
      <c r="G39" s="15" t="s">
        <v>144</v>
      </c>
      <c r="H39" s="15">
        <v>325</v>
      </c>
      <c r="I39" s="15">
        <v>116000</v>
      </c>
      <c r="J39" s="15">
        <v>350</v>
      </c>
      <c r="K39" s="15">
        <v>11</v>
      </c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13"/>
      <c r="AJ39" s="13"/>
    </row>
    <row r="40" spans="1:36" s="12" customFormat="1" ht="14.25" x14ac:dyDescent="0.2">
      <c r="A40" s="7"/>
      <c r="B40" s="97"/>
      <c r="D40" s="15" t="s">
        <v>19</v>
      </c>
      <c r="E40" s="15">
        <v>9300</v>
      </c>
      <c r="F40" s="15">
        <v>40</v>
      </c>
      <c r="G40" s="15" t="s">
        <v>144</v>
      </c>
      <c r="H40" s="15">
        <v>325</v>
      </c>
      <c r="I40" s="15">
        <v>116000</v>
      </c>
      <c r="J40" s="15">
        <v>350</v>
      </c>
      <c r="K40" s="15">
        <v>11</v>
      </c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13"/>
      <c r="AJ40" s="13"/>
    </row>
    <row r="41" spans="1:36" s="12" customFormat="1" ht="14.25" x14ac:dyDescent="0.2">
      <c r="A41" s="7"/>
      <c r="B41" s="97"/>
      <c r="D41" s="15" t="s">
        <v>20</v>
      </c>
      <c r="E41" s="15">
        <v>9300</v>
      </c>
      <c r="F41" s="15">
        <v>40</v>
      </c>
      <c r="G41" s="15" t="s">
        <v>144</v>
      </c>
      <c r="H41" s="15">
        <v>325</v>
      </c>
      <c r="I41" s="15">
        <v>116000</v>
      </c>
      <c r="J41" s="15">
        <v>350</v>
      </c>
      <c r="K41" s="15">
        <v>11</v>
      </c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13"/>
      <c r="AJ41" s="13"/>
    </row>
    <row r="42" spans="1:36" s="12" customFormat="1" ht="14.25" x14ac:dyDescent="0.2">
      <c r="A42" s="7"/>
      <c r="B42" s="97"/>
      <c r="D42" s="15" t="s">
        <v>21</v>
      </c>
      <c r="E42" s="15">
        <v>9300</v>
      </c>
      <c r="F42" s="15">
        <v>40</v>
      </c>
      <c r="G42" s="15" t="s">
        <v>144</v>
      </c>
      <c r="H42" s="15">
        <v>325</v>
      </c>
      <c r="I42" s="15">
        <v>116000</v>
      </c>
      <c r="J42" s="15">
        <v>350</v>
      </c>
      <c r="K42" s="15">
        <v>11</v>
      </c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13"/>
      <c r="AJ42" s="13"/>
    </row>
    <row r="43" spans="1:36" s="12" customFormat="1" ht="14.25" x14ac:dyDescent="0.2">
      <c r="A43" s="7"/>
      <c r="B43" s="97"/>
      <c r="D43" s="15">
        <v>11</v>
      </c>
      <c r="E43" s="15">
        <v>9600</v>
      </c>
      <c r="F43" s="15">
        <v>40</v>
      </c>
      <c r="G43" s="15" t="s">
        <v>145</v>
      </c>
      <c r="H43" s="15">
        <v>325</v>
      </c>
      <c r="I43" s="15">
        <v>116000</v>
      </c>
      <c r="J43" s="15">
        <v>350</v>
      </c>
      <c r="K43" s="15">
        <v>11</v>
      </c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13"/>
      <c r="AJ43" s="13"/>
    </row>
    <row r="44" spans="1:36" s="12" customFormat="1" ht="14.25" x14ac:dyDescent="0.2">
      <c r="A44" s="7"/>
      <c r="B44" s="97"/>
      <c r="D44" s="15">
        <v>12</v>
      </c>
      <c r="E44" s="15">
        <v>9600</v>
      </c>
      <c r="F44" s="15">
        <v>40</v>
      </c>
      <c r="G44" s="15" t="s">
        <v>145</v>
      </c>
      <c r="H44" s="15">
        <v>325</v>
      </c>
      <c r="I44" s="15">
        <v>116000</v>
      </c>
      <c r="J44" s="15">
        <v>350</v>
      </c>
      <c r="K44" s="15">
        <v>11</v>
      </c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13"/>
      <c r="AJ44" s="13"/>
    </row>
    <row r="45" spans="1:36" s="12" customFormat="1" ht="14.25" x14ac:dyDescent="0.2">
      <c r="A45" s="7"/>
      <c r="B45" s="97"/>
      <c r="D45" s="15">
        <v>16</v>
      </c>
      <c r="E45" s="15">
        <v>11200</v>
      </c>
      <c r="F45" s="15">
        <v>40</v>
      </c>
      <c r="G45" s="15" t="s">
        <v>146</v>
      </c>
      <c r="H45" s="15">
        <v>325</v>
      </c>
      <c r="I45" s="15">
        <v>116000</v>
      </c>
      <c r="J45" s="15">
        <v>350</v>
      </c>
      <c r="K45" s="15">
        <v>11</v>
      </c>
      <c r="L45" s="7"/>
      <c r="M45" s="7" t="s">
        <v>27</v>
      </c>
      <c r="N45" s="17">
        <v>0.1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13"/>
      <c r="AJ45" s="13"/>
    </row>
    <row r="46" spans="1:36" s="12" customFormat="1" ht="15" thickBot="1" x14ac:dyDescent="0.25">
      <c r="A46" s="7"/>
      <c r="B46" s="98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13"/>
      <c r="AJ46" s="13"/>
    </row>
    <row r="47" spans="1:36" s="12" customFormat="1" x14ac:dyDescent="0.25">
      <c r="A47" s="7"/>
      <c r="B47" s="49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13"/>
      <c r="AJ47" s="13"/>
    </row>
    <row r="48" spans="1:36" s="12" customFormat="1" ht="18.75" thickBot="1" x14ac:dyDescent="0.3">
      <c r="A48" s="7"/>
      <c r="B48" s="49"/>
      <c r="D48" s="14" t="s">
        <v>1</v>
      </c>
      <c r="E48" s="14" t="s">
        <v>2</v>
      </c>
      <c r="F48" s="14" t="s">
        <v>132</v>
      </c>
      <c r="G48" s="14" t="s">
        <v>29</v>
      </c>
      <c r="H48" s="14" t="s">
        <v>132</v>
      </c>
      <c r="I48" s="14" t="s">
        <v>29</v>
      </c>
      <c r="J48" s="14" t="s">
        <v>132</v>
      </c>
      <c r="K48" s="14" t="s">
        <v>29</v>
      </c>
      <c r="L48" s="18"/>
      <c r="M48" s="14" t="s">
        <v>1</v>
      </c>
      <c r="N48" s="14" t="s">
        <v>2</v>
      </c>
      <c r="O48" s="14" t="s">
        <v>132</v>
      </c>
      <c r="P48" s="14" t="s">
        <v>29</v>
      </c>
      <c r="Q48" s="14" t="s">
        <v>132</v>
      </c>
      <c r="R48" s="14" t="s">
        <v>29</v>
      </c>
      <c r="S48" s="14" t="s">
        <v>132</v>
      </c>
      <c r="T48" s="14" t="s">
        <v>29</v>
      </c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13"/>
      <c r="AJ48" s="13"/>
    </row>
    <row r="49" spans="2:36" ht="14.25" x14ac:dyDescent="0.2">
      <c r="B49" s="96" t="s">
        <v>131</v>
      </c>
      <c r="D49" s="15" t="s">
        <v>7</v>
      </c>
      <c r="E49" s="19">
        <v>2022</v>
      </c>
      <c r="F49" s="19" t="s">
        <v>6</v>
      </c>
      <c r="G49" s="67">
        <v>49900</v>
      </c>
      <c r="H49" s="19" t="s">
        <v>25</v>
      </c>
      <c r="I49" s="67">
        <f t="shared" ref="I49:I64" si="0">G49*(1+$N$45)</f>
        <v>54890.000000000007</v>
      </c>
      <c r="J49" s="19" t="s">
        <v>26</v>
      </c>
      <c r="K49" s="67">
        <f>I49</f>
        <v>54890.000000000007</v>
      </c>
      <c r="L49" s="20"/>
      <c r="M49" s="15" t="s">
        <v>7</v>
      </c>
      <c r="N49" s="15">
        <v>2040</v>
      </c>
      <c r="O49" s="15" t="s">
        <v>6</v>
      </c>
      <c r="P49" s="15">
        <v>49900</v>
      </c>
      <c r="Q49" s="15" t="s">
        <v>25</v>
      </c>
      <c r="R49" s="19">
        <f t="shared" ref="R49:R64" si="1">P49*(1+$N$45)</f>
        <v>54890.000000000007</v>
      </c>
      <c r="S49" s="19" t="s">
        <v>26</v>
      </c>
      <c r="T49" s="19">
        <f t="shared" ref="T49:T64" si="2">R49</f>
        <v>54890.000000000007</v>
      </c>
      <c r="AI49" s="13"/>
      <c r="AJ49" s="13"/>
    </row>
    <row r="50" spans="2:36" ht="14.25" x14ac:dyDescent="0.2">
      <c r="B50" s="97"/>
      <c r="D50" s="15" t="s">
        <v>10</v>
      </c>
      <c r="E50" s="19">
        <v>2022</v>
      </c>
      <c r="F50" s="19" t="s">
        <v>6</v>
      </c>
      <c r="G50" s="67">
        <v>49900</v>
      </c>
      <c r="H50" s="19" t="s">
        <v>25</v>
      </c>
      <c r="I50" s="67">
        <f t="shared" si="0"/>
        <v>54890.000000000007</v>
      </c>
      <c r="J50" s="19" t="s">
        <v>26</v>
      </c>
      <c r="K50" s="67">
        <f t="shared" ref="K50:K64" si="3">I50</f>
        <v>54890.000000000007</v>
      </c>
      <c r="L50" s="20"/>
      <c r="M50" s="15" t="s">
        <v>10</v>
      </c>
      <c r="N50" s="15">
        <v>2040</v>
      </c>
      <c r="O50" s="15" t="s">
        <v>6</v>
      </c>
      <c r="P50" s="15">
        <v>49900</v>
      </c>
      <c r="Q50" s="15" t="s">
        <v>25</v>
      </c>
      <c r="R50" s="19">
        <f t="shared" si="1"/>
        <v>54890.000000000007</v>
      </c>
      <c r="S50" s="19" t="s">
        <v>26</v>
      </c>
      <c r="T50" s="19">
        <f t="shared" si="2"/>
        <v>54890.000000000007</v>
      </c>
      <c r="AI50" s="13"/>
      <c r="AJ50" s="13"/>
    </row>
    <row r="51" spans="2:36" ht="14.25" x14ac:dyDescent="0.2">
      <c r="B51" s="97"/>
      <c r="D51" s="15" t="s">
        <v>11</v>
      </c>
      <c r="E51" s="19">
        <v>2022</v>
      </c>
      <c r="F51" s="19" t="s">
        <v>6</v>
      </c>
      <c r="G51" s="67">
        <v>72572</v>
      </c>
      <c r="H51" s="19" t="s">
        <v>25</v>
      </c>
      <c r="I51" s="67">
        <f t="shared" si="0"/>
        <v>79829.200000000012</v>
      </c>
      <c r="J51" s="19" t="s">
        <v>26</v>
      </c>
      <c r="K51" s="67">
        <f t="shared" si="3"/>
        <v>79829.200000000012</v>
      </c>
      <c r="L51" s="20"/>
      <c r="M51" s="15" t="s">
        <v>11</v>
      </c>
      <c r="N51" s="15">
        <v>2040</v>
      </c>
      <c r="O51" s="15" t="s">
        <v>6</v>
      </c>
      <c r="P51" s="15">
        <v>72572</v>
      </c>
      <c r="Q51" s="15" t="s">
        <v>25</v>
      </c>
      <c r="R51" s="19">
        <f t="shared" si="1"/>
        <v>79829.200000000012</v>
      </c>
      <c r="S51" s="19" t="s">
        <v>26</v>
      </c>
      <c r="T51" s="19">
        <f t="shared" si="2"/>
        <v>79829.200000000012</v>
      </c>
      <c r="AI51" s="13"/>
      <c r="AJ51" s="13"/>
    </row>
    <row r="52" spans="2:36" ht="14.25" x14ac:dyDescent="0.2">
      <c r="B52" s="97"/>
      <c r="D52" s="15" t="s">
        <v>12</v>
      </c>
      <c r="E52" s="19">
        <v>2022</v>
      </c>
      <c r="F52" s="19" t="s">
        <v>6</v>
      </c>
      <c r="G52" s="67">
        <v>78155</v>
      </c>
      <c r="H52" s="19" t="s">
        <v>25</v>
      </c>
      <c r="I52" s="67">
        <f t="shared" si="0"/>
        <v>85970.5</v>
      </c>
      <c r="J52" s="19" t="s">
        <v>26</v>
      </c>
      <c r="K52" s="67">
        <f t="shared" si="3"/>
        <v>85970.5</v>
      </c>
      <c r="L52" s="20"/>
      <c r="M52" s="15" t="s">
        <v>12</v>
      </c>
      <c r="N52" s="15">
        <v>2040</v>
      </c>
      <c r="O52" s="15" t="s">
        <v>6</v>
      </c>
      <c r="P52" s="15">
        <v>78155</v>
      </c>
      <c r="Q52" s="15" t="s">
        <v>25</v>
      </c>
      <c r="R52" s="19">
        <f t="shared" si="1"/>
        <v>85970.5</v>
      </c>
      <c r="S52" s="19" t="s">
        <v>26</v>
      </c>
      <c r="T52" s="19">
        <f t="shared" si="2"/>
        <v>85970.5</v>
      </c>
      <c r="AI52" s="13"/>
      <c r="AJ52" s="13"/>
    </row>
    <row r="53" spans="2:36" ht="14.25" x14ac:dyDescent="0.2">
      <c r="B53" s="97"/>
      <c r="D53" s="15" t="s">
        <v>13</v>
      </c>
      <c r="E53" s="19">
        <v>2022</v>
      </c>
      <c r="F53" s="19" t="s">
        <v>6</v>
      </c>
      <c r="G53" s="67">
        <v>78155</v>
      </c>
      <c r="H53" s="19" t="s">
        <v>25</v>
      </c>
      <c r="I53" s="67">
        <f t="shared" si="0"/>
        <v>85970.5</v>
      </c>
      <c r="J53" s="19" t="s">
        <v>26</v>
      </c>
      <c r="K53" s="67">
        <f t="shared" si="3"/>
        <v>85970.5</v>
      </c>
      <c r="L53" s="20"/>
      <c r="M53" s="15" t="s">
        <v>13</v>
      </c>
      <c r="N53" s="15">
        <v>2040</v>
      </c>
      <c r="O53" s="15" t="s">
        <v>6</v>
      </c>
      <c r="P53" s="15">
        <v>78155</v>
      </c>
      <c r="Q53" s="15" t="s">
        <v>25</v>
      </c>
      <c r="R53" s="19">
        <f t="shared" si="1"/>
        <v>85970.5</v>
      </c>
      <c r="S53" s="19" t="s">
        <v>26</v>
      </c>
      <c r="T53" s="19">
        <f t="shared" si="2"/>
        <v>85970.5</v>
      </c>
      <c r="AI53" s="13"/>
      <c r="AJ53" s="13"/>
    </row>
    <row r="54" spans="2:36" ht="14.25" x14ac:dyDescent="0.2">
      <c r="B54" s="97"/>
      <c r="D54" s="15" t="s">
        <v>14</v>
      </c>
      <c r="E54" s="19">
        <v>2022</v>
      </c>
      <c r="F54" s="19" t="s">
        <v>6</v>
      </c>
      <c r="G54" s="67">
        <v>83738</v>
      </c>
      <c r="H54" s="19" t="s">
        <v>25</v>
      </c>
      <c r="I54" s="67">
        <f t="shared" si="0"/>
        <v>92111.8</v>
      </c>
      <c r="J54" s="19" t="s">
        <v>26</v>
      </c>
      <c r="K54" s="67">
        <f t="shared" si="3"/>
        <v>92111.8</v>
      </c>
      <c r="L54" s="20"/>
      <c r="M54" s="15" t="s">
        <v>14</v>
      </c>
      <c r="N54" s="15">
        <v>2040</v>
      </c>
      <c r="O54" s="15" t="s">
        <v>6</v>
      </c>
      <c r="P54" s="15">
        <v>83738</v>
      </c>
      <c r="Q54" s="15" t="s">
        <v>25</v>
      </c>
      <c r="R54" s="19">
        <f t="shared" si="1"/>
        <v>92111.8</v>
      </c>
      <c r="S54" s="19" t="s">
        <v>26</v>
      </c>
      <c r="T54" s="19">
        <f t="shared" si="2"/>
        <v>92111.8</v>
      </c>
      <c r="AI54" s="13"/>
      <c r="AJ54" s="13"/>
    </row>
    <row r="55" spans="2:36" ht="14.25" x14ac:dyDescent="0.2">
      <c r="B55" s="97"/>
      <c r="D55" s="15" t="s">
        <v>15</v>
      </c>
      <c r="E55" s="19">
        <v>2022</v>
      </c>
      <c r="F55" s="19" t="s">
        <v>6</v>
      </c>
      <c r="G55" s="67">
        <v>110423</v>
      </c>
      <c r="H55" s="19" t="s">
        <v>25</v>
      </c>
      <c r="I55" s="67">
        <f t="shared" si="0"/>
        <v>121465.3</v>
      </c>
      <c r="J55" s="19" t="s">
        <v>26</v>
      </c>
      <c r="K55" s="67">
        <f t="shared" si="3"/>
        <v>121465.3</v>
      </c>
      <c r="L55" s="20"/>
      <c r="M55" s="15" t="s">
        <v>15</v>
      </c>
      <c r="N55" s="15">
        <v>2040</v>
      </c>
      <c r="O55" s="15" t="s">
        <v>6</v>
      </c>
      <c r="P55" s="15">
        <v>110423</v>
      </c>
      <c r="Q55" s="15" t="s">
        <v>25</v>
      </c>
      <c r="R55" s="19">
        <f t="shared" si="1"/>
        <v>121465.3</v>
      </c>
      <c r="S55" s="19" t="s">
        <v>26</v>
      </c>
      <c r="T55" s="19">
        <f t="shared" si="2"/>
        <v>121465.3</v>
      </c>
      <c r="AI55" s="13"/>
      <c r="AJ55" s="13"/>
    </row>
    <row r="56" spans="2:36" ht="14.25" x14ac:dyDescent="0.2">
      <c r="B56" s="97"/>
      <c r="D56" s="15" t="s">
        <v>16</v>
      </c>
      <c r="E56" s="19">
        <v>2022</v>
      </c>
      <c r="F56" s="19" t="s">
        <v>6</v>
      </c>
      <c r="G56" s="67">
        <v>89320</v>
      </c>
      <c r="H56" s="19" t="s">
        <v>25</v>
      </c>
      <c r="I56" s="67">
        <f t="shared" si="0"/>
        <v>98252.000000000015</v>
      </c>
      <c r="J56" s="19" t="s">
        <v>26</v>
      </c>
      <c r="K56" s="67">
        <f t="shared" si="3"/>
        <v>98252.000000000015</v>
      </c>
      <c r="L56" s="20"/>
      <c r="M56" s="15" t="s">
        <v>16</v>
      </c>
      <c r="N56" s="15">
        <v>2040</v>
      </c>
      <c r="O56" s="15" t="s">
        <v>6</v>
      </c>
      <c r="P56" s="15">
        <v>89320</v>
      </c>
      <c r="Q56" s="15" t="s">
        <v>25</v>
      </c>
      <c r="R56" s="19">
        <f t="shared" si="1"/>
        <v>98252.000000000015</v>
      </c>
      <c r="S56" s="19" t="s">
        <v>26</v>
      </c>
      <c r="T56" s="19">
        <f t="shared" si="2"/>
        <v>98252.000000000015</v>
      </c>
      <c r="AI56" s="13"/>
      <c r="AJ56" s="13"/>
    </row>
    <row r="57" spans="2:36" ht="14.25" x14ac:dyDescent="0.2">
      <c r="B57" s="97"/>
      <c r="D57" s="15" t="s">
        <v>17</v>
      </c>
      <c r="E57" s="19">
        <v>2022</v>
      </c>
      <c r="F57" s="19" t="s">
        <v>6</v>
      </c>
      <c r="G57" s="67">
        <v>115000</v>
      </c>
      <c r="H57" s="19" t="s">
        <v>25</v>
      </c>
      <c r="I57" s="67">
        <f t="shared" si="0"/>
        <v>126500.00000000001</v>
      </c>
      <c r="J57" s="19" t="s">
        <v>26</v>
      </c>
      <c r="K57" s="67">
        <f t="shared" si="3"/>
        <v>126500.00000000001</v>
      </c>
      <c r="L57" s="20"/>
      <c r="M57" s="15" t="s">
        <v>17</v>
      </c>
      <c r="N57" s="15">
        <v>2040</v>
      </c>
      <c r="O57" s="15" t="s">
        <v>6</v>
      </c>
      <c r="P57" s="15">
        <v>115000</v>
      </c>
      <c r="Q57" s="15" t="s">
        <v>25</v>
      </c>
      <c r="R57" s="19">
        <f t="shared" si="1"/>
        <v>126500.00000000001</v>
      </c>
      <c r="S57" s="19" t="s">
        <v>26</v>
      </c>
      <c r="T57" s="19">
        <f t="shared" si="2"/>
        <v>126500.00000000001</v>
      </c>
      <c r="AI57" s="13"/>
      <c r="AJ57" s="13"/>
    </row>
    <row r="58" spans="2:36" ht="14.25" x14ac:dyDescent="0.2">
      <c r="B58" s="97"/>
      <c r="D58" s="15" t="s">
        <v>18</v>
      </c>
      <c r="E58" s="19">
        <v>2022</v>
      </c>
      <c r="F58" s="19" t="s">
        <v>6</v>
      </c>
      <c r="G58" s="67">
        <v>90438</v>
      </c>
      <c r="H58" s="19" t="s">
        <v>25</v>
      </c>
      <c r="I58" s="67">
        <f t="shared" si="0"/>
        <v>99481.8</v>
      </c>
      <c r="J58" s="19" t="s">
        <v>26</v>
      </c>
      <c r="K58" s="67">
        <f t="shared" si="3"/>
        <v>99481.8</v>
      </c>
      <c r="L58" s="20"/>
      <c r="M58" s="15" t="s">
        <v>18</v>
      </c>
      <c r="N58" s="15">
        <v>2040</v>
      </c>
      <c r="O58" s="15" t="s">
        <v>6</v>
      </c>
      <c r="P58" s="15">
        <v>90438</v>
      </c>
      <c r="Q58" s="15" t="s">
        <v>25</v>
      </c>
      <c r="R58" s="19">
        <f t="shared" si="1"/>
        <v>99481.8</v>
      </c>
      <c r="S58" s="19" t="s">
        <v>26</v>
      </c>
      <c r="T58" s="19">
        <f t="shared" si="2"/>
        <v>99481.8</v>
      </c>
      <c r="AI58" s="13"/>
      <c r="AJ58" s="13"/>
    </row>
    <row r="59" spans="2:36" ht="14.25" x14ac:dyDescent="0.2">
      <c r="B59" s="97"/>
      <c r="D59" s="15" t="s">
        <v>19</v>
      </c>
      <c r="E59" s="19">
        <v>2022</v>
      </c>
      <c r="F59" s="19" t="s">
        <v>6</v>
      </c>
      <c r="G59" s="67">
        <v>117233</v>
      </c>
      <c r="H59" s="19" t="s">
        <v>25</v>
      </c>
      <c r="I59" s="67">
        <f t="shared" si="0"/>
        <v>128956.30000000002</v>
      </c>
      <c r="J59" s="19" t="s">
        <v>26</v>
      </c>
      <c r="K59" s="67">
        <f t="shared" si="3"/>
        <v>128956.30000000002</v>
      </c>
      <c r="L59" s="20"/>
      <c r="M59" s="15" t="s">
        <v>19</v>
      </c>
      <c r="N59" s="15">
        <v>2040</v>
      </c>
      <c r="O59" s="15" t="s">
        <v>6</v>
      </c>
      <c r="P59" s="15">
        <v>117233</v>
      </c>
      <c r="Q59" s="15" t="s">
        <v>25</v>
      </c>
      <c r="R59" s="19">
        <f t="shared" si="1"/>
        <v>128956.30000000002</v>
      </c>
      <c r="S59" s="19" t="s">
        <v>26</v>
      </c>
      <c r="T59" s="19">
        <f t="shared" si="2"/>
        <v>128956.30000000002</v>
      </c>
      <c r="AI59" s="13"/>
      <c r="AJ59" s="13"/>
    </row>
    <row r="60" spans="2:36" ht="14.25" x14ac:dyDescent="0.2">
      <c r="B60" s="97"/>
      <c r="D60" s="15" t="s">
        <v>20</v>
      </c>
      <c r="E60" s="19">
        <v>2022</v>
      </c>
      <c r="F60" s="19" t="s">
        <v>6</v>
      </c>
      <c r="G60" s="67">
        <v>96018</v>
      </c>
      <c r="H60" s="19" t="s">
        <v>25</v>
      </c>
      <c r="I60" s="67">
        <f t="shared" si="0"/>
        <v>105619.8</v>
      </c>
      <c r="J60" s="19" t="s">
        <v>26</v>
      </c>
      <c r="K60" s="67">
        <f t="shared" si="3"/>
        <v>105619.8</v>
      </c>
      <c r="L60" s="20"/>
      <c r="M60" s="15" t="s">
        <v>20</v>
      </c>
      <c r="N60" s="15">
        <v>2040</v>
      </c>
      <c r="O60" s="15" t="s">
        <v>6</v>
      </c>
      <c r="P60" s="15">
        <v>96018</v>
      </c>
      <c r="Q60" s="15" t="s">
        <v>25</v>
      </c>
      <c r="R60" s="19">
        <f t="shared" si="1"/>
        <v>105619.8</v>
      </c>
      <c r="S60" s="19" t="s">
        <v>26</v>
      </c>
      <c r="T60" s="19">
        <f t="shared" si="2"/>
        <v>105619.8</v>
      </c>
      <c r="AI60" s="13"/>
      <c r="AJ60" s="13"/>
    </row>
    <row r="61" spans="2:36" ht="14.25" x14ac:dyDescent="0.2">
      <c r="B61" s="97"/>
      <c r="D61" s="15" t="s">
        <v>21</v>
      </c>
      <c r="E61" s="19">
        <v>2022</v>
      </c>
      <c r="F61" s="19" t="s">
        <v>6</v>
      </c>
      <c r="G61" s="67">
        <v>121700</v>
      </c>
      <c r="H61" s="19" t="s">
        <v>25</v>
      </c>
      <c r="I61" s="67">
        <f t="shared" si="0"/>
        <v>133870</v>
      </c>
      <c r="J61" s="19" t="s">
        <v>26</v>
      </c>
      <c r="K61" s="67">
        <f t="shared" si="3"/>
        <v>133870</v>
      </c>
      <c r="L61" s="20"/>
      <c r="M61" s="15" t="s">
        <v>21</v>
      </c>
      <c r="N61" s="15">
        <v>2040</v>
      </c>
      <c r="O61" s="15" t="s">
        <v>6</v>
      </c>
      <c r="P61" s="15">
        <v>121700</v>
      </c>
      <c r="Q61" s="15" t="s">
        <v>25</v>
      </c>
      <c r="R61" s="19">
        <f t="shared" si="1"/>
        <v>133870</v>
      </c>
      <c r="S61" s="19" t="s">
        <v>26</v>
      </c>
      <c r="T61" s="19">
        <f t="shared" si="2"/>
        <v>133870</v>
      </c>
      <c r="AI61" s="13"/>
      <c r="AJ61" s="13"/>
    </row>
    <row r="62" spans="2:36" ht="14.25" x14ac:dyDescent="0.2">
      <c r="B62" s="97"/>
      <c r="D62" s="15" t="s">
        <v>22</v>
      </c>
      <c r="E62" s="19">
        <v>2022</v>
      </c>
      <c r="F62" s="19" t="s">
        <v>6</v>
      </c>
      <c r="G62" s="67">
        <v>150728</v>
      </c>
      <c r="H62" s="19" t="s">
        <v>25</v>
      </c>
      <c r="I62" s="67">
        <f t="shared" si="0"/>
        <v>165800.80000000002</v>
      </c>
      <c r="J62" s="19" t="s">
        <v>26</v>
      </c>
      <c r="K62" s="67">
        <f t="shared" si="3"/>
        <v>165800.80000000002</v>
      </c>
      <c r="L62" s="20"/>
      <c r="M62" s="15" t="s">
        <v>22</v>
      </c>
      <c r="N62" s="15">
        <v>2040</v>
      </c>
      <c r="O62" s="15" t="s">
        <v>6</v>
      </c>
      <c r="P62" s="15">
        <v>150728</v>
      </c>
      <c r="Q62" s="15" t="s">
        <v>25</v>
      </c>
      <c r="R62" s="19">
        <f t="shared" si="1"/>
        <v>165800.80000000002</v>
      </c>
      <c r="S62" s="19" t="s">
        <v>26</v>
      </c>
      <c r="T62" s="19">
        <f t="shared" si="2"/>
        <v>165800.80000000002</v>
      </c>
      <c r="AI62" s="13"/>
      <c r="AJ62" s="13"/>
    </row>
    <row r="63" spans="2:36" ht="14.25" x14ac:dyDescent="0.2">
      <c r="B63" s="97"/>
      <c r="D63" s="15" t="s">
        <v>23</v>
      </c>
      <c r="E63" s="19">
        <v>2022</v>
      </c>
      <c r="F63" s="19" t="s">
        <v>6</v>
      </c>
      <c r="G63" s="67">
        <v>156312</v>
      </c>
      <c r="H63" s="19" t="s">
        <v>25</v>
      </c>
      <c r="I63" s="67">
        <f t="shared" si="0"/>
        <v>171943.2</v>
      </c>
      <c r="J63" s="19" t="s">
        <v>26</v>
      </c>
      <c r="K63" s="67">
        <f t="shared" si="3"/>
        <v>171943.2</v>
      </c>
      <c r="L63" s="20"/>
      <c r="M63" s="15" t="s">
        <v>23</v>
      </c>
      <c r="N63" s="15">
        <v>2040</v>
      </c>
      <c r="O63" s="15" t="s">
        <v>6</v>
      </c>
      <c r="P63" s="15">
        <v>156312</v>
      </c>
      <c r="Q63" s="15" t="s">
        <v>25</v>
      </c>
      <c r="R63" s="19">
        <f t="shared" si="1"/>
        <v>171943.2</v>
      </c>
      <c r="S63" s="19" t="s">
        <v>26</v>
      </c>
      <c r="T63" s="19">
        <f t="shared" si="2"/>
        <v>171943.2</v>
      </c>
      <c r="AI63" s="13"/>
      <c r="AJ63" s="13"/>
    </row>
    <row r="64" spans="2:36" ht="14.25" x14ac:dyDescent="0.2">
      <c r="B64" s="97"/>
      <c r="D64" s="15" t="s">
        <v>24</v>
      </c>
      <c r="E64" s="19">
        <v>2022</v>
      </c>
      <c r="F64" s="19" t="s">
        <v>6</v>
      </c>
      <c r="G64" s="67">
        <v>173057</v>
      </c>
      <c r="H64" s="19" t="s">
        <v>25</v>
      </c>
      <c r="I64" s="67">
        <f t="shared" si="0"/>
        <v>190362.7</v>
      </c>
      <c r="J64" s="19" t="s">
        <v>26</v>
      </c>
      <c r="K64" s="67">
        <f t="shared" si="3"/>
        <v>190362.7</v>
      </c>
      <c r="L64" s="20"/>
      <c r="M64" s="15" t="s">
        <v>24</v>
      </c>
      <c r="N64" s="15">
        <v>2040</v>
      </c>
      <c r="O64" s="15" t="s">
        <v>6</v>
      </c>
      <c r="P64" s="15">
        <v>173057</v>
      </c>
      <c r="Q64" s="15" t="s">
        <v>25</v>
      </c>
      <c r="R64" s="19">
        <f t="shared" si="1"/>
        <v>190362.7</v>
      </c>
      <c r="S64" s="19" t="s">
        <v>26</v>
      </c>
      <c r="T64" s="19">
        <f t="shared" si="2"/>
        <v>190362.7</v>
      </c>
      <c r="AI64" s="13"/>
      <c r="AJ64" s="13"/>
    </row>
    <row r="65" spans="1:36" s="12" customFormat="1" ht="15" thickBot="1" x14ac:dyDescent="0.25">
      <c r="A65" s="7"/>
      <c r="B65" s="98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13"/>
      <c r="AJ65" s="13"/>
    </row>
    <row r="66" spans="1:36" s="12" customFormat="1" ht="18.75" thickBot="1" x14ac:dyDescent="0.3">
      <c r="A66" s="7"/>
      <c r="B66" s="49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13"/>
      <c r="AJ66" s="13"/>
    </row>
    <row r="67" spans="1:36" s="12" customFormat="1" ht="14.25" x14ac:dyDescent="0.2">
      <c r="A67" s="7"/>
      <c r="B67" s="96" t="s">
        <v>94</v>
      </c>
      <c r="C67" s="21"/>
      <c r="D67" s="22" t="s">
        <v>1</v>
      </c>
      <c r="E67" s="22" t="s">
        <v>28</v>
      </c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13"/>
      <c r="AJ67" s="13"/>
    </row>
    <row r="68" spans="1:36" s="12" customFormat="1" ht="14.25" x14ac:dyDescent="0.2">
      <c r="A68" s="7"/>
      <c r="B68" s="97"/>
      <c r="C68" s="21"/>
      <c r="D68" s="23" t="s">
        <v>7</v>
      </c>
      <c r="E68" s="33">
        <v>12475</v>
      </c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13"/>
      <c r="AJ68" s="13"/>
    </row>
    <row r="69" spans="1:36" s="12" customFormat="1" ht="14.25" x14ac:dyDescent="0.2">
      <c r="A69" s="7"/>
      <c r="B69" s="97"/>
      <c r="C69" s="21"/>
      <c r="D69" s="23" t="s">
        <v>10</v>
      </c>
      <c r="E69" s="33">
        <v>12475</v>
      </c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13"/>
      <c r="AJ69" s="13"/>
    </row>
    <row r="70" spans="1:36" s="12" customFormat="1" ht="14.25" x14ac:dyDescent="0.2">
      <c r="A70" s="7"/>
      <c r="B70" s="97"/>
      <c r="C70" s="21"/>
      <c r="D70" s="23" t="s">
        <v>11</v>
      </c>
      <c r="E70" s="33">
        <v>18143</v>
      </c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13"/>
      <c r="AJ70" s="13"/>
    </row>
    <row r="71" spans="1:36" s="12" customFormat="1" ht="14.25" x14ac:dyDescent="0.2">
      <c r="A71" s="7"/>
      <c r="B71" s="97"/>
      <c r="C71" s="21"/>
      <c r="D71" s="23" t="s">
        <v>12</v>
      </c>
      <c r="E71" s="33">
        <v>19539</v>
      </c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13"/>
      <c r="AJ71" s="13"/>
    </row>
    <row r="72" spans="1:36" s="12" customFormat="1" ht="14.25" x14ac:dyDescent="0.2">
      <c r="A72" s="7"/>
      <c r="B72" s="97"/>
      <c r="C72" s="21"/>
      <c r="D72" s="23" t="s">
        <v>13</v>
      </c>
      <c r="E72" s="33">
        <v>19539</v>
      </c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13"/>
      <c r="AJ72" s="13"/>
    </row>
    <row r="73" spans="1:36" s="12" customFormat="1" ht="14.25" x14ac:dyDescent="0.2">
      <c r="A73" s="7"/>
      <c r="B73" s="97"/>
      <c r="C73" s="21"/>
      <c r="D73" s="23" t="s">
        <v>14</v>
      </c>
      <c r="E73" s="33">
        <v>20934</v>
      </c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13"/>
      <c r="AJ73" s="13"/>
    </row>
    <row r="74" spans="1:36" s="12" customFormat="1" ht="14.25" x14ac:dyDescent="0.2">
      <c r="A74" s="7"/>
      <c r="B74" s="97"/>
      <c r="C74" s="21"/>
      <c r="D74" s="23" t="s">
        <v>15</v>
      </c>
      <c r="E74" s="33">
        <v>27606</v>
      </c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13"/>
      <c r="AJ74" s="13"/>
    </row>
    <row r="75" spans="1:36" s="12" customFormat="1" ht="14.25" x14ac:dyDescent="0.2">
      <c r="A75" s="7"/>
      <c r="B75" s="97"/>
      <c r="C75" s="21"/>
      <c r="D75" s="23" t="s">
        <v>16</v>
      </c>
      <c r="E75" s="33">
        <v>22330</v>
      </c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13"/>
      <c r="AJ75" s="13"/>
    </row>
    <row r="76" spans="1:36" s="12" customFormat="1" ht="14.25" x14ac:dyDescent="0.2">
      <c r="A76" s="7"/>
      <c r="B76" s="97"/>
      <c r="C76" s="21"/>
      <c r="D76" s="23" t="s">
        <v>17</v>
      </c>
      <c r="E76" s="33">
        <v>28750</v>
      </c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13"/>
      <c r="AJ76" s="13"/>
    </row>
    <row r="77" spans="1:36" s="12" customFormat="1" ht="14.25" x14ac:dyDescent="0.2">
      <c r="A77" s="7"/>
      <c r="B77" s="97"/>
      <c r="C77" s="21"/>
      <c r="D77" s="23" t="s">
        <v>18</v>
      </c>
      <c r="E77" s="33">
        <v>22609</v>
      </c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13"/>
      <c r="AJ77" s="13"/>
    </row>
    <row r="78" spans="1:36" s="12" customFormat="1" ht="14.25" x14ac:dyDescent="0.2">
      <c r="A78" s="7"/>
      <c r="B78" s="97"/>
      <c r="C78" s="21"/>
      <c r="D78" s="23" t="s">
        <v>19</v>
      </c>
      <c r="E78" s="33">
        <v>29308</v>
      </c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13"/>
      <c r="AJ78" s="13"/>
    </row>
    <row r="79" spans="1:36" s="12" customFormat="1" ht="14.25" x14ac:dyDescent="0.2">
      <c r="A79" s="7"/>
      <c r="B79" s="97"/>
      <c r="C79" s="21"/>
      <c r="D79" s="23" t="s">
        <v>20</v>
      </c>
      <c r="E79" s="33">
        <v>24005</v>
      </c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13"/>
      <c r="AJ79" s="13"/>
    </row>
    <row r="80" spans="1:36" s="12" customFormat="1" ht="14.25" x14ac:dyDescent="0.2">
      <c r="A80" s="7"/>
      <c r="B80" s="97"/>
      <c r="C80" s="21"/>
      <c r="D80" s="23" t="s">
        <v>21</v>
      </c>
      <c r="E80" s="33">
        <v>30425</v>
      </c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13"/>
      <c r="AJ80" s="13"/>
    </row>
    <row r="81" spans="1:36" s="12" customFormat="1" ht="14.25" x14ac:dyDescent="0.2">
      <c r="A81" s="7"/>
      <c r="B81" s="97"/>
      <c r="C81" s="21"/>
      <c r="D81" s="23" t="s">
        <v>22</v>
      </c>
      <c r="E81" s="33">
        <v>37682</v>
      </c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13"/>
      <c r="AJ81" s="13"/>
    </row>
    <row r="82" spans="1:36" s="12" customFormat="1" ht="14.25" x14ac:dyDescent="0.2">
      <c r="A82" s="7"/>
      <c r="B82" s="97"/>
      <c r="C82" s="21"/>
      <c r="D82" s="23" t="s">
        <v>23</v>
      </c>
      <c r="E82" s="33">
        <v>39078</v>
      </c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24"/>
      <c r="AC82" s="7"/>
      <c r="AD82" s="7"/>
      <c r="AE82" s="7"/>
      <c r="AF82" s="7"/>
      <c r="AG82" s="7"/>
      <c r="AH82" s="7"/>
      <c r="AI82" s="13"/>
      <c r="AJ82" s="13"/>
    </row>
    <row r="83" spans="1:36" s="12" customFormat="1" ht="15" thickBot="1" x14ac:dyDescent="0.25">
      <c r="A83" s="7"/>
      <c r="B83" s="98"/>
      <c r="C83" s="21"/>
      <c r="D83" s="23" t="s">
        <v>24</v>
      </c>
      <c r="E83" s="33">
        <v>43265</v>
      </c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24"/>
      <c r="AC83" s="7"/>
      <c r="AD83" s="7"/>
      <c r="AE83" s="7"/>
      <c r="AF83" s="7"/>
      <c r="AG83" s="7"/>
      <c r="AH83" s="7"/>
      <c r="AI83" s="13"/>
      <c r="AJ83" s="13"/>
    </row>
    <row r="84" spans="1:36" s="12" customFormat="1" x14ac:dyDescent="0.25">
      <c r="A84" s="7"/>
      <c r="B84" s="49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24"/>
      <c r="AC84" s="7"/>
      <c r="AD84" s="7"/>
      <c r="AE84" s="7"/>
      <c r="AF84" s="7"/>
      <c r="AG84" s="7"/>
      <c r="AH84" s="7"/>
      <c r="AI84" s="13"/>
      <c r="AJ84" s="13"/>
    </row>
    <row r="85" spans="1:36" s="12" customFormat="1" x14ac:dyDescent="0.25">
      <c r="A85" s="7"/>
      <c r="B85" s="49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24"/>
      <c r="AC85" s="7"/>
      <c r="AD85" s="7"/>
      <c r="AE85" s="7"/>
      <c r="AF85" s="7"/>
      <c r="AG85" s="7"/>
      <c r="AH85" s="7"/>
      <c r="AI85" s="13"/>
      <c r="AJ85" s="13"/>
    </row>
    <row r="86" spans="1:36" s="12" customFormat="1" ht="18.75" thickBot="1" x14ac:dyDescent="0.3">
      <c r="A86" s="7"/>
      <c r="B86" s="49"/>
      <c r="D86" s="25"/>
      <c r="E86" s="22"/>
      <c r="F86" s="22">
        <v>2022</v>
      </c>
      <c r="G86" s="22">
        <v>2030</v>
      </c>
      <c r="H86" s="22">
        <v>2040</v>
      </c>
      <c r="I86" s="25"/>
      <c r="J86" s="22"/>
      <c r="K86" s="22" t="s">
        <v>92</v>
      </c>
      <c r="L86" s="22" t="s">
        <v>91</v>
      </c>
      <c r="M86" s="22">
        <v>2022</v>
      </c>
      <c r="N86" s="22">
        <v>2030</v>
      </c>
      <c r="O86" s="22">
        <v>2040</v>
      </c>
      <c r="P86" s="25"/>
      <c r="Q86" s="25"/>
      <c r="R86" s="25"/>
      <c r="S86" s="20"/>
      <c r="T86" s="7"/>
      <c r="U86" s="7"/>
      <c r="V86" s="7"/>
      <c r="W86" s="7"/>
      <c r="X86" s="7"/>
      <c r="Y86" s="7"/>
      <c r="Z86" s="7"/>
      <c r="AA86" s="7"/>
      <c r="AB86" s="26"/>
      <c r="AC86" s="27"/>
      <c r="AD86" s="27"/>
      <c r="AE86" s="27"/>
      <c r="AF86" s="7"/>
      <c r="AG86" s="7"/>
      <c r="AH86" s="7"/>
      <c r="AI86" s="13"/>
      <c r="AJ86" s="13"/>
    </row>
    <row r="87" spans="1:36" s="12" customFormat="1" ht="14.25" x14ac:dyDescent="0.2">
      <c r="A87" s="7"/>
      <c r="B87" s="96" t="s">
        <v>95</v>
      </c>
      <c r="D87" s="103" t="s">
        <v>90</v>
      </c>
      <c r="E87" s="28">
        <v>0</v>
      </c>
      <c r="F87" s="23">
        <v>120</v>
      </c>
      <c r="G87" s="23">
        <v>100</v>
      </c>
      <c r="H87" s="23">
        <v>100</v>
      </c>
      <c r="I87" s="103" t="s">
        <v>43</v>
      </c>
      <c r="J87" s="28">
        <v>0</v>
      </c>
      <c r="K87" s="23">
        <v>100</v>
      </c>
      <c r="L87" s="23">
        <v>100</v>
      </c>
      <c r="M87" s="23">
        <v>6</v>
      </c>
      <c r="N87" s="23">
        <v>4</v>
      </c>
      <c r="O87" s="23">
        <v>4</v>
      </c>
      <c r="P87" s="20"/>
      <c r="Q87" s="20"/>
      <c r="R87" s="20"/>
      <c r="S87" s="20"/>
      <c r="T87" s="7"/>
      <c r="U87" s="7"/>
      <c r="V87" s="7"/>
      <c r="W87" s="7"/>
      <c r="X87" s="7"/>
      <c r="Y87" s="7"/>
      <c r="Z87" s="7"/>
      <c r="AA87" s="7"/>
      <c r="AB87" s="26"/>
      <c r="AC87" s="27"/>
      <c r="AD87" s="27"/>
      <c r="AE87" s="27"/>
      <c r="AF87" s="7"/>
      <c r="AG87" s="7"/>
      <c r="AH87" s="7"/>
      <c r="AI87" s="13"/>
      <c r="AJ87" s="13"/>
    </row>
    <row r="88" spans="1:36" s="12" customFormat="1" ht="14.25" x14ac:dyDescent="0.2">
      <c r="A88" s="7"/>
      <c r="B88" s="97"/>
      <c r="D88" s="103"/>
      <c r="E88" s="28">
        <v>1</v>
      </c>
      <c r="F88" s="23">
        <v>180</v>
      </c>
      <c r="G88" s="23">
        <v>150</v>
      </c>
      <c r="H88" s="23">
        <v>150</v>
      </c>
      <c r="I88" s="103"/>
      <c r="J88" s="28">
        <v>1</v>
      </c>
      <c r="K88" s="23">
        <v>100</v>
      </c>
      <c r="L88" s="23">
        <v>100</v>
      </c>
      <c r="M88" s="23">
        <v>9</v>
      </c>
      <c r="N88" s="23">
        <v>7</v>
      </c>
      <c r="O88" s="23">
        <v>6</v>
      </c>
      <c r="P88" s="20"/>
      <c r="Q88" s="20"/>
      <c r="R88" s="20"/>
      <c r="S88" s="20"/>
      <c r="T88" s="7"/>
      <c r="U88" s="7"/>
      <c r="V88" s="7"/>
      <c r="W88" s="7"/>
      <c r="X88" s="7"/>
      <c r="Y88" s="7"/>
      <c r="Z88" s="7"/>
      <c r="AA88" s="7"/>
      <c r="AB88" s="26"/>
      <c r="AC88" s="27"/>
      <c r="AD88" s="27"/>
      <c r="AE88" s="27"/>
      <c r="AF88" s="7"/>
      <c r="AG88" s="7"/>
      <c r="AH88" s="7"/>
      <c r="AI88" s="13"/>
      <c r="AJ88" s="13"/>
    </row>
    <row r="89" spans="1:36" s="12" customFormat="1" ht="14.25" x14ac:dyDescent="0.2">
      <c r="A89" s="7"/>
      <c r="B89" s="97"/>
      <c r="D89" s="103"/>
      <c r="E89" s="28">
        <v>2</v>
      </c>
      <c r="F89" s="23">
        <v>190</v>
      </c>
      <c r="G89" s="23">
        <v>160</v>
      </c>
      <c r="H89" s="23">
        <v>160</v>
      </c>
      <c r="I89" s="103"/>
      <c r="J89" s="28">
        <v>2</v>
      </c>
      <c r="K89" s="23">
        <v>100</v>
      </c>
      <c r="L89" s="23">
        <v>100</v>
      </c>
      <c r="M89" s="23">
        <v>9</v>
      </c>
      <c r="N89" s="23">
        <v>7</v>
      </c>
      <c r="O89" s="23">
        <v>6</v>
      </c>
      <c r="P89" s="20"/>
      <c r="Q89" s="20"/>
      <c r="R89" s="20"/>
      <c r="S89" s="20"/>
      <c r="T89" s="7"/>
      <c r="U89" s="7"/>
      <c r="V89" s="7"/>
      <c r="W89" s="7"/>
      <c r="X89" s="7"/>
      <c r="Y89" s="7"/>
      <c r="Z89" s="7"/>
      <c r="AA89" s="7"/>
      <c r="AB89" s="26"/>
      <c r="AC89" s="27"/>
      <c r="AD89" s="27"/>
      <c r="AE89" s="27"/>
      <c r="AF89" s="7"/>
      <c r="AG89" s="7"/>
      <c r="AH89" s="7"/>
      <c r="AI89" s="13"/>
      <c r="AJ89" s="13"/>
    </row>
    <row r="90" spans="1:36" s="12" customFormat="1" ht="14.25" x14ac:dyDescent="0.2">
      <c r="A90" s="7"/>
      <c r="B90" s="97"/>
      <c r="D90" s="103"/>
      <c r="E90" s="28">
        <v>3</v>
      </c>
      <c r="F90" s="22">
        <v>250</v>
      </c>
      <c r="G90" s="22">
        <v>200</v>
      </c>
      <c r="H90" s="22">
        <v>200</v>
      </c>
      <c r="I90" s="103"/>
      <c r="J90" s="28">
        <v>3</v>
      </c>
      <c r="K90" s="22">
        <v>100</v>
      </c>
      <c r="L90" s="23">
        <v>100</v>
      </c>
      <c r="M90" s="22">
        <v>11</v>
      </c>
      <c r="N90" s="22">
        <v>9</v>
      </c>
      <c r="O90" s="22">
        <v>8</v>
      </c>
      <c r="P90" s="20"/>
      <c r="Q90" s="25"/>
      <c r="R90" s="20"/>
      <c r="S90" s="20"/>
      <c r="T90" s="7"/>
      <c r="U90" s="7"/>
      <c r="V90" s="7"/>
      <c r="W90" s="7"/>
      <c r="X90" s="7"/>
      <c r="Y90" s="7"/>
      <c r="Z90" s="7"/>
      <c r="AA90" s="7"/>
      <c r="AB90" s="26"/>
      <c r="AC90" s="27"/>
      <c r="AD90" s="27"/>
      <c r="AE90" s="27"/>
      <c r="AF90" s="7"/>
      <c r="AG90" s="7"/>
      <c r="AH90" s="7"/>
      <c r="AI90" s="13"/>
      <c r="AJ90" s="13"/>
    </row>
    <row r="91" spans="1:36" s="12" customFormat="1" ht="14.25" x14ac:dyDescent="0.2">
      <c r="A91" s="7"/>
      <c r="B91" s="97"/>
      <c r="D91" s="103"/>
      <c r="E91" s="28" t="s">
        <v>13</v>
      </c>
      <c r="F91" s="23">
        <v>260</v>
      </c>
      <c r="G91" s="23">
        <v>200</v>
      </c>
      <c r="H91" s="23">
        <v>200</v>
      </c>
      <c r="I91" s="103"/>
      <c r="J91" s="28" t="s">
        <v>13</v>
      </c>
      <c r="K91" s="23">
        <v>100</v>
      </c>
      <c r="L91" s="23">
        <v>100</v>
      </c>
      <c r="M91" s="23">
        <v>12</v>
      </c>
      <c r="N91" s="23">
        <v>8</v>
      </c>
      <c r="O91" s="23">
        <v>8</v>
      </c>
      <c r="P91" s="20"/>
      <c r="Q91" s="20"/>
      <c r="R91" s="20"/>
      <c r="S91" s="20"/>
      <c r="T91" s="7"/>
      <c r="U91" s="7"/>
      <c r="V91" s="7"/>
      <c r="W91" s="7"/>
      <c r="X91" s="7"/>
      <c r="Y91" s="7"/>
      <c r="Z91" s="7"/>
      <c r="AA91" s="7"/>
      <c r="AB91" s="26"/>
      <c r="AC91" s="27"/>
      <c r="AD91" s="27"/>
      <c r="AE91" s="27"/>
      <c r="AF91" s="7"/>
      <c r="AG91" s="7"/>
      <c r="AH91" s="7"/>
      <c r="AI91" s="13"/>
      <c r="AJ91" s="13"/>
    </row>
    <row r="92" spans="1:36" s="12" customFormat="1" ht="14.25" x14ac:dyDescent="0.2">
      <c r="A92" s="7"/>
      <c r="B92" s="97"/>
      <c r="D92" s="103"/>
      <c r="E92" s="28" t="s">
        <v>14</v>
      </c>
      <c r="F92" s="22">
        <v>360</v>
      </c>
      <c r="G92" s="22">
        <v>270</v>
      </c>
      <c r="H92" s="22">
        <v>270</v>
      </c>
      <c r="I92" s="103"/>
      <c r="J92" s="28" t="s">
        <v>14</v>
      </c>
      <c r="K92" s="23">
        <v>200</v>
      </c>
      <c r="L92" s="23">
        <v>100</v>
      </c>
      <c r="M92" s="22">
        <v>17</v>
      </c>
      <c r="N92" s="22">
        <v>12</v>
      </c>
      <c r="O92" s="22">
        <v>11</v>
      </c>
      <c r="P92" s="20"/>
      <c r="Q92" s="20"/>
      <c r="R92" s="20"/>
      <c r="S92" s="20"/>
      <c r="T92" s="7"/>
      <c r="U92" s="7"/>
      <c r="V92" s="7"/>
      <c r="W92" s="7"/>
      <c r="X92" s="7"/>
      <c r="Y92" s="7"/>
      <c r="Z92" s="7"/>
      <c r="AA92" s="7"/>
      <c r="AB92" s="26"/>
      <c r="AC92" s="27"/>
      <c r="AD92" s="27"/>
      <c r="AE92" s="27"/>
      <c r="AF92" s="7"/>
      <c r="AG92" s="7"/>
      <c r="AH92" s="7"/>
      <c r="AI92" s="13"/>
      <c r="AJ92" s="13"/>
    </row>
    <row r="93" spans="1:36" s="12" customFormat="1" ht="14.25" x14ac:dyDescent="0.2">
      <c r="A93" s="7"/>
      <c r="B93" s="97"/>
      <c r="D93" s="103"/>
      <c r="E93" s="28" t="s">
        <v>15</v>
      </c>
      <c r="F93" s="22">
        <v>760</v>
      </c>
      <c r="G93" s="22">
        <v>405</v>
      </c>
      <c r="H93" s="22">
        <v>405</v>
      </c>
      <c r="I93" s="103"/>
      <c r="J93" s="28" t="s">
        <v>15</v>
      </c>
      <c r="K93" s="23">
        <v>200</v>
      </c>
      <c r="L93" s="23">
        <v>100</v>
      </c>
      <c r="M93" s="23">
        <v>68</v>
      </c>
      <c r="N93" s="23">
        <v>49</v>
      </c>
      <c r="O93" s="23">
        <v>46</v>
      </c>
      <c r="P93" s="20"/>
      <c r="Q93" s="20"/>
      <c r="R93" s="20"/>
      <c r="S93" s="20"/>
      <c r="T93" s="7"/>
      <c r="U93" s="7"/>
      <c r="V93" s="7"/>
      <c r="W93" s="7"/>
      <c r="X93" s="7"/>
      <c r="Y93" s="7"/>
      <c r="Z93" s="7"/>
      <c r="AA93" s="7"/>
      <c r="AB93" s="26"/>
      <c r="AC93" s="27"/>
      <c r="AD93" s="27"/>
      <c r="AE93" s="27"/>
      <c r="AF93" s="7"/>
      <c r="AG93" s="7"/>
      <c r="AH93" s="7"/>
      <c r="AI93" s="13"/>
      <c r="AJ93" s="13"/>
    </row>
    <row r="94" spans="1:36" s="12" customFormat="1" ht="14.25" x14ac:dyDescent="0.2">
      <c r="A94" s="7"/>
      <c r="B94" s="97"/>
      <c r="D94" s="103"/>
      <c r="E94" s="28" t="s">
        <v>16</v>
      </c>
      <c r="F94" s="23">
        <v>450</v>
      </c>
      <c r="G94" s="23">
        <v>330</v>
      </c>
      <c r="H94" s="23">
        <v>330</v>
      </c>
      <c r="I94" s="103"/>
      <c r="J94" s="28" t="s">
        <v>16</v>
      </c>
      <c r="K94" s="23">
        <v>200</v>
      </c>
      <c r="L94" s="23">
        <v>100</v>
      </c>
      <c r="M94" s="23">
        <v>21</v>
      </c>
      <c r="N94" s="23">
        <v>14</v>
      </c>
      <c r="O94" s="23">
        <v>13</v>
      </c>
      <c r="P94" s="20"/>
      <c r="Q94" s="20"/>
      <c r="R94" s="20"/>
      <c r="S94" s="20"/>
      <c r="T94" s="7"/>
      <c r="U94" s="7"/>
      <c r="V94" s="7"/>
      <c r="W94" s="7"/>
      <c r="X94" s="7"/>
      <c r="Y94" s="7"/>
      <c r="Z94" s="7"/>
      <c r="AA94" s="7"/>
      <c r="AB94" s="26"/>
      <c r="AC94" s="27"/>
      <c r="AD94" s="27"/>
      <c r="AE94" s="27"/>
      <c r="AF94" s="7"/>
      <c r="AG94" s="7"/>
      <c r="AH94" s="7"/>
      <c r="AI94" s="13"/>
      <c r="AJ94" s="13"/>
    </row>
    <row r="95" spans="1:36" s="12" customFormat="1" ht="14.25" x14ac:dyDescent="0.2">
      <c r="A95" s="7"/>
      <c r="B95" s="97"/>
      <c r="D95" s="103"/>
      <c r="E95" s="28" t="s">
        <v>17</v>
      </c>
      <c r="F95" s="22">
        <v>760</v>
      </c>
      <c r="G95" s="22">
        <v>405</v>
      </c>
      <c r="H95" s="22">
        <v>405</v>
      </c>
      <c r="I95" s="103"/>
      <c r="J95" s="28" t="s">
        <v>17</v>
      </c>
      <c r="K95" s="23">
        <v>200</v>
      </c>
      <c r="L95" s="23">
        <v>100</v>
      </c>
      <c r="M95" s="23">
        <v>45</v>
      </c>
      <c r="N95" s="23">
        <v>33</v>
      </c>
      <c r="O95" s="23">
        <v>32</v>
      </c>
      <c r="P95" s="20"/>
      <c r="Q95" s="20"/>
      <c r="R95" s="20"/>
      <c r="S95" s="20"/>
      <c r="T95" s="7"/>
      <c r="U95" s="7"/>
      <c r="V95" s="7"/>
      <c r="W95" s="7"/>
      <c r="X95" s="7"/>
      <c r="Y95" s="7"/>
      <c r="Z95" s="7"/>
      <c r="AA95" s="7"/>
      <c r="AB95" s="26"/>
      <c r="AC95" s="27"/>
      <c r="AD95" s="27"/>
      <c r="AE95" s="27"/>
      <c r="AF95" s="7"/>
      <c r="AG95" s="7"/>
      <c r="AH95" s="7"/>
      <c r="AI95" s="13"/>
      <c r="AJ95" s="13"/>
    </row>
    <row r="96" spans="1:36" s="12" customFormat="1" ht="14.25" x14ac:dyDescent="0.2">
      <c r="A96" s="7"/>
      <c r="B96" s="97"/>
      <c r="D96" s="103"/>
      <c r="E96" s="28" t="s">
        <v>18</v>
      </c>
      <c r="F96" s="23">
        <v>340</v>
      </c>
      <c r="G96" s="23">
        <v>260</v>
      </c>
      <c r="H96" s="23">
        <v>260</v>
      </c>
      <c r="I96" s="103"/>
      <c r="J96" s="28" t="s">
        <v>18</v>
      </c>
      <c r="K96" s="23">
        <v>200</v>
      </c>
      <c r="L96" s="23">
        <v>100</v>
      </c>
      <c r="M96" s="23">
        <v>16</v>
      </c>
      <c r="N96" s="23">
        <v>11</v>
      </c>
      <c r="O96" s="23">
        <v>10</v>
      </c>
      <c r="P96" s="20"/>
      <c r="Q96" s="20"/>
      <c r="R96" s="20"/>
      <c r="S96" s="20"/>
      <c r="T96" s="7"/>
      <c r="U96" s="7"/>
      <c r="V96" s="7"/>
      <c r="W96" s="7"/>
      <c r="X96" s="7"/>
      <c r="Y96" s="7"/>
      <c r="Z96" s="7"/>
      <c r="AA96" s="7"/>
      <c r="AB96" s="26"/>
      <c r="AC96" s="27"/>
      <c r="AD96" s="27"/>
      <c r="AE96" s="27"/>
      <c r="AF96" s="7"/>
      <c r="AG96" s="7"/>
      <c r="AH96" s="7"/>
      <c r="AI96" s="13"/>
      <c r="AJ96" s="13"/>
    </row>
    <row r="97" spans="1:36" s="12" customFormat="1" ht="14.25" x14ac:dyDescent="0.2">
      <c r="A97" s="7"/>
      <c r="B97" s="97"/>
      <c r="D97" s="103"/>
      <c r="E97" s="28" t="s">
        <v>19</v>
      </c>
      <c r="F97" s="23">
        <v>1380</v>
      </c>
      <c r="G97" s="23">
        <v>1040</v>
      </c>
      <c r="H97" s="23">
        <v>1040</v>
      </c>
      <c r="I97" s="103"/>
      <c r="J97" s="28" t="s">
        <v>19</v>
      </c>
      <c r="K97" s="23">
        <v>200</v>
      </c>
      <c r="L97" s="23">
        <v>100</v>
      </c>
      <c r="M97" s="23">
        <v>67</v>
      </c>
      <c r="N97" s="23">
        <v>49</v>
      </c>
      <c r="O97" s="23">
        <v>46</v>
      </c>
      <c r="P97" s="20"/>
      <c r="Q97" s="20"/>
      <c r="R97" s="20"/>
      <c r="S97" s="20"/>
      <c r="T97" s="7"/>
      <c r="U97" s="7"/>
      <c r="V97" s="7"/>
      <c r="W97" s="7"/>
      <c r="X97" s="7"/>
      <c r="Y97" s="7"/>
      <c r="Z97" s="7"/>
      <c r="AA97" s="7"/>
      <c r="AB97" s="26"/>
      <c r="AC97" s="27"/>
      <c r="AD97" s="27"/>
      <c r="AE97" s="27"/>
      <c r="AF97" s="7"/>
      <c r="AG97" s="7"/>
      <c r="AH97" s="7"/>
      <c r="AI97" s="13"/>
      <c r="AJ97" s="13"/>
    </row>
    <row r="98" spans="1:36" s="12" customFormat="1" ht="14.25" x14ac:dyDescent="0.2">
      <c r="A98" s="7"/>
      <c r="B98" s="97"/>
      <c r="D98" s="103"/>
      <c r="E98" s="28" t="s">
        <v>20</v>
      </c>
      <c r="F98" s="23">
        <v>400</v>
      </c>
      <c r="G98" s="23">
        <v>310</v>
      </c>
      <c r="H98" s="23">
        <v>310</v>
      </c>
      <c r="I98" s="103"/>
      <c r="J98" s="28" t="s">
        <v>20</v>
      </c>
      <c r="K98" s="23">
        <v>200</v>
      </c>
      <c r="L98" s="23">
        <v>100</v>
      </c>
      <c r="M98" s="23">
        <v>18</v>
      </c>
      <c r="N98" s="23">
        <v>13</v>
      </c>
      <c r="O98" s="23">
        <v>12</v>
      </c>
      <c r="P98" s="20"/>
      <c r="Q98" s="20"/>
      <c r="R98" s="20"/>
      <c r="S98" s="20"/>
      <c r="T98" s="7"/>
      <c r="U98" s="7"/>
      <c r="V98" s="7"/>
      <c r="W98" s="7"/>
      <c r="X98" s="7"/>
      <c r="Y98" s="7"/>
      <c r="Z98" s="7"/>
      <c r="AA98" s="7"/>
      <c r="AB98" s="26"/>
      <c r="AC98" s="27"/>
      <c r="AD98" s="27"/>
      <c r="AE98" s="27"/>
      <c r="AF98" s="7"/>
      <c r="AG98" s="7"/>
      <c r="AH98" s="7"/>
      <c r="AI98" s="13"/>
      <c r="AJ98" s="13"/>
    </row>
    <row r="99" spans="1:36" s="12" customFormat="1" ht="14.25" x14ac:dyDescent="0.2">
      <c r="A99" s="7"/>
      <c r="B99" s="97"/>
      <c r="D99" s="103"/>
      <c r="E99" s="28" t="s">
        <v>21</v>
      </c>
      <c r="F99" s="23">
        <v>1670</v>
      </c>
      <c r="G99" s="23">
        <v>1270</v>
      </c>
      <c r="H99" s="23">
        <v>1270</v>
      </c>
      <c r="I99" s="103"/>
      <c r="J99" s="28" t="s">
        <v>21</v>
      </c>
      <c r="K99" s="23">
        <v>200</v>
      </c>
      <c r="L99" s="23">
        <v>100</v>
      </c>
      <c r="M99" s="23">
        <v>80</v>
      </c>
      <c r="N99" s="23">
        <v>59</v>
      </c>
      <c r="O99" s="23">
        <v>56</v>
      </c>
      <c r="P99" s="20"/>
      <c r="Q99" s="20"/>
      <c r="R99" s="20"/>
      <c r="S99" s="20"/>
      <c r="T99" s="7"/>
      <c r="U99" s="7"/>
      <c r="V99" s="7"/>
      <c r="W99" s="7"/>
      <c r="X99" s="7"/>
      <c r="Y99" s="7"/>
      <c r="Z99" s="7"/>
      <c r="AA99" s="7"/>
      <c r="AB99" s="26"/>
      <c r="AC99" s="27"/>
      <c r="AD99" s="27"/>
      <c r="AE99" s="27"/>
      <c r="AF99" s="7"/>
      <c r="AG99" s="7"/>
      <c r="AH99" s="7"/>
      <c r="AI99" s="13"/>
      <c r="AJ99" s="13"/>
    </row>
    <row r="100" spans="1:36" s="12" customFormat="1" ht="14.25" x14ac:dyDescent="0.2">
      <c r="A100" s="7"/>
      <c r="B100" s="97"/>
      <c r="D100" s="103"/>
      <c r="E100" s="28">
        <v>11</v>
      </c>
      <c r="F100" s="23">
        <v>380</v>
      </c>
      <c r="G100" s="23">
        <v>300</v>
      </c>
      <c r="H100" s="23">
        <v>300</v>
      </c>
      <c r="I100" s="103"/>
      <c r="J100" s="28">
        <v>11</v>
      </c>
      <c r="K100" s="23">
        <v>200</v>
      </c>
      <c r="L100" s="23">
        <v>100</v>
      </c>
      <c r="M100" s="23">
        <v>17</v>
      </c>
      <c r="N100" s="23">
        <v>13</v>
      </c>
      <c r="O100" s="23">
        <v>12</v>
      </c>
      <c r="P100" s="20"/>
      <c r="Q100" s="20"/>
      <c r="R100" s="20"/>
      <c r="S100" s="20"/>
      <c r="T100" s="7"/>
      <c r="U100" s="7"/>
      <c r="V100" s="7"/>
      <c r="W100" s="7"/>
      <c r="X100" s="7"/>
      <c r="Y100" s="7"/>
      <c r="Z100" s="7"/>
      <c r="AA100" s="7"/>
      <c r="AB100" s="24"/>
      <c r="AC100" s="7"/>
      <c r="AD100" s="7"/>
      <c r="AE100" s="7"/>
      <c r="AF100" s="7"/>
      <c r="AG100" s="7"/>
      <c r="AH100" s="7"/>
      <c r="AI100" s="13"/>
      <c r="AJ100" s="13"/>
    </row>
    <row r="101" spans="1:36" s="12" customFormat="1" ht="14.25" x14ac:dyDescent="0.2">
      <c r="A101" s="7"/>
      <c r="B101" s="97"/>
      <c r="D101" s="103"/>
      <c r="E101" s="28">
        <v>12</v>
      </c>
      <c r="F101" s="23">
        <v>580</v>
      </c>
      <c r="G101" s="23">
        <v>460</v>
      </c>
      <c r="H101" s="23">
        <v>460</v>
      </c>
      <c r="I101" s="103"/>
      <c r="J101" s="28">
        <v>12</v>
      </c>
      <c r="K101" s="23">
        <v>200</v>
      </c>
      <c r="L101" s="23">
        <v>100</v>
      </c>
      <c r="M101" s="23">
        <v>27</v>
      </c>
      <c r="N101" s="23">
        <v>19</v>
      </c>
      <c r="O101" s="23">
        <v>18</v>
      </c>
      <c r="P101" s="20"/>
      <c r="Q101" s="20"/>
      <c r="R101" s="20"/>
      <c r="S101" s="20"/>
      <c r="T101" s="7"/>
      <c r="U101" s="7"/>
      <c r="V101" s="7"/>
      <c r="W101" s="7"/>
      <c r="X101" s="7"/>
      <c r="Y101" s="7"/>
      <c r="Z101" s="7"/>
      <c r="AA101" s="7"/>
      <c r="AB101" s="24"/>
      <c r="AC101" s="7"/>
      <c r="AD101" s="7"/>
      <c r="AE101" s="7"/>
      <c r="AF101" s="7"/>
      <c r="AG101" s="7"/>
      <c r="AH101" s="7"/>
      <c r="AI101" s="13"/>
      <c r="AJ101" s="13"/>
    </row>
    <row r="102" spans="1:36" s="12" customFormat="1" ht="14.25" x14ac:dyDescent="0.2">
      <c r="A102" s="7"/>
      <c r="B102" s="97"/>
      <c r="D102" s="103"/>
      <c r="E102" s="28">
        <v>16</v>
      </c>
      <c r="F102" s="23">
        <v>280</v>
      </c>
      <c r="G102" s="23">
        <v>210</v>
      </c>
      <c r="H102" s="23">
        <v>210</v>
      </c>
      <c r="I102" s="103"/>
      <c r="J102" s="28">
        <v>16</v>
      </c>
      <c r="K102" s="23">
        <v>200</v>
      </c>
      <c r="L102" s="23">
        <v>100</v>
      </c>
      <c r="M102" s="23">
        <v>13</v>
      </c>
      <c r="N102" s="23">
        <v>9</v>
      </c>
      <c r="O102" s="23">
        <v>8</v>
      </c>
      <c r="P102" s="20"/>
      <c r="Q102" s="20"/>
      <c r="R102" s="20"/>
      <c r="S102" s="20"/>
      <c r="T102" s="7"/>
      <c r="U102" s="7"/>
      <c r="V102" s="7"/>
      <c r="W102" s="7"/>
      <c r="X102" s="7"/>
      <c r="Y102" s="7"/>
      <c r="Z102" s="7"/>
      <c r="AA102" s="7"/>
      <c r="AB102" s="24"/>
      <c r="AC102" s="7"/>
      <c r="AD102" s="7"/>
      <c r="AE102" s="7"/>
      <c r="AF102" s="7"/>
      <c r="AG102" s="7"/>
      <c r="AH102" s="7"/>
      <c r="AI102" s="13"/>
      <c r="AJ102" s="13"/>
    </row>
    <row r="103" spans="1:36" s="12" customFormat="1" ht="15" thickBot="1" x14ac:dyDescent="0.25">
      <c r="A103" s="7"/>
      <c r="B103" s="98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24"/>
      <c r="AC103" s="7"/>
      <c r="AD103" s="7"/>
      <c r="AE103" s="7"/>
      <c r="AF103" s="7"/>
      <c r="AG103" s="7"/>
      <c r="AH103" s="7"/>
      <c r="AI103" s="13"/>
      <c r="AJ103" s="13"/>
    </row>
    <row r="104" spans="1:36" s="12" customFormat="1" ht="18.75" thickBot="1" x14ac:dyDescent="0.3">
      <c r="A104" s="7"/>
      <c r="B104" s="49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13"/>
      <c r="AJ104" s="13"/>
    </row>
    <row r="105" spans="1:36" s="12" customFormat="1" ht="26.25" customHeight="1" x14ac:dyDescent="0.25">
      <c r="A105" s="7"/>
      <c r="B105" s="96" t="s">
        <v>93</v>
      </c>
      <c r="D105" s="120" t="s">
        <v>97</v>
      </c>
      <c r="E105" s="120"/>
      <c r="F105" s="120"/>
      <c r="G105" s="120"/>
      <c r="H105" s="120"/>
      <c r="I105" s="120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13"/>
      <c r="AJ105" s="13"/>
    </row>
    <row r="106" spans="1:36" s="12" customFormat="1" ht="14.25" x14ac:dyDescent="0.2">
      <c r="A106" s="7"/>
      <c r="B106" s="97"/>
      <c r="D106" s="29"/>
      <c r="E106" s="22" t="s">
        <v>3</v>
      </c>
      <c r="F106" s="22">
        <v>2020</v>
      </c>
      <c r="G106" s="22">
        <v>2030</v>
      </c>
      <c r="H106" s="22">
        <v>2040</v>
      </c>
      <c r="I106" s="22">
        <v>2050</v>
      </c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13"/>
      <c r="AJ106" s="13"/>
    </row>
    <row r="107" spans="1:36" s="12" customFormat="1" ht="14.25" x14ac:dyDescent="0.2">
      <c r="A107" s="7"/>
      <c r="B107" s="97"/>
      <c r="D107" s="30" t="s">
        <v>30</v>
      </c>
      <c r="E107" s="23" t="s">
        <v>49</v>
      </c>
      <c r="F107" s="23">
        <v>221</v>
      </c>
      <c r="G107" s="23">
        <v>118</v>
      </c>
      <c r="H107" s="23">
        <v>95</v>
      </c>
      <c r="I107" s="23">
        <v>95</v>
      </c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13"/>
      <c r="AJ107" s="13"/>
    </row>
    <row r="108" spans="1:36" s="12" customFormat="1" ht="14.25" x14ac:dyDescent="0.2">
      <c r="A108" s="7"/>
      <c r="B108" s="97"/>
      <c r="D108" s="30" t="s">
        <v>31</v>
      </c>
      <c r="E108" s="23" t="s">
        <v>49</v>
      </c>
      <c r="F108" s="23">
        <v>382</v>
      </c>
      <c r="G108" s="23">
        <v>232</v>
      </c>
      <c r="H108" s="23">
        <v>186</v>
      </c>
      <c r="I108" s="23">
        <v>186</v>
      </c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13"/>
      <c r="AJ108" s="13"/>
    </row>
    <row r="109" spans="1:36" s="12" customFormat="1" ht="14.25" x14ac:dyDescent="0.2">
      <c r="A109" s="7"/>
      <c r="B109" s="97"/>
      <c r="D109" s="29" t="s">
        <v>32</v>
      </c>
      <c r="E109" s="23" t="s">
        <v>49</v>
      </c>
      <c r="F109" s="23">
        <v>793</v>
      </c>
      <c r="G109" s="23">
        <v>289</v>
      </c>
      <c r="H109" s="23">
        <v>232</v>
      </c>
      <c r="I109" s="23">
        <v>232</v>
      </c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13"/>
      <c r="AJ109" s="13"/>
    </row>
    <row r="110" spans="1:36" s="12" customFormat="1" ht="14.25" x14ac:dyDescent="0.2">
      <c r="A110" s="7"/>
      <c r="B110" s="97"/>
      <c r="D110" s="30" t="s">
        <v>33</v>
      </c>
      <c r="E110" s="23" t="s">
        <v>49</v>
      </c>
      <c r="F110" s="23">
        <v>900</v>
      </c>
      <c r="G110" s="23">
        <v>525</v>
      </c>
      <c r="H110" s="23">
        <v>450</v>
      </c>
      <c r="I110" s="23">
        <v>450</v>
      </c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13"/>
      <c r="AJ110" s="13"/>
    </row>
    <row r="111" spans="1:36" s="12" customFormat="1" ht="14.25" x14ac:dyDescent="0.2">
      <c r="A111" s="7"/>
      <c r="B111" s="97"/>
      <c r="D111" s="29" t="s">
        <v>34</v>
      </c>
      <c r="E111" s="23" t="s">
        <v>49</v>
      </c>
      <c r="F111" s="23">
        <v>58</v>
      </c>
      <c r="G111" s="23">
        <v>22</v>
      </c>
      <c r="H111" s="23">
        <v>17</v>
      </c>
      <c r="I111" s="23">
        <v>17</v>
      </c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13"/>
      <c r="AJ111" s="13"/>
    </row>
    <row r="112" spans="1:36" s="12" customFormat="1" ht="14.25" x14ac:dyDescent="0.2">
      <c r="A112" s="7"/>
      <c r="B112" s="97"/>
      <c r="D112" s="30" t="s">
        <v>35</v>
      </c>
      <c r="E112" s="23" t="s">
        <v>49</v>
      </c>
      <c r="F112" s="23">
        <v>25</v>
      </c>
      <c r="G112" s="23">
        <v>25</v>
      </c>
      <c r="H112" s="23">
        <v>25</v>
      </c>
      <c r="I112" s="23">
        <v>25</v>
      </c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13"/>
      <c r="AJ112" s="13"/>
    </row>
    <row r="113" spans="1:36" s="12" customFormat="1" ht="14.25" x14ac:dyDescent="0.2">
      <c r="A113" s="7"/>
      <c r="B113" s="9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13"/>
      <c r="AJ113" s="13"/>
    </row>
    <row r="114" spans="1:36" s="12" customFormat="1" ht="19.5" x14ac:dyDescent="0.25">
      <c r="A114" s="7"/>
      <c r="B114" s="97"/>
      <c r="D114" s="121" t="s">
        <v>98</v>
      </c>
      <c r="E114" s="121"/>
      <c r="F114" s="121"/>
      <c r="G114" s="121"/>
      <c r="H114" s="121"/>
      <c r="I114" s="121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13"/>
      <c r="AJ114" s="13"/>
    </row>
    <row r="115" spans="1:36" s="12" customFormat="1" ht="14.25" x14ac:dyDescent="0.2">
      <c r="A115" s="7"/>
      <c r="B115" s="97"/>
      <c r="D115" s="30"/>
      <c r="E115" s="22" t="s">
        <v>3</v>
      </c>
      <c r="F115" s="22">
        <v>2020</v>
      </c>
      <c r="G115" s="22">
        <v>2030</v>
      </c>
      <c r="H115" s="22">
        <v>2040</v>
      </c>
      <c r="I115" s="22">
        <v>2050</v>
      </c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13"/>
      <c r="AJ115" s="13"/>
    </row>
    <row r="116" spans="1:36" s="12" customFormat="1" ht="14.25" x14ac:dyDescent="0.2">
      <c r="A116" s="7"/>
      <c r="B116" s="97"/>
      <c r="D116" s="30" t="s">
        <v>30</v>
      </c>
      <c r="E116" s="28" t="s">
        <v>46</v>
      </c>
      <c r="F116" s="31">
        <v>275</v>
      </c>
      <c r="G116" s="31">
        <v>141</v>
      </c>
      <c r="H116" s="31">
        <v>94</v>
      </c>
      <c r="I116" s="31">
        <v>70</v>
      </c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13"/>
      <c r="AJ116" s="13"/>
    </row>
    <row r="117" spans="1:36" s="12" customFormat="1" ht="14.25" x14ac:dyDescent="0.2">
      <c r="A117" s="7"/>
      <c r="B117" s="97"/>
      <c r="D117" s="30" t="s">
        <v>30</v>
      </c>
      <c r="E117" s="28" t="s">
        <v>47</v>
      </c>
      <c r="F117" s="31">
        <v>310</v>
      </c>
      <c r="G117" s="31">
        <v>178</v>
      </c>
      <c r="H117" s="31">
        <v>127</v>
      </c>
      <c r="I117" s="31">
        <v>100</v>
      </c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13"/>
      <c r="AJ117" s="13"/>
    </row>
    <row r="118" spans="1:36" s="12" customFormat="1" ht="14.25" x14ac:dyDescent="0.2">
      <c r="A118" s="7"/>
      <c r="B118" s="97"/>
      <c r="D118" s="30" t="s">
        <v>30</v>
      </c>
      <c r="E118" s="28" t="s">
        <v>48</v>
      </c>
      <c r="F118" s="31">
        <v>316</v>
      </c>
      <c r="G118" s="31">
        <v>193</v>
      </c>
      <c r="H118" s="31">
        <v>143</v>
      </c>
      <c r="I118" s="31">
        <v>116</v>
      </c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13"/>
      <c r="AJ118" s="13"/>
    </row>
    <row r="119" spans="1:36" s="12" customFormat="1" ht="14.25" x14ac:dyDescent="0.2">
      <c r="A119" s="7"/>
      <c r="B119" s="97"/>
      <c r="D119" s="30" t="s">
        <v>30</v>
      </c>
      <c r="E119" s="28" t="s">
        <v>49</v>
      </c>
      <c r="F119" s="31">
        <v>300</v>
      </c>
      <c r="G119" s="31">
        <v>174</v>
      </c>
      <c r="H119" s="31">
        <v>126</v>
      </c>
      <c r="I119" s="31">
        <v>99</v>
      </c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13"/>
      <c r="AJ119" s="13"/>
    </row>
    <row r="120" spans="1:36" s="12" customFormat="1" ht="14.25" x14ac:dyDescent="0.2">
      <c r="A120" s="7"/>
      <c r="B120" s="97"/>
      <c r="D120" s="29" t="s">
        <v>32</v>
      </c>
      <c r="E120" s="28" t="s">
        <v>46</v>
      </c>
      <c r="F120" s="31">
        <v>538</v>
      </c>
      <c r="G120" s="31">
        <v>216</v>
      </c>
      <c r="H120" s="31">
        <v>125</v>
      </c>
      <c r="I120" s="31">
        <v>84</v>
      </c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13"/>
      <c r="AJ120" s="13"/>
    </row>
    <row r="121" spans="1:36" s="12" customFormat="1" ht="14.25" x14ac:dyDescent="0.2">
      <c r="A121" s="7"/>
      <c r="B121" s="97"/>
      <c r="D121" s="29" t="s">
        <v>32</v>
      </c>
      <c r="E121" s="28" t="s">
        <v>47</v>
      </c>
      <c r="F121" s="31">
        <v>219</v>
      </c>
      <c r="G121" s="31">
        <v>132</v>
      </c>
      <c r="H121" s="31">
        <v>97</v>
      </c>
      <c r="I121" s="31">
        <v>78</v>
      </c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13"/>
      <c r="AJ121" s="13"/>
    </row>
    <row r="122" spans="1:36" s="12" customFormat="1" ht="14.25" x14ac:dyDescent="0.2">
      <c r="A122" s="7"/>
      <c r="B122" s="97"/>
      <c r="D122" s="29" t="s">
        <v>32</v>
      </c>
      <c r="E122" s="28" t="s">
        <v>48</v>
      </c>
      <c r="F122" s="31">
        <v>415</v>
      </c>
      <c r="G122" s="31">
        <v>219</v>
      </c>
      <c r="H122" s="31">
        <v>149</v>
      </c>
      <c r="I122" s="31">
        <v>113</v>
      </c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13"/>
      <c r="AJ122" s="13"/>
    </row>
    <row r="123" spans="1:36" s="12" customFormat="1" ht="14.25" x14ac:dyDescent="0.2">
      <c r="A123" s="7"/>
      <c r="B123" s="97"/>
      <c r="D123" s="29" t="s">
        <v>32</v>
      </c>
      <c r="E123" s="28" t="s">
        <v>49</v>
      </c>
      <c r="F123" s="31">
        <v>392</v>
      </c>
      <c r="G123" s="31">
        <v>204</v>
      </c>
      <c r="H123" s="31">
        <v>138</v>
      </c>
      <c r="I123" s="31">
        <v>104</v>
      </c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13"/>
      <c r="AJ123" s="13"/>
    </row>
    <row r="124" spans="1:36" s="12" customFormat="1" ht="14.25" x14ac:dyDescent="0.2">
      <c r="A124" s="7"/>
      <c r="B124" s="97"/>
      <c r="D124" s="23" t="s">
        <v>34</v>
      </c>
      <c r="E124" s="28" t="s">
        <v>49</v>
      </c>
      <c r="F124" s="31">
        <v>42</v>
      </c>
      <c r="G124" s="31">
        <v>35</v>
      </c>
      <c r="H124" s="31">
        <v>32</v>
      </c>
      <c r="I124" s="31">
        <v>29</v>
      </c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13"/>
      <c r="AJ124" s="13"/>
    </row>
    <row r="125" spans="1:36" s="12" customFormat="1" ht="14.25" x14ac:dyDescent="0.2">
      <c r="A125" s="7"/>
      <c r="B125" s="97"/>
      <c r="D125" s="30" t="s">
        <v>35</v>
      </c>
      <c r="E125" s="28" t="s">
        <v>49</v>
      </c>
      <c r="F125" s="31">
        <v>48</v>
      </c>
      <c r="G125" s="31">
        <v>48</v>
      </c>
      <c r="H125" s="31">
        <v>49</v>
      </c>
      <c r="I125" s="31">
        <v>49</v>
      </c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13"/>
      <c r="AJ125" s="13"/>
    </row>
    <row r="126" spans="1:36" s="12" customFormat="1" ht="14.25" x14ac:dyDescent="0.2">
      <c r="A126" s="7"/>
      <c r="B126" s="97"/>
      <c r="D126" s="23" t="s">
        <v>33</v>
      </c>
      <c r="E126" s="28" t="s">
        <v>49</v>
      </c>
      <c r="F126" s="31">
        <f>F142*33.3</f>
        <v>799.19999999999993</v>
      </c>
      <c r="G126" s="31">
        <f>G142*33.3</f>
        <v>532.79999999999995</v>
      </c>
      <c r="H126" s="31">
        <f>H142*33.3</f>
        <v>432.9</v>
      </c>
      <c r="I126" s="31">
        <f>I142*33.3</f>
        <v>366.29999999999995</v>
      </c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13"/>
      <c r="AJ126" s="13"/>
    </row>
    <row r="127" spans="1:36" s="12" customFormat="1" ht="14.25" x14ac:dyDescent="0.2">
      <c r="A127" s="7"/>
      <c r="B127" s="97"/>
      <c r="D127" s="30" t="s">
        <v>31</v>
      </c>
      <c r="E127" s="28" t="s">
        <v>46</v>
      </c>
      <c r="F127" s="31">
        <f>F116*1.8</f>
        <v>495</v>
      </c>
      <c r="G127" s="31">
        <f t="shared" ref="G127:I127" si="4">G116*1.8</f>
        <v>253.8</v>
      </c>
      <c r="H127" s="31">
        <f t="shared" si="4"/>
        <v>169.20000000000002</v>
      </c>
      <c r="I127" s="31">
        <f t="shared" si="4"/>
        <v>126</v>
      </c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13"/>
      <c r="AJ127" s="13"/>
    </row>
    <row r="128" spans="1:36" s="12" customFormat="1" ht="14.25" x14ac:dyDescent="0.2">
      <c r="A128" s="7"/>
      <c r="B128" s="97"/>
      <c r="D128" s="30" t="s">
        <v>31</v>
      </c>
      <c r="E128" s="28" t="s">
        <v>47</v>
      </c>
      <c r="F128" s="31">
        <f t="shared" ref="F128:I128" si="5">F117*1.8</f>
        <v>558</v>
      </c>
      <c r="G128" s="31">
        <f t="shared" si="5"/>
        <v>320.40000000000003</v>
      </c>
      <c r="H128" s="31">
        <f t="shared" si="5"/>
        <v>228.6</v>
      </c>
      <c r="I128" s="31">
        <f t="shared" si="5"/>
        <v>180</v>
      </c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13"/>
      <c r="AJ128" s="13"/>
    </row>
    <row r="129" spans="1:36" s="12" customFormat="1" ht="14.25" x14ac:dyDescent="0.2">
      <c r="A129" s="7"/>
      <c r="B129" s="97"/>
      <c r="D129" s="30" t="s">
        <v>31</v>
      </c>
      <c r="E129" s="28" t="s">
        <v>48</v>
      </c>
      <c r="F129" s="31">
        <f t="shared" ref="F129:I129" si="6">F118*1.8</f>
        <v>568.80000000000007</v>
      </c>
      <c r="G129" s="31">
        <f t="shared" si="6"/>
        <v>347.40000000000003</v>
      </c>
      <c r="H129" s="31">
        <f t="shared" si="6"/>
        <v>257.40000000000003</v>
      </c>
      <c r="I129" s="31">
        <f t="shared" si="6"/>
        <v>208.8</v>
      </c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13"/>
      <c r="AJ129" s="13"/>
    </row>
    <row r="130" spans="1:36" s="12" customFormat="1" ht="14.25" x14ac:dyDescent="0.2">
      <c r="A130" s="7"/>
      <c r="B130" s="97"/>
      <c r="D130" s="30" t="s">
        <v>31</v>
      </c>
      <c r="E130" s="28" t="s">
        <v>49</v>
      </c>
      <c r="F130" s="31">
        <f t="shared" ref="F130:I130" si="7">F119*1.8</f>
        <v>540</v>
      </c>
      <c r="G130" s="31">
        <f t="shared" si="7"/>
        <v>313.2</v>
      </c>
      <c r="H130" s="31">
        <f t="shared" si="7"/>
        <v>226.8</v>
      </c>
      <c r="I130" s="31">
        <f t="shared" si="7"/>
        <v>178.20000000000002</v>
      </c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13"/>
      <c r="AJ130" s="13"/>
    </row>
    <row r="131" spans="1:36" s="12" customFormat="1" ht="14.25" x14ac:dyDescent="0.2">
      <c r="A131" s="7"/>
      <c r="B131" s="9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13"/>
      <c r="AJ131" s="13"/>
    </row>
    <row r="132" spans="1:36" s="12" customFormat="1" ht="19.5" x14ac:dyDescent="0.25">
      <c r="A132" s="7"/>
      <c r="B132" s="97"/>
      <c r="D132" s="122" t="s">
        <v>99</v>
      </c>
      <c r="E132" s="123"/>
      <c r="F132" s="123"/>
      <c r="G132" s="123"/>
      <c r="H132" s="123"/>
      <c r="I132" s="124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13"/>
      <c r="AJ132" s="13"/>
    </row>
    <row r="133" spans="1:36" s="12" customFormat="1" ht="14.25" x14ac:dyDescent="0.2">
      <c r="A133" s="7"/>
      <c r="B133" s="97"/>
      <c r="D133" s="32"/>
      <c r="E133" s="22"/>
      <c r="F133" s="22">
        <v>2020</v>
      </c>
      <c r="G133" s="22">
        <v>2030</v>
      </c>
      <c r="H133" s="22">
        <v>2040</v>
      </c>
      <c r="I133" s="22">
        <v>2050</v>
      </c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13"/>
      <c r="AJ133" s="13"/>
    </row>
    <row r="134" spans="1:36" s="12" customFormat="1" ht="14.25" x14ac:dyDescent="0.2">
      <c r="A134" s="7"/>
      <c r="B134" s="97"/>
      <c r="D134" s="102" t="s">
        <v>51</v>
      </c>
      <c r="E134" s="22" t="s">
        <v>50</v>
      </c>
      <c r="F134" s="23">
        <f>F107</f>
        <v>221</v>
      </c>
      <c r="G134" s="23">
        <f>G107</f>
        <v>118</v>
      </c>
      <c r="H134" s="23">
        <f>H107</f>
        <v>95</v>
      </c>
      <c r="I134" s="23">
        <f>I107</f>
        <v>95</v>
      </c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13"/>
      <c r="AJ134" s="13"/>
    </row>
    <row r="135" spans="1:36" s="12" customFormat="1" ht="14.25" x14ac:dyDescent="0.2">
      <c r="A135" s="7"/>
      <c r="B135" s="97"/>
      <c r="D135" s="102"/>
      <c r="E135" s="22" t="s">
        <v>55</v>
      </c>
      <c r="F135" s="23">
        <f>F119</f>
        <v>300</v>
      </c>
      <c r="G135" s="23">
        <f>G119</f>
        <v>174</v>
      </c>
      <c r="H135" s="23">
        <f>H119</f>
        <v>126</v>
      </c>
      <c r="I135" s="23">
        <f>I119</f>
        <v>99</v>
      </c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13"/>
      <c r="AJ135" s="13"/>
    </row>
    <row r="136" spans="1:36" s="12" customFormat="1" ht="14.25" x14ac:dyDescent="0.2">
      <c r="A136" s="7"/>
      <c r="B136" s="97"/>
      <c r="D136" s="102" t="s">
        <v>52</v>
      </c>
      <c r="E136" s="22" t="s">
        <v>50</v>
      </c>
      <c r="F136" s="23">
        <f>F109</f>
        <v>793</v>
      </c>
      <c r="G136" s="23">
        <f>G109</f>
        <v>289</v>
      </c>
      <c r="H136" s="23">
        <f>H109</f>
        <v>232</v>
      </c>
      <c r="I136" s="23">
        <f>I109</f>
        <v>232</v>
      </c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13"/>
      <c r="AJ136" s="13"/>
    </row>
    <row r="137" spans="1:36" s="12" customFormat="1" ht="14.25" x14ac:dyDescent="0.2">
      <c r="A137" s="7"/>
      <c r="B137" s="97"/>
      <c r="D137" s="102"/>
      <c r="E137" s="22" t="s">
        <v>55</v>
      </c>
      <c r="F137" s="23">
        <f>F123</f>
        <v>392</v>
      </c>
      <c r="G137" s="23">
        <f>G123</f>
        <v>204</v>
      </c>
      <c r="H137" s="23">
        <f>H123</f>
        <v>138</v>
      </c>
      <c r="I137" s="23">
        <f>I123</f>
        <v>104</v>
      </c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13"/>
      <c r="AJ137" s="13"/>
    </row>
    <row r="138" spans="1:36" s="12" customFormat="1" ht="14.25" x14ac:dyDescent="0.2">
      <c r="A138" s="7"/>
      <c r="B138" s="97"/>
      <c r="D138" s="102" t="s">
        <v>53</v>
      </c>
      <c r="E138" s="22" t="s">
        <v>50</v>
      </c>
      <c r="F138" s="23">
        <f>F111+F112</f>
        <v>83</v>
      </c>
      <c r="G138" s="23">
        <f>G111+G112</f>
        <v>47</v>
      </c>
      <c r="H138" s="23">
        <f>H111+H112</f>
        <v>42</v>
      </c>
      <c r="I138" s="23">
        <f>I111+I112</f>
        <v>42</v>
      </c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13"/>
      <c r="AJ138" s="13"/>
    </row>
    <row r="139" spans="1:36" s="12" customFormat="1" ht="14.25" x14ac:dyDescent="0.2">
      <c r="A139" s="7"/>
      <c r="B139" s="97"/>
      <c r="D139" s="102"/>
      <c r="E139" s="22" t="s">
        <v>55</v>
      </c>
      <c r="F139" s="23">
        <f>F124+F125</f>
        <v>90</v>
      </c>
      <c r="G139" s="23">
        <f>G124+G125</f>
        <v>83</v>
      </c>
      <c r="H139" s="23">
        <f>H124+H125</f>
        <v>81</v>
      </c>
      <c r="I139" s="23">
        <f>I124+I125</f>
        <v>78</v>
      </c>
      <c r="J139" s="7"/>
      <c r="K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13"/>
      <c r="AJ139" s="13"/>
    </row>
    <row r="140" spans="1:36" s="12" customFormat="1" ht="14.25" x14ac:dyDescent="0.2">
      <c r="A140" s="7"/>
      <c r="B140" s="97"/>
      <c r="D140" s="102" t="s">
        <v>54</v>
      </c>
      <c r="E140" s="22" t="s">
        <v>50</v>
      </c>
      <c r="F140" s="23">
        <f>F110</f>
        <v>900</v>
      </c>
      <c r="G140" s="23">
        <f>G110</f>
        <v>525</v>
      </c>
      <c r="H140" s="23">
        <f>H110</f>
        <v>450</v>
      </c>
      <c r="I140" s="23">
        <f>I110</f>
        <v>450</v>
      </c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13"/>
      <c r="AJ140" s="13"/>
    </row>
    <row r="141" spans="1:36" s="12" customFormat="1" ht="15" thickBot="1" x14ac:dyDescent="0.25">
      <c r="A141" s="7"/>
      <c r="B141" s="98"/>
      <c r="D141" s="102"/>
      <c r="E141" s="22" t="s">
        <v>55</v>
      </c>
      <c r="F141" s="33">
        <f>F126*33.33</f>
        <v>26637.335999999996</v>
      </c>
      <c r="G141" s="33">
        <f>G126*33.33</f>
        <v>17758.223999999998</v>
      </c>
      <c r="H141" s="33">
        <f>H126*33.33</f>
        <v>14428.556999999999</v>
      </c>
      <c r="I141" s="33">
        <f>I126*33.33</f>
        <v>12208.778999999999</v>
      </c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13"/>
      <c r="AJ141" s="13"/>
    </row>
    <row r="142" spans="1:36" s="12" customFormat="1" x14ac:dyDescent="0.25">
      <c r="A142" s="7"/>
      <c r="B142" s="49"/>
      <c r="D142" s="7"/>
      <c r="E142" s="34"/>
      <c r="F142" s="35">
        <v>24</v>
      </c>
      <c r="G142" s="35">
        <v>16</v>
      </c>
      <c r="H142" s="35">
        <v>13</v>
      </c>
      <c r="I142" s="35">
        <v>11</v>
      </c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13"/>
      <c r="AJ142" s="13"/>
    </row>
    <row r="143" spans="1:36" s="12" customFormat="1" ht="18.75" thickBot="1" x14ac:dyDescent="0.3">
      <c r="A143" s="7"/>
      <c r="B143" s="49"/>
      <c r="D143" s="7"/>
      <c r="E143" s="34"/>
      <c r="F143" s="35"/>
      <c r="G143" s="35"/>
      <c r="H143" s="35"/>
      <c r="I143" s="35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13"/>
      <c r="AJ143" s="13"/>
    </row>
    <row r="144" spans="1:36" s="12" customFormat="1" ht="14.25" x14ac:dyDescent="0.2">
      <c r="A144" s="7"/>
      <c r="B144" s="96" t="s">
        <v>130</v>
      </c>
      <c r="D144" s="14" t="s">
        <v>2</v>
      </c>
      <c r="E144" s="15">
        <v>1</v>
      </c>
      <c r="F144" s="15">
        <v>2</v>
      </c>
      <c r="G144" s="15">
        <v>3</v>
      </c>
      <c r="H144" s="15">
        <v>4</v>
      </c>
      <c r="I144" s="15">
        <v>5</v>
      </c>
      <c r="J144" s="15">
        <v>6</v>
      </c>
      <c r="K144" s="15">
        <v>7</v>
      </c>
      <c r="L144" s="15">
        <v>8</v>
      </c>
      <c r="M144" s="15">
        <v>9</v>
      </c>
      <c r="N144" s="15">
        <v>10</v>
      </c>
      <c r="O144" s="15">
        <v>11</v>
      </c>
      <c r="P144" s="15">
        <v>12</v>
      </c>
      <c r="Q144" s="15">
        <v>13</v>
      </c>
      <c r="R144" s="15">
        <v>14</v>
      </c>
      <c r="S144" s="15">
        <v>15</v>
      </c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13"/>
      <c r="AJ144" s="13"/>
    </row>
    <row r="145" spans="1:36" s="12" customFormat="1" ht="14.25" x14ac:dyDescent="0.2">
      <c r="A145" s="7"/>
      <c r="B145" s="97"/>
      <c r="D145" s="14" t="s">
        <v>128</v>
      </c>
      <c r="E145" s="15">
        <v>0.6</v>
      </c>
      <c r="F145" s="15">
        <v>0.78571428600000004</v>
      </c>
      <c r="G145" s="15">
        <v>0.97142857100000002</v>
      </c>
      <c r="H145" s="15">
        <v>1.157142857</v>
      </c>
      <c r="I145" s="15">
        <v>1.342857143</v>
      </c>
      <c r="J145" s="15">
        <v>1.5285714290000001</v>
      </c>
      <c r="K145" s="15">
        <v>1.7142857140000001</v>
      </c>
      <c r="L145" s="15">
        <v>1.9</v>
      </c>
      <c r="M145" s="15">
        <v>2.085714286</v>
      </c>
      <c r="N145" s="15">
        <v>2.271428571</v>
      </c>
      <c r="O145" s="15">
        <v>2.457142857</v>
      </c>
      <c r="P145" s="15">
        <v>2.6428571430000001</v>
      </c>
      <c r="Q145" s="15">
        <v>2.8285714290000001</v>
      </c>
      <c r="R145" s="15">
        <v>3.0142857140000001</v>
      </c>
      <c r="S145" s="15">
        <v>3.2</v>
      </c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13"/>
      <c r="AJ145" s="13"/>
    </row>
    <row r="146" spans="1:36" s="12" customFormat="1" ht="14.25" x14ac:dyDescent="0.2">
      <c r="A146" s="7"/>
      <c r="B146" s="9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13"/>
      <c r="AJ146" s="13"/>
    </row>
    <row r="147" spans="1:36" s="12" customFormat="1" ht="14.25" x14ac:dyDescent="0.2">
      <c r="A147" s="7"/>
      <c r="B147" s="97"/>
      <c r="D147" s="14" t="s">
        <v>1</v>
      </c>
      <c r="E147" s="14" t="s">
        <v>6</v>
      </c>
      <c r="F147" s="14" t="s">
        <v>25</v>
      </c>
      <c r="G147" s="14" t="s">
        <v>38</v>
      </c>
      <c r="H147" s="14" t="s">
        <v>39</v>
      </c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13"/>
      <c r="AJ147" s="13"/>
    </row>
    <row r="148" spans="1:36" s="12" customFormat="1" ht="14.25" x14ac:dyDescent="0.2">
      <c r="A148" s="7"/>
      <c r="B148" s="97"/>
      <c r="D148" s="14">
        <v>0</v>
      </c>
      <c r="E148" s="15">
        <v>11</v>
      </c>
      <c r="F148" s="15">
        <v>12.1</v>
      </c>
      <c r="G148" s="15">
        <v>7.5</v>
      </c>
      <c r="H148" s="15">
        <v>7.89</v>
      </c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13"/>
      <c r="AJ148" s="13"/>
    </row>
    <row r="149" spans="1:36" s="12" customFormat="1" ht="14.25" x14ac:dyDescent="0.2">
      <c r="A149" s="7"/>
      <c r="B149" s="97"/>
      <c r="D149" s="14">
        <v>1</v>
      </c>
      <c r="E149" s="15">
        <v>11</v>
      </c>
      <c r="F149" s="15">
        <v>12.1</v>
      </c>
      <c r="G149" s="15">
        <v>7.5</v>
      </c>
      <c r="H149" s="15">
        <v>7.89</v>
      </c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13"/>
      <c r="AJ149" s="13"/>
    </row>
    <row r="150" spans="1:36" s="12" customFormat="1" ht="14.25" x14ac:dyDescent="0.2">
      <c r="A150" s="7"/>
      <c r="B150" s="97"/>
      <c r="D150" s="14">
        <v>2</v>
      </c>
      <c r="E150" s="15">
        <v>11</v>
      </c>
      <c r="F150" s="15">
        <v>12.1</v>
      </c>
      <c r="G150" s="15">
        <v>7.5</v>
      </c>
      <c r="H150" s="15">
        <v>7.89</v>
      </c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13"/>
      <c r="AJ150" s="13"/>
    </row>
    <row r="151" spans="1:36" s="12" customFormat="1" ht="14.25" x14ac:dyDescent="0.2">
      <c r="A151" s="7"/>
      <c r="B151" s="97"/>
      <c r="D151" s="14">
        <v>3</v>
      </c>
      <c r="E151" s="15">
        <v>15.77</v>
      </c>
      <c r="F151" s="15">
        <v>17.350000000000001</v>
      </c>
      <c r="G151" s="15">
        <v>10.51</v>
      </c>
      <c r="H151" s="15">
        <v>11.05</v>
      </c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13"/>
      <c r="AJ151" s="13"/>
    </row>
    <row r="152" spans="1:36" s="12" customFormat="1" ht="14.25" x14ac:dyDescent="0.2">
      <c r="A152" s="7"/>
      <c r="B152" s="97"/>
      <c r="D152" s="14" t="s">
        <v>13</v>
      </c>
      <c r="E152" s="15">
        <v>15.77</v>
      </c>
      <c r="F152" s="15">
        <v>17.350000000000001</v>
      </c>
      <c r="G152" s="15">
        <v>10.51</v>
      </c>
      <c r="H152" s="15">
        <v>11.05</v>
      </c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13"/>
      <c r="AJ152" s="13"/>
    </row>
    <row r="153" spans="1:36" s="12" customFormat="1" ht="14.25" x14ac:dyDescent="0.2">
      <c r="A153" s="7"/>
      <c r="B153" s="97"/>
      <c r="D153" s="14" t="s">
        <v>14</v>
      </c>
      <c r="E153" s="15">
        <v>15.77</v>
      </c>
      <c r="F153" s="15">
        <v>17.350000000000001</v>
      </c>
      <c r="G153" s="15">
        <v>10.51</v>
      </c>
      <c r="H153" s="15">
        <v>11.05</v>
      </c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13"/>
      <c r="AJ153" s="13"/>
    </row>
    <row r="154" spans="1:36" s="12" customFormat="1" ht="14.25" x14ac:dyDescent="0.2">
      <c r="A154" s="7"/>
      <c r="B154" s="97"/>
      <c r="D154" s="14" t="s">
        <v>15</v>
      </c>
      <c r="E154" s="15">
        <v>15.77</v>
      </c>
      <c r="F154" s="15">
        <v>17.350000000000001</v>
      </c>
      <c r="G154" s="15">
        <v>10.51</v>
      </c>
      <c r="H154" s="15">
        <v>11.05</v>
      </c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13"/>
      <c r="AJ154" s="13"/>
    </row>
    <row r="155" spans="1:36" s="12" customFormat="1" ht="14.25" x14ac:dyDescent="0.2">
      <c r="A155" s="7"/>
      <c r="B155" s="97"/>
      <c r="D155" s="14" t="s">
        <v>16</v>
      </c>
      <c r="E155" s="15">
        <v>18.5</v>
      </c>
      <c r="F155" s="15">
        <v>19.43</v>
      </c>
      <c r="G155" s="15">
        <v>13.24</v>
      </c>
      <c r="H155" s="15">
        <v>13.78</v>
      </c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13"/>
      <c r="AJ155" s="13"/>
    </row>
    <row r="156" spans="1:36" s="12" customFormat="1" ht="14.25" x14ac:dyDescent="0.2">
      <c r="A156" s="7"/>
      <c r="B156" s="97"/>
      <c r="D156" s="14" t="s">
        <v>17</v>
      </c>
      <c r="E156" s="15">
        <v>18.5</v>
      </c>
      <c r="F156" s="15">
        <v>19.43</v>
      </c>
      <c r="G156" s="15">
        <v>13.24</v>
      </c>
      <c r="H156" s="15">
        <v>13.78</v>
      </c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13"/>
      <c r="AJ156" s="13"/>
    </row>
    <row r="157" spans="1:36" s="12" customFormat="1" ht="14.25" x14ac:dyDescent="0.2">
      <c r="A157" s="7"/>
      <c r="B157" s="97"/>
      <c r="D157" s="14" t="s">
        <v>18</v>
      </c>
      <c r="E157" s="15">
        <v>15.77</v>
      </c>
      <c r="F157" s="15">
        <v>17.350000000000001</v>
      </c>
      <c r="G157" s="15">
        <v>10.51</v>
      </c>
      <c r="H157" s="15">
        <v>11.05</v>
      </c>
      <c r="I157" s="35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13"/>
      <c r="AJ157" s="13"/>
    </row>
    <row r="158" spans="1:36" s="12" customFormat="1" ht="14.25" x14ac:dyDescent="0.2">
      <c r="A158" s="7"/>
      <c r="B158" s="97"/>
      <c r="D158" s="14" t="s">
        <v>19</v>
      </c>
      <c r="E158" s="15">
        <v>15.77</v>
      </c>
      <c r="F158" s="15">
        <v>17.350000000000001</v>
      </c>
      <c r="G158" s="15">
        <v>10.51</v>
      </c>
      <c r="H158" s="15">
        <v>11.05</v>
      </c>
      <c r="I158" s="35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13"/>
      <c r="AJ158" s="13"/>
    </row>
    <row r="159" spans="1:36" s="12" customFormat="1" ht="14.25" x14ac:dyDescent="0.2">
      <c r="A159" s="7"/>
      <c r="B159" s="97"/>
      <c r="D159" s="14" t="s">
        <v>20</v>
      </c>
      <c r="E159" s="15">
        <v>18.5</v>
      </c>
      <c r="F159" s="15">
        <v>19.43</v>
      </c>
      <c r="G159" s="15">
        <v>13.24</v>
      </c>
      <c r="H159" s="15">
        <v>13.78</v>
      </c>
      <c r="I159" s="35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13"/>
      <c r="AJ159" s="13"/>
    </row>
    <row r="160" spans="1:36" s="12" customFormat="1" ht="14.25" x14ac:dyDescent="0.2">
      <c r="A160" s="7"/>
      <c r="B160" s="97"/>
      <c r="D160" s="14" t="s">
        <v>21</v>
      </c>
      <c r="E160" s="15">
        <v>18.5</v>
      </c>
      <c r="F160" s="15">
        <v>19.43</v>
      </c>
      <c r="G160" s="15">
        <v>13.24</v>
      </c>
      <c r="H160" s="15">
        <v>13.78</v>
      </c>
      <c r="I160" s="35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/>
      <c r="AH160" s="7"/>
      <c r="AI160" s="13"/>
      <c r="AJ160" s="13"/>
    </row>
    <row r="161" spans="1:36" s="12" customFormat="1" ht="14.25" x14ac:dyDescent="0.2">
      <c r="A161" s="7"/>
      <c r="B161" s="97"/>
      <c r="D161" s="14">
        <v>11</v>
      </c>
      <c r="E161" s="15">
        <v>15.77</v>
      </c>
      <c r="F161" s="15">
        <v>17.350000000000001</v>
      </c>
      <c r="G161" s="15">
        <v>10.51</v>
      </c>
      <c r="H161" s="15">
        <v>11.05</v>
      </c>
      <c r="I161" s="35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13"/>
      <c r="AJ161" s="13"/>
    </row>
    <row r="162" spans="1:36" s="12" customFormat="1" ht="14.25" x14ac:dyDescent="0.2">
      <c r="A162" s="7"/>
      <c r="B162" s="97"/>
      <c r="D162" s="14">
        <v>12</v>
      </c>
      <c r="E162" s="15">
        <v>18.5</v>
      </c>
      <c r="F162" s="15">
        <v>19.43</v>
      </c>
      <c r="G162" s="15">
        <v>13.24</v>
      </c>
      <c r="H162" s="15">
        <v>13.78</v>
      </c>
      <c r="I162" s="35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13"/>
      <c r="AJ162" s="13"/>
    </row>
    <row r="163" spans="1:36" s="12" customFormat="1" ht="15" thickBot="1" x14ac:dyDescent="0.25">
      <c r="A163" s="7"/>
      <c r="B163" s="98"/>
      <c r="D163" s="14">
        <v>16</v>
      </c>
      <c r="E163" s="15">
        <v>11.14</v>
      </c>
      <c r="F163" s="15">
        <v>11.93</v>
      </c>
      <c r="G163" s="15">
        <v>7.73</v>
      </c>
      <c r="H163" s="15">
        <v>7.73</v>
      </c>
      <c r="I163" s="35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7"/>
      <c r="AI163" s="13"/>
      <c r="AJ163" s="13"/>
    </row>
    <row r="164" spans="1:36" s="12" customFormat="1" x14ac:dyDescent="0.25">
      <c r="A164" s="7"/>
      <c r="B164" s="49"/>
      <c r="D164" s="7"/>
      <c r="E164" s="34"/>
      <c r="F164" s="35"/>
      <c r="G164" s="35"/>
      <c r="H164" s="35"/>
      <c r="I164" s="35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13"/>
      <c r="AJ164" s="13"/>
    </row>
    <row r="165" spans="1:36" s="12" customFormat="1" x14ac:dyDescent="0.25">
      <c r="A165" s="7"/>
      <c r="B165" s="49"/>
      <c r="D165" s="7"/>
      <c r="E165" s="34"/>
      <c r="F165" s="35"/>
      <c r="G165" s="35"/>
      <c r="H165" s="35"/>
      <c r="I165" s="35"/>
      <c r="J165" s="7"/>
      <c r="K165" s="119" t="s">
        <v>45</v>
      </c>
      <c r="L165" s="119"/>
      <c r="M165" s="36">
        <v>1.2</v>
      </c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7"/>
      <c r="AI165" s="13"/>
      <c r="AJ165" s="13"/>
    </row>
    <row r="166" spans="1:36" s="12" customFormat="1" x14ac:dyDescent="0.25">
      <c r="A166" s="7"/>
      <c r="B166" s="49"/>
      <c r="D166" s="7"/>
      <c r="E166" s="34"/>
      <c r="F166" s="35"/>
      <c r="G166" s="35"/>
      <c r="H166" s="35"/>
      <c r="I166" s="35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13"/>
      <c r="AJ166" s="13"/>
    </row>
    <row r="167" spans="1:36" s="38" customFormat="1" ht="18.75" thickBot="1" x14ac:dyDescent="0.3">
      <c r="A167" s="18"/>
      <c r="B167" s="50"/>
      <c r="D167" s="18"/>
      <c r="E167" s="22"/>
      <c r="F167" s="22"/>
      <c r="G167" s="22"/>
      <c r="H167" s="22">
        <v>2022</v>
      </c>
      <c r="I167" s="22">
        <v>2030</v>
      </c>
      <c r="J167" s="22">
        <v>2040</v>
      </c>
      <c r="K167" s="18"/>
      <c r="L167" s="18"/>
      <c r="M167" s="18"/>
      <c r="N167" s="22"/>
      <c r="O167" s="22">
        <v>2022</v>
      </c>
      <c r="P167" s="22">
        <v>2030</v>
      </c>
      <c r="Q167" s="22">
        <v>2040</v>
      </c>
      <c r="R167" s="18"/>
      <c r="S167" s="22"/>
      <c r="T167" s="22"/>
      <c r="U167" s="22"/>
      <c r="V167" s="22">
        <v>2022</v>
      </c>
      <c r="W167" s="22">
        <v>2030</v>
      </c>
      <c r="X167" s="22">
        <v>2040</v>
      </c>
      <c r="Y167" s="18"/>
      <c r="Z167" s="22"/>
      <c r="AA167" s="22"/>
      <c r="AB167" s="22"/>
      <c r="AC167" s="22">
        <v>2022</v>
      </c>
      <c r="AD167" s="22">
        <v>2030</v>
      </c>
      <c r="AE167" s="22">
        <v>2040</v>
      </c>
      <c r="AF167" s="18"/>
      <c r="AG167" s="18"/>
      <c r="AH167" s="18"/>
      <c r="AI167" s="37"/>
      <c r="AJ167" s="37"/>
    </row>
    <row r="168" spans="1:36" s="12" customFormat="1" ht="15.75" customHeight="1" x14ac:dyDescent="0.2">
      <c r="A168" s="7"/>
      <c r="B168" s="96" t="s">
        <v>100</v>
      </c>
      <c r="D168" s="99" t="s">
        <v>101</v>
      </c>
      <c r="E168" s="39">
        <v>0</v>
      </c>
      <c r="F168" s="28"/>
      <c r="G168" s="28" t="s">
        <v>40</v>
      </c>
      <c r="H168" s="23">
        <v>21.17</v>
      </c>
      <c r="I168" s="23">
        <v>21.17</v>
      </c>
      <c r="J168" s="23">
        <v>21.17</v>
      </c>
      <c r="K168" s="99" t="s">
        <v>102</v>
      </c>
      <c r="L168" s="28">
        <v>0</v>
      </c>
      <c r="M168" s="28"/>
      <c r="N168" s="28" t="s">
        <v>41</v>
      </c>
      <c r="O168" s="33">
        <f t="shared" ref="O168:O182" si="8">H168/$M$165</f>
        <v>17.641666666666669</v>
      </c>
      <c r="P168" s="33">
        <f t="shared" ref="P168:P182" si="9">I168/$M$165</f>
        <v>17.641666666666669</v>
      </c>
      <c r="Q168" s="33">
        <f t="shared" ref="Q168:Q182" si="10">J168/$M$165</f>
        <v>17.641666666666669</v>
      </c>
      <c r="R168" s="99" t="s">
        <v>103</v>
      </c>
      <c r="S168" s="28">
        <v>0</v>
      </c>
      <c r="T168" s="28"/>
      <c r="U168" s="28" t="s">
        <v>42</v>
      </c>
      <c r="V168" s="23">
        <v>0.57999999999999996</v>
      </c>
      <c r="W168" s="23">
        <v>0.48</v>
      </c>
      <c r="X168" s="23">
        <v>0.48</v>
      </c>
      <c r="Y168" s="99" t="s">
        <v>104</v>
      </c>
      <c r="Z168" s="28">
        <v>0</v>
      </c>
      <c r="AA168" s="28"/>
      <c r="AB168" s="28" t="s">
        <v>44</v>
      </c>
      <c r="AC168" s="23">
        <v>3.33</v>
      </c>
      <c r="AD168" s="23">
        <v>2.48</v>
      </c>
      <c r="AE168" s="23">
        <v>2.27</v>
      </c>
      <c r="AF168" s="7"/>
      <c r="AG168" s="7"/>
      <c r="AH168" s="7"/>
      <c r="AI168" s="13"/>
      <c r="AJ168" s="13"/>
    </row>
    <row r="169" spans="1:36" s="12" customFormat="1" ht="14.25" x14ac:dyDescent="0.2">
      <c r="A169" s="7"/>
      <c r="B169" s="97"/>
      <c r="D169" s="100"/>
      <c r="E169" s="39">
        <v>1</v>
      </c>
      <c r="F169" s="28"/>
      <c r="G169" s="28" t="s">
        <v>40</v>
      </c>
      <c r="H169" s="23">
        <v>21.93</v>
      </c>
      <c r="I169" s="23">
        <v>21.93</v>
      </c>
      <c r="J169" s="23">
        <v>21.93</v>
      </c>
      <c r="K169" s="100"/>
      <c r="L169" s="28">
        <v>1</v>
      </c>
      <c r="M169" s="28"/>
      <c r="N169" s="28" t="s">
        <v>41</v>
      </c>
      <c r="O169" s="33">
        <f t="shared" si="8"/>
        <v>18.275000000000002</v>
      </c>
      <c r="P169" s="33">
        <f t="shared" si="9"/>
        <v>18.275000000000002</v>
      </c>
      <c r="Q169" s="33">
        <f t="shared" si="10"/>
        <v>18.275000000000002</v>
      </c>
      <c r="R169" s="100"/>
      <c r="S169" s="28">
        <v>1</v>
      </c>
      <c r="T169" s="28"/>
      <c r="U169" s="28" t="s">
        <v>42</v>
      </c>
      <c r="V169" s="23">
        <v>0.6</v>
      </c>
      <c r="W169" s="23">
        <v>0.5</v>
      </c>
      <c r="X169" s="23">
        <v>0.5</v>
      </c>
      <c r="Y169" s="100"/>
      <c r="Z169" s="28">
        <v>1</v>
      </c>
      <c r="AA169" s="28"/>
      <c r="AB169" s="28" t="s">
        <v>44</v>
      </c>
      <c r="AC169" s="23">
        <v>3.45</v>
      </c>
      <c r="AD169" s="23">
        <v>2.57</v>
      </c>
      <c r="AE169" s="23">
        <v>2.35</v>
      </c>
      <c r="AF169" s="7"/>
      <c r="AG169" s="7"/>
      <c r="AH169" s="7"/>
      <c r="AI169" s="13"/>
      <c r="AJ169" s="13"/>
    </row>
    <row r="170" spans="1:36" s="12" customFormat="1" ht="14.25" x14ac:dyDescent="0.2">
      <c r="A170" s="7"/>
      <c r="B170" s="97"/>
      <c r="D170" s="100"/>
      <c r="E170" s="39">
        <v>2</v>
      </c>
      <c r="F170" s="28"/>
      <c r="G170" s="28" t="s">
        <v>40</v>
      </c>
      <c r="H170" s="23">
        <v>22.69</v>
      </c>
      <c r="I170" s="23">
        <v>22.69</v>
      </c>
      <c r="J170" s="23">
        <v>22.69</v>
      </c>
      <c r="K170" s="100"/>
      <c r="L170" s="28">
        <v>2</v>
      </c>
      <c r="M170" s="28"/>
      <c r="N170" s="28" t="s">
        <v>41</v>
      </c>
      <c r="O170" s="33">
        <f t="shared" si="8"/>
        <v>18.908333333333335</v>
      </c>
      <c r="P170" s="33">
        <f t="shared" si="9"/>
        <v>18.908333333333335</v>
      </c>
      <c r="Q170" s="33">
        <f t="shared" si="10"/>
        <v>18.908333333333335</v>
      </c>
      <c r="R170" s="100"/>
      <c r="S170" s="28">
        <v>2</v>
      </c>
      <c r="T170" s="28"/>
      <c r="U170" s="28" t="s">
        <v>42</v>
      </c>
      <c r="V170" s="23">
        <v>0.62</v>
      </c>
      <c r="W170" s="23">
        <v>0.51</v>
      </c>
      <c r="X170" s="23">
        <v>0.51</v>
      </c>
      <c r="Y170" s="100"/>
      <c r="Z170" s="28">
        <v>2</v>
      </c>
      <c r="AA170" s="28"/>
      <c r="AB170" s="28" t="s">
        <v>44</v>
      </c>
      <c r="AC170" s="23">
        <v>3.56</v>
      </c>
      <c r="AD170" s="23">
        <v>2.64</v>
      </c>
      <c r="AE170" s="23">
        <v>2.42</v>
      </c>
      <c r="AF170" s="7"/>
      <c r="AG170" s="7"/>
      <c r="AH170" s="7"/>
      <c r="AI170" s="13"/>
      <c r="AJ170" s="13"/>
    </row>
    <row r="171" spans="1:36" s="12" customFormat="1" ht="14.25" x14ac:dyDescent="0.2">
      <c r="A171" s="7"/>
      <c r="B171" s="97"/>
      <c r="D171" s="100"/>
      <c r="E171" s="39">
        <v>3</v>
      </c>
      <c r="F171" s="28"/>
      <c r="G171" s="28" t="s">
        <v>40</v>
      </c>
      <c r="H171" s="23">
        <v>24.43</v>
      </c>
      <c r="I171" s="23">
        <v>24.43</v>
      </c>
      <c r="J171" s="23">
        <v>24.43</v>
      </c>
      <c r="K171" s="100"/>
      <c r="L171" s="28">
        <v>3</v>
      </c>
      <c r="M171" s="28"/>
      <c r="N171" s="28" t="s">
        <v>41</v>
      </c>
      <c r="O171" s="33">
        <f t="shared" si="8"/>
        <v>20.358333333333334</v>
      </c>
      <c r="P171" s="33">
        <f t="shared" si="9"/>
        <v>20.358333333333334</v>
      </c>
      <c r="Q171" s="33">
        <f t="shared" si="10"/>
        <v>20.358333333333334</v>
      </c>
      <c r="R171" s="100"/>
      <c r="S171" s="28">
        <v>3</v>
      </c>
      <c r="T171" s="28"/>
      <c r="U171" s="28" t="s">
        <v>42</v>
      </c>
      <c r="V171" s="23">
        <v>0.8</v>
      </c>
      <c r="W171" s="23">
        <v>0.65</v>
      </c>
      <c r="X171" s="23">
        <v>0.65</v>
      </c>
      <c r="Y171" s="100"/>
      <c r="Z171" s="28">
        <v>3</v>
      </c>
      <c r="AA171" s="28"/>
      <c r="AB171" s="28" t="s">
        <v>44</v>
      </c>
      <c r="AC171" s="23">
        <v>4.59</v>
      </c>
      <c r="AD171" s="23">
        <v>3.37</v>
      </c>
      <c r="AE171" s="23">
        <v>3.09</v>
      </c>
      <c r="AF171" s="7"/>
      <c r="AG171" s="7"/>
      <c r="AH171" s="7"/>
      <c r="AI171" s="13"/>
      <c r="AJ171" s="13"/>
    </row>
    <row r="172" spans="1:36" s="12" customFormat="1" ht="14.25" x14ac:dyDescent="0.2">
      <c r="A172" s="7"/>
      <c r="B172" s="97"/>
      <c r="D172" s="100"/>
      <c r="E172" s="39" t="s">
        <v>13</v>
      </c>
      <c r="F172" s="28"/>
      <c r="G172" s="28" t="s">
        <v>40</v>
      </c>
      <c r="H172" s="23">
        <v>24.63</v>
      </c>
      <c r="I172" s="23">
        <v>24.63</v>
      </c>
      <c r="J172" s="23">
        <v>24.63</v>
      </c>
      <c r="K172" s="100"/>
      <c r="L172" s="28" t="s">
        <v>13</v>
      </c>
      <c r="M172" s="28"/>
      <c r="N172" s="28" t="s">
        <v>41</v>
      </c>
      <c r="O172" s="33">
        <f t="shared" si="8"/>
        <v>20.524999999999999</v>
      </c>
      <c r="P172" s="33">
        <f t="shared" si="9"/>
        <v>20.524999999999999</v>
      </c>
      <c r="Q172" s="33">
        <f t="shared" si="10"/>
        <v>20.524999999999999</v>
      </c>
      <c r="R172" s="100"/>
      <c r="S172" s="28" t="s">
        <v>13</v>
      </c>
      <c r="T172" s="28"/>
      <c r="U172" s="28" t="s">
        <v>42</v>
      </c>
      <c r="V172" s="23">
        <v>0.88</v>
      </c>
      <c r="W172" s="23">
        <v>0.66</v>
      </c>
      <c r="X172" s="23">
        <v>0.66</v>
      </c>
      <c r="Y172" s="100"/>
      <c r="Z172" s="28" t="s">
        <v>13</v>
      </c>
      <c r="AA172" s="28"/>
      <c r="AB172" s="28" t="s">
        <v>44</v>
      </c>
      <c r="AC172" s="23">
        <v>5.01</v>
      </c>
      <c r="AD172" s="23">
        <v>3.45</v>
      </c>
      <c r="AE172" s="23">
        <v>3.16</v>
      </c>
      <c r="AF172" s="7"/>
      <c r="AG172" s="7"/>
      <c r="AH172" s="7"/>
      <c r="AI172" s="13"/>
      <c r="AJ172" s="13"/>
    </row>
    <row r="173" spans="1:36" s="12" customFormat="1" ht="14.25" x14ac:dyDescent="0.2">
      <c r="A173" s="7"/>
      <c r="B173" s="97"/>
      <c r="D173" s="100"/>
      <c r="E173" s="39" t="s">
        <v>14</v>
      </c>
      <c r="F173" s="28"/>
      <c r="G173" s="28" t="s">
        <v>40</v>
      </c>
      <c r="H173" s="23">
        <v>25.15</v>
      </c>
      <c r="I173" s="23">
        <v>25.15</v>
      </c>
      <c r="J173" s="23">
        <v>25.15</v>
      </c>
      <c r="K173" s="100"/>
      <c r="L173" s="28" t="s">
        <v>14</v>
      </c>
      <c r="M173" s="28"/>
      <c r="N173" s="28" t="s">
        <v>41</v>
      </c>
      <c r="O173" s="33">
        <f t="shared" si="8"/>
        <v>20.958333333333332</v>
      </c>
      <c r="P173" s="33">
        <f t="shared" si="9"/>
        <v>20.958333333333332</v>
      </c>
      <c r="Q173" s="33">
        <f t="shared" si="10"/>
        <v>20.958333333333332</v>
      </c>
      <c r="R173" s="100"/>
      <c r="S173" s="28" t="s">
        <v>14</v>
      </c>
      <c r="T173" s="28"/>
      <c r="U173" s="28" t="s">
        <v>42</v>
      </c>
      <c r="V173" s="23">
        <v>0.95</v>
      </c>
      <c r="W173" s="23">
        <v>0.72</v>
      </c>
      <c r="X173" s="23">
        <v>0.72</v>
      </c>
      <c r="Y173" s="100"/>
      <c r="Z173" s="28" t="s">
        <v>14</v>
      </c>
      <c r="AA173" s="28"/>
      <c r="AB173" s="28" t="s">
        <v>44</v>
      </c>
      <c r="AC173" s="23">
        <v>5.4</v>
      </c>
      <c r="AD173" s="23">
        <v>3.72</v>
      </c>
      <c r="AE173" s="23">
        <v>3.41</v>
      </c>
      <c r="AF173" s="7"/>
      <c r="AG173" s="7"/>
      <c r="AH173" s="7"/>
      <c r="AI173" s="13"/>
      <c r="AJ173" s="13"/>
    </row>
    <row r="174" spans="1:36" s="12" customFormat="1" ht="14.25" x14ac:dyDescent="0.2">
      <c r="A174" s="7"/>
      <c r="B174" s="97"/>
      <c r="D174" s="100"/>
      <c r="E174" s="39" t="s">
        <v>15</v>
      </c>
      <c r="F174" s="28"/>
      <c r="G174" s="28" t="s">
        <v>40</v>
      </c>
      <c r="H174" s="23">
        <v>24.58</v>
      </c>
      <c r="I174" s="23">
        <v>24.58</v>
      </c>
      <c r="J174" s="23">
        <v>24.58</v>
      </c>
      <c r="K174" s="100"/>
      <c r="L174" s="28" t="s">
        <v>15</v>
      </c>
      <c r="M174" s="28"/>
      <c r="N174" s="28" t="s">
        <v>41</v>
      </c>
      <c r="O174" s="33">
        <f t="shared" si="8"/>
        <v>20.483333333333334</v>
      </c>
      <c r="P174" s="33">
        <f t="shared" si="9"/>
        <v>20.483333333333334</v>
      </c>
      <c r="Q174" s="33">
        <f t="shared" si="10"/>
        <v>20.483333333333334</v>
      </c>
      <c r="R174" s="100"/>
      <c r="S174" s="28" t="s">
        <v>15</v>
      </c>
      <c r="T174" s="28"/>
      <c r="U174" s="28" t="s">
        <v>42</v>
      </c>
      <c r="V174" s="23">
        <v>1.06</v>
      </c>
      <c r="W174" s="23">
        <v>0.81</v>
      </c>
      <c r="X174" s="23">
        <v>0.81</v>
      </c>
      <c r="Y174" s="100"/>
      <c r="Z174" s="28" t="s">
        <v>15</v>
      </c>
      <c r="AA174" s="28"/>
      <c r="AB174" s="28" t="s">
        <v>44</v>
      </c>
      <c r="AC174" s="23">
        <v>6.73</v>
      </c>
      <c r="AD174" s="23">
        <v>4.8899999999999997</v>
      </c>
      <c r="AE174" s="23">
        <v>4.59</v>
      </c>
      <c r="AF174" s="7"/>
      <c r="AG174" s="7"/>
      <c r="AH174" s="7"/>
      <c r="AI174" s="13"/>
      <c r="AJ174" s="13"/>
    </row>
    <row r="175" spans="1:36" s="12" customFormat="1" ht="14.25" x14ac:dyDescent="0.2">
      <c r="A175" s="7"/>
      <c r="B175" s="97"/>
      <c r="D175" s="100"/>
      <c r="E175" s="39" t="s">
        <v>16</v>
      </c>
      <c r="F175" s="28"/>
      <c r="G175" s="28" t="s">
        <v>40</v>
      </c>
      <c r="H175" s="23">
        <v>29.83</v>
      </c>
      <c r="I175" s="23">
        <v>29.83</v>
      </c>
      <c r="J175" s="23">
        <v>29.83</v>
      </c>
      <c r="K175" s="100"/>
      <c r="L175" s="28" t="s">
        <v>16</v>
      </c>
      <c r="M175" s="28"/>
      <c r="N175" s="28" t="s">
        <v>41</v>
      </c>
      <c r="O175" s="33">
        <f t="shared" si="8"/>
        <v>24.858333333333334</v>
      </c>
      <c r="P175" s="33">
        <f t="shared" si="9"/>
        <v>24.858333333333334</v>
      </c>
      <c r="Q175" s="33">
        <f t="shared" si="10"/>
        <v>24.858333333333334</v>
      </c>
      <c r="R175" s="100"/>
      <c r="S175" s="28" t="s">
        <v>16</v>
      </c>
      <c r="T175" s="28"/>
      <c r="U175" s="28" t="s">
        <v>42</v>
      </c>
      <c r="V175" s="23">
        <v>1.18</v>
      </c>
      <c r="W175" s="23">
        <v>0.87</v>
      </c>
      <c r="X175" s="23">
        <v>0.87</v>
      </c>
      <c r="Y175" s="100"/>
      <c r="Z175" s="28" t="s">
        <v>16</v>
      </c>
      <c r="AA175" s="28"/>
      <c r="AB175" s="28" t="s">
        <v>44</v>
      </c>
      <c r="AC175" s="23">
        <v>6.73</v>
      </c>
      <c r="AD175" s="23">
        <v>4.51</v>
      </c>
      <c r="AE175" s="23">
        <v>4.1399999999999997</v>
      </c>
      <c r="AF175" s="7"/>
      <c r="AG175" s="7"/>
      <c r="AH175" s="7"/>
      <c r="AI175" s="13"/>
      <c r="AJ175" s="13"/>
    </row>
    <row r="176" spans="1:36" s="12" customFormat="1" ht="14.25" x14ac:dyDescent="0.2">
      <c r="A176" s="7"/>
      <c r="B176" s="97"/>
      <c r="D176" s="100"/>
      <c r="E176" s="39" t="s">
        <v>17</v>
      </c>
      <c r="F176" s="28"/>
      <c r="G176" s="28" t="s">
        <v>40</v>
      </c>
      <c r="H176" s="23">
        <v>34.6</v>
      </c>
      <c r="I176" s="23">
        <v>34.6</v>
      </c>
      <c r="J176" s="23">
        <v>34.6</v>
      </c>
      <c r="K176" s="100"/>
      <c r="L176" s="28" t="s">
        <v>17</v>
      </c>
      <c r="M176" s="28"/>
      <c r="N176" s="28" t="s">
        <v>41</v>
      </c>
      <c r="O176" s="33">
        <f t="shared" si="8"/>
        <v>28.833333333333336</v>
      </c>
      <c r="P176" s="33">
        <f t="shared" si="9"/>
        <v>28.833333333333336</v>
      </c>
      <c r="Q176" s="33">
        <f t="shared" si="10"/>
        <v>28.833333333333336</v>
      </c>
      <c r="R176" s="100"/>
      <c r="S176" s="28" t="s">
        <v>17</v>
      </c>
      <c r="T176" s="28"/>
      <c r="U176" s="28" t="s">
        <v>42</v>
      </c>
      <c r="V176" s="23">
        <v>1.24</v>
      </c>
      <c r="W176" s="23">
        <v>0.91</v>
      </c>
      <c r="X176" s="23">
        <v>0.91</v>
      </c>
      <c r="Y176" s="100"/>
      <c r="Z176" s="28" t="s">
        <v>17</v>
      </c>
      <c r="AA176" s="28"/>
      <c r="AB176" s="28" t="s">
        <v>44</v>
      </c>
      <c r="AC176" s="23">
        <v>7.87</v>
      </c>
      <c r="AD176" s="23">
        <v>5.54</v>
      </c>
      <c r="AE176" s="23">
        <v>5.21</v>
      </c>
      <c r="AF176" s="7"/>
      <c r="AG176" s="7"/>
      <c r="AH176" s="7"/>
      <c r="AI176" s="13"/>
      <c r="AJ176" s="13"/>
    </row>
    <row r="177" spans="1:38" s="12" customFormat="1" ht="14.25" x14ac:dyDescent="0.2">
      <c r="A177" s="7"/>
      <c r="B177" s="97"/>
      <c r="D177" s="100"/>
      <c r="E177" s="39" t="s">
        <v>18</v>
      </c>
      <c r="F177" s="28"/>
      <c r="G177" s="28" t="s">
        <v>40</v>
      </c>
      <c r="H177" s="23">
        <v>26.26</v>
      </c>
      <c r="I177" s="23">
        <v>26.26</v>
      </c>
      <c r="J177" s="23">
        <v>26.26</v>
      </c>
      <c r="K177" s="100"/>
      <c r="L177" s="28" t="s">
        <v>18</v>
      </c>
      <c r="M177" s="28"/>
      <c r="N177" s="28" t="s">
        <v>41</v>
      </c>
      <c r="O177" s="33">
        <f t="shared" si="8"/>
        <v>21.883333333333336</v>
      </c>
      <c r="P177" s="33">
        <f t="shared" si="9"/>
        <v>21.883333333333336</v>
      </c>
      <c r="Q177" s="33">
        <f t="shared" si="10"/>
        <v>21.883333333333336</v>
      </c>
      <c r="R177" s="100"/>
      <c r="S177" s="28" t="s">
        <v>18</v>
      </c>
      <c r="T177" s="28"/>
      <c r="U177" s="28" t="s">
        <v>42</v>
      </c>
      <c r="V177" s="23">
        <v>0.96</v>
      </c>
      <c r="W177" s="23">
        <v>0.73</v>
      </c>
      <c r="X177" s="23">
        <v>0.73</v>
      </c>
      <c r="Y177" s="100"/>
      <c r="Z177" s="28" t="s">
        <v>18</v>
      </c>
      <c r="AA177" s="28"/>
      <c r="AB177" s="28" t="s">
        <v>44</v>
      </c>
      <c r="AC177" s="23">
        <v>5.46</v>
      </c>
      <c r="AD177" s="23">
        <v>3.81</v>
      </c>
      <c r="AE177" s="23">
        <v>3.49</v>
      </c>
      <c r="AF177" s="7"/>
      <c r="AG177" s="7"/>
      <c r="AH177" s="7"/>
      <c r="AI177" s="13"/>
      <c r="AJ177" s="13"/>
    </row>
    <row r="178" spans="1:38" s="12" customFormat="1" ht="14.25" x14ac:dyDescent="0.2">
      <c r="A178" s="7"/>
      <c r="B178" s="97"/>
      <c r="D178" s="100"/>
      <c r="E178" s="39" t="s">
        <v>19</v>
      </c>
      <c r="F178" s="28"/>
      <c r="G178" s="28" t="s">
        <v>40</v>
      </c>
      <c r="H178" s="23">
        <v>26.26</v>
      </c>
      <c r="I178" s="23">
        <v>26.26</v>
      </c>
      <c r="J178" s="23">
        <v>26.26</v>
      </c>
      <c r="K178" s="100"/>
      <c r="L178" s="28" t="s">
        <v>19</v>
      </c>
      <c r="M178" s="28"/>
      <c r="N178" s="28" t="s">
        <v>41</v>
      </c>
      <c r="O178" s="33">
        <f t="shared" si="8"/>
        <v>21.883333333333336</v>
      </c>
      <c r="P178" s="33">
        <f t="shared" si="9"/>
        <v>21.883333333333336</v>
      </c>
      <c r="Q178" s="33">
        <f t="shared" si="10"/>
        <v>21.883333333333336</v>
      </c>
      <c r="R178" s="100"/>
      <c r="S178" s="28" t="s">
        <v>19</v>
      </c>
      <c r="T178" s="28"/>
      <c r="U178" s="28" t="s">
        <v>42</v>
      </c>
      <c r="V178" s="23">
        <v>1.06</v>
      </c>
      <c r="W178" s="23">
        <v>0.8</v>
      </c>
      <c r="X178" s="23">
        <v>0.8</v>
      </c>
      <c r="Y178" s="100"/>
      <c r="Z178" s="28" t="s">
        <v>19</v>
      </c>
      <c r="AA178" s="28"/>
      <c r="AB178" s="28" t="s">
        <v>44</v>
      </c>
      <c r="AC178" s="23">
        <v>6.69</v>
      </c>
      <c r="AD178" s="23">
        <v>4.8899999999999997</v>
      </c>
      <c r="AE178" s="23">
        <v>4.59</v>
      </c>
      <c r="AF178" s="7"/>
      <c r="AG178" s="7"/>
      <c r="AH178" s="7"/>
      <c r="AI178" s="13"/>
      <c r="AJ178" s="13"/>
    </row>
    <row r="179" spans="1:38" s="12" customFormat="1" ht="14.25" x14ac:dyDescent="0.2">
      <c r="A179" s="7"/>
      <c r="B179" s="97"/>
      <c r="D179" s="100"/>
      <c r="E179" s="39" t="s">
        <v>20</v>
      </c>
      <c r="F179" s="28"/>
      <c r="G179" s="28" t="s">
        <v>40</v>
      </c>
      <c r="H179" s="23">
        <v>34.07</v>
      </c>
      <c r="I179" s="23">
        <v>34.07</v>
      </c>
      <c r="J179" s="23">
        <v>34.07</v>
      </c>
      <c r="K179" s="100"/>
      <c r="L179" s="28" t="s">
        <v>20</v>
      </c>
      <c r="M179" s="28"/>
      <c r="N179" s="28" t="s">
        <v>41</v>
      </c>
      <c r="O179" s="33">
        <f t="shared" si="8"/>
        <v>28.391666666666669</v>
      </c>
      <c r="P179" s="33">
        <f t="shared" si="9"/>
        <v>28.391666666666669</v>
      </c>
      <c r="Q179" s="33">
        <f t="shared" si="10"/>
        <v>28.391666666666669</v>
      </c>
      <c r="R179" s="100"/>
      <c r="S179" s="28" t="s">
        <v>20</v>
      </c>
      <c r="T179" s="28"/>
      <c r="U179" s="28" t="s">
        <v>42</v>
      </c>
      <c r="V179" s="23">
        <v>1.2</v>
      </c>
      <c r="W179" s="23">
        <v>0.93</v>
      </c>
      <c r="X179" s="23">
        <v>0.93</v>
      </c>
      <c r="Y179" s="100"/>
      <c r="Z179" s="28" t="s">
        <v>20</v>
      </c>
      <c r="AA179" s="28"/>
      <c r="AB179" s="28" t="s">
        <v>44</v>
      </c>
      <c r="AC179" s="23">
        <v>6.84</v>
      </c>
      <c r="AD179" s="23">
        <v>4.8099999999999996</v>
      </c>
      <c r="AE179" s="23">
        <v>4.41</v>
      </c>
      <c r="AF179" s="7"/>
      <c r="AG179" s="7"/>
      <c r="AH179" s="7"/>
      <c r="AI179" s="13"/>
      <c r="AJ179" s="13"/>
    </row>
    <row r="180" spans="1:38" s="12" customFormat="1" ht="14.25" x14ac:dyDescent="0.2">
      <c r="A180" s="7"/>
      <c r="B180" s="97"/>
      <c r="D180" s="100"/>
      <c r="E180" s="39" t="s">
        <v>21</v>
      </c>
      <c r="F180" s="28"/>
      <c r="G180" s="28" t="s">
        <v>40</v>
      </c>
      <c r="H180" s="23">
        <v>34.07</v>
      </c>
      <c r="I180" s="23">
        <v>34.07</v>
      </c>
      <c r="J180" s="23">
        <v>34.07</v>
      </c>
      <c r="K180" s="100"/>
      <c r="L180" s="28" t="s">
        <v>21</v>
      </c>
      <c r="M180" s="28"/>
      <c r="N180" s="28" t="s">
        <v>41</v>
      </c>
      <c r="O180" s="33">
        <f t="shared" si="8"/>
        <v>28.391666666666669</v>
      </c>
      <c r="P180" s="33">
        <f t="shared" si="9"/>
        <v>28.391666666666669</v>
      </c>
      <c r="Q180" s="33">
        <f t="shared" si="10"/>
        <v>28.391666666666669</v>
      </c>
      <c r="R180" s="100"/>
      <c r="S180" s="28" t="s">
        <v>21</v>
      </c>
      <c r="T180" s="28"/>
      <c r="U180" s="28" t="s">
        <v>42</v>
      </c>
      <c r="V180" s="23">
        <v>1.26</v>
      </c>
      <c r="W180" s="23">
        <v>0.97</v>
      </c>
      <c r="X180" s="23">
        <v>0.97</v>
      </c>
      <c r="Y180" s="100"/>
      <c r="Z180" s="28" t="s">
        <v>21</v>
      </c>
      <c r="AA180" s="28"/>
      <c r="AB180" s="28" t="s">
        <v>44</v>
      </c>
      <c r="AC180" s="23">
        <v>7.98</v>
      </c>
      <c r="AD180" s="23">
        <v>5.9</v>
      </c>
      <c r="AE180" s="23">
        <v>5.54</v>
      </c>
      <c r="AF180" s="7"/>
      <c r="AG180" s="7"/>
      <c r="AH180" s="7"/>
      <c r="AI180" s="13"/>
      <c r="AJ180" s="13"/>
    </row>
    <row r="181" spans="1:38" s="12" customFormat="1" ht="14.25" x14ac:dyDescent="0.2">
      <c r="A181" s="7"/>
      <c r="B181" s="97"/>
      <c r="D181" s="100"/>
      <c r="E181" s="39">
        <v>11</v>
      </c>
      <c r="F181" s="28"/>
      <c r="G181" s="28" t="s">
        <v>40</v>
      </c>
      <c r="H181" s="23">
        <v>26.42</v>
      </c>
      <c r="I181" s="23">
        <v>26.42</v>
      </c>
      <c r="J181" s="23">
        <v>26.42</v>
      </c>
      <c r="K181" s="100"/>
      <c r="L181" s="28">
        <v>11</v>
      </c>
      <c r="M181" s="28"/>
      <c r="N181" s="28" t="s">
        <v>41</v>
      </c>
      <c r="O181" s="33">
        <f t="shared" si="8"/>
        <v>22.016666666666669</v>
      </c>
      <c r="P181" s="33">
        <f t="shared" si="9"/>
        <v>22.016666666666669</v>
      </c>
      <c r="Q181" s="33">
        <f t="shared" si="10"/>
        <v>22.016666666666669</v>
      </c>
      <c r="R181" s="100"/>
      <c r="S181" s="28">
        <v>11</v>
      </c>
      <c r="T181" s="28"/>
      <c r="U181" s="28" t="s">
        <v>42</v>
      </c>
      <c r="V181" s="23">
        <v>1.03</v>
      </c>
      <c r="W181" s="23">
        <v>0.81</v>
      </c>
      <c r="X181" s="23">
        <v>0.81</v>
      </c>
      <c r="Y181" s="100"/>
      <c r="Z181" s="28">
        <v>11</v>
      </c>
      <c r="AA181" s="28"/>
      <c r="AB181" s="28" t="s">
        <v>44</v>
      </c>
      <c r="AC181" s="23">
        <v>5.89</v>
      </c>
      <c r="AD181" s="23">
        <v>4.2</v>
      </c>
      <c r="AE181" s="23">
        <v>3.85</v>
      </c>
      <c r="AF181" s="7"/>
      <c r="AG181" s="7"/>
      <c r="AH181" s="7"/>
      <c r="AI181" s="13"/>
      <c r="AJ181" s="13"/>
    </row>
    <row r="182" spans="1:38" s="12" customFormat="1" ht="14.25" x14ac:dyDescent="0.2">
      <c r="A182" s="7"/>
      <c r="B182" s="97"/>
      <c r="D182" s="100"/>
      <c r="E182" s="39">
        <v>12</v>
      </c>
      <c r="F182" s="28"/>
      <c r="G182" s="28" t="s">
        <v>40</v>
      </c>
      <c r="H182" s="23">
        <v>34.28</v>
      </c>
      <c r="I182" s="23">
        <v>34.28</v>
      </c>
      <c r="J182" s="23">
        <v>34.28</v>
      </c>
      <c r="K182" s="100"/>
      <c r="L182" s="28">
        <v>12</v>
      </c>
      <c r="M182" s="28"/>
      <c r="N182" s="28" t="s">
        <v>41</v>
      </c>
      <c r="O182" s="33">
        <f t="shared" si="8"/>
        <v>28.56666666666667</v>
      </c>
      <c r="P182" s="33">
        <f t="shared" si="9"/>
        <v>28.56666666666667</v>
      </c>
      <c r="Q182" s="33">
        <f t="shared" si="10"/>
        <v>28.56666666666667</v>
      </c>
      <c r="R182" s="100"/>
      <c r="S182" s="28">
        <v>12</v>
      </c>
      <c r="T182" s="28"/>
      <c r="U182" s="28" t="s">
        <v>42</v>
      </c>
      <c r="V182" s="23">
        <v>1.1399999999999999</v>
      </c>
      <c r="W182" s="23">
        <v>0.9</v>
      </c>
      <c r="X182" s="23">
        <v>0.9</v>
      </c>
      <c r="Y182" s="100"/>
      <c r="Z182" s="28">
        <v>12</v>
      </c>
      <c r="AA182" s="28"/>
      <c r="AB182" s="28" t="s">
        <v>44</v>
      </c>
      <c r="AC182" s="23">
        <v>6.53</v>
      </c>
      <c r="AD182" s="23">
        <v>4.67</v>
      </c>
      <c r="AE182" s="23">
        <v>4.28</v>
      </c>
      <c r="AF182" s="7"/>
      <c r="AG182" s="7"/>
      <c r="AH182" s="7"/>
      <c r="AI182" s="13"/>
      <c r="AJ182" s="13"/>
    </row>
    <row r="183" spans="1:38" s="12" customFormat="1" ht="15" thickBot="1" x14ac:dyDescent="0.25">
      <c r="A183" s="7"/>
      <c r="B183" s="98"/>
      <c r="D183" s="101"/>
      <c r="E183" s="39">
        <v>16</v>
      </c>
      <c r="F183" s="28"/>
      <c r="G183" s="28" t="s">
        <v>40</v>
      </c>
      <c r="H183" s="23" t="s">
        <v>37</v>
      </c>
      <c r="I183" s="23" t="s">
        <v>37</v>
      </c>
      <c r="J183" s="23" t="s">
        <v>37</v>
      </c>
      <c r="K183" s="101"/>
      <c r="L183" s="28">
        <v>16</v>
      </c>
      <c r="M183" s="28"/>
      <c r="N183" s="28" t="s">
        <v>41</v>
      </c>
      <c r="O183" s="33"/>
      <c r="P183" s="33"/>
      <c r="Q183" s="33"/>
      <c r="R183" s="101"/>
      <c r="S183" s="28">
        <v>16</v>
      </c>
      <c r="T183" s="28"/>
      <c r="U183" s="28" t="s">
        <v>42</v>
      </c>
      <c r="V183" s="23">
        <v>0.95</v>
      </c>
      <c r="W183" s="23">
        <v>0.72</v>
      </c>
      <c r="X183" s="23">
        <v>0.72</v>
      </c>
      <c r="Y183" s="101"/>
      <c r="Z183" s="28">
        <v>16</v>
      </c>
      <c r="AA183" s="28"/>
      <c r="AB183" s="28" t="s">
        <v>44</v>
      </c>
      <c r="AC183" s="23">
        <v>5.41</v>
      </c>
      <c r="AD183" s="23">
        <v>3.76</v>
      </c>
      <c r="AE183" s="23">
        <v>3.45</v>
      </c>
      <c r="AF183" s="7"/>
      <c r="AG183" s="7"/>
      <c r="AH183" s="7"/>
      <c r="AI183" s="13"/>
      <c r="AJ183" s="13"/>
    </row>
    <row r="184" spans="1:38" s="12" customFormat="1" ht="14.25" x14ac:dyDescent="0.2">
      <c r="A184" s="7"/>
      <c r="B184" s="51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</row>
    <row r="185" spans="1:38" s="12" customFormat="1" ht="14.25" x14ac:dyDescent="0.2">
      <c r="A185" s="7"/>
      <c r="B185" s="51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</row>
    <row r="186" spans="1:38" ht="14.25" x14ac:dyDescent="0.2">
      <c r="B186" s="52"/>
      <c r="AB186" s="26"/>
      <c r="AC186" s="27"/>
      <c r="AD186" s="27"/>
      <c r="AE186" s="27"/>
      <c r="AK186" s="12"/>
      <c r="AL186" s="12"/>
    </row>
    <row r="187" spans="1:38" ht="14.25" x14ac:dyDescent="0.2">
      <c r="B187" s="52"/>
      <c r="AB187" s="26"/>
      <c r="AC187" s="27"/>
      <c r="AD187" s="27"/>
      <c r="AE187" s="27"/>
      <c r="AK187" s="12"/>
      <c r="AL187" s="12"/>
    </row>
    <row r="188" spans="1:38" ht="14.25" x14ac:dyDescent="0.2">
      <c r="B188" s="52"/>
      <c r="AB188" s="26"/>
      <c r="AC188" s="27"/>
      <c r="AD188" s="27"/>
      <c r="AE188" s="27"/>
      <c r="AK188" s="12"/>
      <c r="AL188" s="12"/>
    </row>
    <row r="189" spans="1:38" ht="14.25" x14ac:dyDescent="0.2">
      <c r="B189" s="52"/>
      <c r="AB189" s="26"/>
      <c r="AC189" s="27"/>
      <c r="AD189" s="27"/>
      <c r="AE189" s="27"/>
      <c r="AK189" s="12"/>
      <c r="AL189" s="12"/>
    </row>
    <row r="190" spans="1:38" ht="14.25" x14ac:dyDescent="0.2">
      <c r="B190" s="52"/>
      <c r="AB190" s="26"/>
      <c r="AC190" s="27"/>
      <c r="AD190" s="27"/>
      <c r="AE190" s="27"/>
      <c r="AK190" s="12"/>
      <c r="AL190" s="12"/>
    </row>
    <row r="191" spans="1:38" ht="15" thickBot="1" x14ac:dyDescent="0.25">
      <c r="B191" s="52"/>
      <c r="AB191" s="26"/>
      <c r="AC191" s="27"/>
      <c r="AD191" s="27"/>
      <c r="AE191" s="27"/>
      <c r="AK191" s="12"/>
      <c r="AL191" s="12"/>
    </row>
    <row r="192" spans="1:38" ht="15" customHeight="1" x14ac:dyDescent="0.2">
      <c r="B192" s="110" t="s">
        <v>105</v>
      </c>
      <c r="C192" s="111"/>
      <c r="D192" s="111"/>
      <c r="E192" s="111"/>
      <c r="F192" s="111"/>
      <c r="G192" s="111"/>
      <c r="H192" s="111"/>
      <c r="I192" s="111"/>
      <c r="J192" s="111"/>
      <c r="K192" s="111"/>
      <c r="L192" s="111"/>
      <c r="M192" s="111"/>
      <c r="N192" s="111"/>
      <c r="O192" s="111"/>
      <c r="P192" s="111"/>
      <c r="Q192" s="111"/>
      <c r="R192" s="111"/>
      <c r="S192" s="111"/>
      <c r="T192" s="111"/>
      <c r="U192" s="111"/>
      <c r="V192" s="111"/>
      <c r="W192" s="111"/>
      <c r="X192" s="111"/>
      <c r="Y192" s="111"/>
      <c r="Z192" s="111"/>
      <c r="AA192" s="111"/>
      <c r="AB192" s="111"/>
      <c r="AC192" s="111"/>
      <c r="AD192" s="111"/>
      <c r="AE192" s="111"/>
      <c r="AF192" s="111"/>
      <c r="AG192" s="111"/>
      <c r="AH192" s="111"/>
      <c r="AI192" s="111"/>
      <c r="AJ192" s="112"/>
      <c r="AK192" s="12"/>
      <c r="AL192" s="12"/>
    </row>
    <row r="193" spans="2:36" ht="15" customHeight="1" x14ac:dyDescent="0.2">
      <c r="B193" s="113"/>
      <c r="C193" s="114"/>
      <c r="D193" s="114"/>
      <c r="E193" s="114"/>
      <c r="F193" s="114"/>
      <c r="G193" s="114"/>
      <c r="H193" s="114"/>
      <c r="I193" s="114"/>
      <c r="J193" s="114"/>
      <c r="K193" s="114"/>
      <c r="L193" s="114"/>
      <c r="M193" s="114"/>
      <c r="N193" s="114"/>
      <c r="O193" s="114"/>
      <c r="P193" s="114"/>
      <c r="Q193" s="114"/>
      <c r="R193" s="114"/>
      <c r="S193" s="114"/>
      <c r="T193" s="114"/>
      <c r="U193" s="114"/>
      <c r="V193" s="114"/>
      <c r="W193" s="114"/>
      <c r="X193" s="114"/>
      <c r="Y193" s="114"/>
      <c r="Z193" s="114"/>
      <c r="AA193" s="114"/>
      <c r="AB193" s="114"/>
      <c r="AC193" s="114"/>
      <c r="AD193" s="114"/>
      <c r="AE193" s="114"/>
      <c r="AF193" s="114"/>
      <c r="AG193" s="114"/>
      <c r="AH193" s="114"/>
      <c r="AI193" s="114"/>
      <c r="AJ193" s="115"/>
    </row>
    <row r="194" spans="2:36" ht="15.75" customHeight="1" thickBot="1" x14ac:dyDescent="0.25">
      <c r="B194" s="116"/>
      <c r="C194" s="117"/>
      <c r="D194" s="117"/>
      <c r="E194" s="117"/>
      <c r="F194" s="117"/>
      <c r="G194" s="117"/>
      <c r="H194" s="117"/>
      <c r="I194" s="117"/>
      <c r="J194" s="117"/>
      <c r="K194" s="117"/>
      <c r="L194" s="117"/>
      <c r="M194" s="117"/>
      <c r="N194" s="117"/>
      <c r="O194" s="117"/>
      <c r="P194" s="117"/>
      <c r="Q194" s="117"/>
      <c r="R194" s="117"/>
      <c r="S194" s="117"/>
      <c r="T194" s="117"/>
      <c r="U194" s="117"/>
      <c r="V194" s="117"/>
      <c r="W194" s="117"/>
      <c r="X194" s="117"/>
      <c r="Y194" s="117"/>
      <c r="Z194" s="117"/>
      <c r="AA194" s="117"/>
      <c r="AB194" s="117"/>
      <c r="AC194" s="117"/>
      <c r="AD194" s="117"/>
      <c r="AE194" s="117"/>
      <c r="AF194" s="117"/>
      <c r="AG194" s="117"/>
      <c r="AH194" s="117"/>
      <c r="AI194" s="117"/>
      <c r="AJ194" s="118"/>
    </row>
    <row r="195" spans="2:36" ht="14.25" x14ac:dyDescent="0.2">
      <c r="B195" s="53"/>
      <c r="AB195" s="26"/>
      <c r="AC195" s="27"/>
      <c r="AD195" s="27"/>
      <c r="AE195" s="27"/>
      <c r="AJ195" s="40"/>
    </row>
    <row r="196" spans="2:36" ht="14.25" x14ac:dyDescent="0.2">
      <c r="B196" s="53"/>
      <c r="AB196" s="26"/>
      <c r="AC196" s="27"/>
      <c r="AD196" s="27"/>
      <c r="AE196" s="27"/>
      <c r="AJ196" s="40"/>
    </row>
    <row r="197" spans="2:36" ht="14.25" x14ac:dyDescent="0.2">
      <c r="B197" s="53"/>
      <c r="AB197" s="26"/>
      <c r="AC197" s="27"/>
      <c r="AD197" s="27"/>
      <c r="AE197" s="27"/>
      <c r="AJ197" s="40"/>
    </row>
    <row r="198" spans="2:36" ht="15" thickBot="1" x14ac:dyDescent="0.25">
      <c r="B198" s="53"/>
      <c r="AB198" s="26"/>
      <c r="AC198" s="27"/>
      <c r="AD198" s="27"/>
      <c r="AE198" s="27"/>
      <c r="AJ198" s="40"/>
    </row>
    <row r="199" spans="2:36" s="18" customFormat="1" ht="14.25" x14ac:dyDescent="0.2">
      <c r="B199" s="107" t="s">
        <v>109</v>
      </c>
      <c r="D199" s="14"/>
      <c r="E199" s="14"/>
      <c r="F199" s="14"/>
      <c r="G199" s="14"/>
      <c r="H199" s="14"/>
      <c r="I199" s="14">
        <v>2024</v>
      </c>
      <c r="J199" s="14">
        <v>2025</v>
      </c>
      <c r="K199" s="14">
        <v>2026</v>
      </c>
      <c r="L199" s="14">
        <v>2027</v>
      </c>
      <c r="M199" s="14">
        <v>2028</v>
      </c>
      <c r="N199" s="14">
        <v>2029</v>
      </c>
      <c r="O199" s="14">
        <v>2030</v>
      </c>
      <c r="P199" s="14">
        <v>2031</v>
      </c>
      <c r="Q199" s="14">
        <v>2032</v>
      </c>
      <c r="R199" s="14">
        <v>2033</v>
      </c>
      <c r="S199" s="14">
        <v>2034</v>
      </c>
      <c r="T199" s="14">
        <v>2035</v>
      </c>
      <c r="U199" s="14">
        <v>2036</v>
      </c>
      <c r="V199" s="14">
        <v>2037</v>
      </c>
      <c r="W199" s="14">
        <v>2038</v>
      </c>
      <c r="X199" s="14">
        <v>2039</v>
      </c>
      <c r="Y199" s="14">
        <v>2040</v>
      </c>
      <c r="Z199" s="14">
        <v>2041</v>
      </c>
      <c r="AA199" s="14">
        <v>2042</v>
      </c>
      <c r="AB199" s="14">
        <v>2043</v>
      </c>
      <c r="AC199" s="14">
        <v>2044</v>
      </c>
      <c r="AD199" s="14">
        <v>2045</v>
      </c>
      <c r="AE199" s="14">
        <v>2046</v>
      </c>
      <c r="AF199" s="14">
        <v>2047</v>
      </c>
      <c r="AG199" s="14">
        <v>2048</v>
      </c>
      <c r="AH199" s="14">
        <v>2049</v>
      </c>
      <c r="AI199" s="14">
        <v>2050</v>
      </c>
      <c r="AJ199" s="41"/>
    </row>
    <row r="200" spans="2:36" ht="14.25" x14ac:dyDescent="0.2">
      <c r="B200" s="108"/>
      <c r="D200" s="14" t="s">
        <v>69</v>
      </c>
      <c r="E200" s="15"/>
      <c r="F200" s="15" t="s">
        <v>63</v>
      </c>
      <c r="G200" s="15" t="s">
        <v>65</v>
      </c>
      <c r="H200" s="15" t="str">
        <f t="shared" ref="H200:H217" si="11">F200&amp;G200</f>
        <v>OilHigh</v>
      </c>
      <c r="I200" s="15">
        <v>82</v>
      </c>
      <c r="J200" s="15">
        <f t="shared" ref="J200:N205" si="12">-((($O200-$I200)/($O$199-$I$199))*($O$199-J$199))+$O200</f>
        <v>81.5</v>
      </c>
      <c r="K200" s="15">
        <f t="shared" si="12"/>
        <v>81</v>
      </c>
      <c r="L200" s="15">
        <f t="shared" si="12"/>
        <v>80.5</v>
      </c>
      <c r="M200" s="15">
        <f t="shared" si="12"/>
        <v>80</v>
      </c>
      <c r="N200" s="15">
        <f t="shared" si="12"/>
        <v>79.5</v>
      </c>
      <c r="O200" s="15">
        <v>79</v>
      </c>
      <c r="P200" s="15">
        <f t="shared" ref="P200:X200" si="13">-((($Y200-$O200)/($Y$199-$O$199))*($Y$199-O$199))+$Y200</f>
        <v>79</v>
      </c>
      <c r="Q200" s="15">
        <f t="shared" si="13"/>
        <v>78.8</v>
      </c>
      <c r="R200" s="15">
        <f t="shared" si="13"/>
        <v>78.599999999999994</v>
      </c>
      <c r="S200" s="15">
        <f t="shared" si="13"/>
        <v>78.400000000000006</v>
      </c>
      <c r="T200" s="15">
        <f t="shared" si="13"/>
        <v>78.2</v>
      </c>
      <c r="U200" s="15">
        <f t="shared" si="13"/>
        <v>78</v>
      </c>
      <c r="V200" s="15">
        <f t="shared" si="13"/>
        <v>77.8</v>
      </c>
      <c r="W200" s="15">
        <f t="shared" si="13"/>
        <v>77.599999999999994</v>
      </c>
      <c r="X200" s="15">
        <f t="shared" si="13"/>
        <v>77.400000000000006</v>
      </c>
      <c r="Y200" s="15">
        <v>77</v>
      </c>
      <c r="Z200" s="15">
        <f t="shared" ref="Z200:AH200" si="14">-((($AI200-$Y200)/($AI$199-$Y$199))*($AI$199-Y$199))+$AI200</f>
        <v>77</v>
      </c>
      <c r="AA200" s="15">
        <f t="shared" si="14"/>
        <v>76.8</v>
      </c>
      <c r="AB200" s="15">
        <f t="shared" si="14"/>
        <v>76.599999999999994</v>
      </c>
      <c r="AC200" s="15">
        <f t="shared" si="14"/>
        <v>76.400000000000006</v>
      </c>
      <c r="AD200" s="15">
        <f t="shared" si="14"/>
        <v>76.2</v>
      </c>
      <c r="AE200" s="15">
        <f t="shared" si="14"/>
        <v>76</v>
      </c>
      <c r="AF200" s="15">
        <f t="shared" si="14"/>
        <v>75.8</v>
      </c>
      <c r="AG200" s="15">
        <f t="shared" si="14"/>
        <v>75.599999999999994</v>
      </c>
      <c r="AH200" s="15">
        <f t="shared" si="14"/>
        <v>75.400000000000006</v>
      </c>
      <c r="AI200" s="15">
        <v>75</v>
      </c>
      <c r="AJ200" s="40"/>
    </row>
    <row r="201" spans="2:36" ht="15" customHeight="1" x14ac:dyDescent="0.2">
      <c r="B201" s="108"/>
      <c r="D201" s="14" t="s">
        <v>69</v>
      </c>
      <c r="E201" s="15"/>
      <c r="F201" s="15" t="s">
        <v>63</v>
      </c>
      <c r="G201" s="15" t="s">
        <v>8</v>
      </c>
      <c r="H201" s="15" t="str">
        <f t="shared" si="11"/>
        <v>OilAverage</v>
      </c>
      <c r="I201" s="15">
        <v>82</v>
      </c>
      <c r="J201" s="15">
        <f t="shared" si="12"/>
        <v>80.333333333333329</v>
      </c>
      <c r="K201" s="15">
        <f t="shared" si="12"/>
        <v>78.666666666666671</v>
      </c>
      <c r="L201" s="15">
        <f t="shared" si="12"/>
        <v>77</v>
      </c>
      <c r="M201" s="15">
        <f t="shared" si="12"/>
        <v>75.333333333333329</v>
      </c>
      <c r="N201" s="15">
        <f t="shared" si="12"/>
        <v>73.666666666666671</v>
      </c>
      <c r="O201" s="15">
        <v>72</v>
      </c>
      <c r="P201" s="15">
        <f t="shared" ref="P201:X201" si="15">-((($Y201-$O201)/($Y$199-$O$199))*($Y$199-O$199))+$Y201</f>
        <v>72</v>
      </c>
      <c r="Q201" s="15">
        <f t="shared" si="15"/>
        <v>71.099999999999994</v>
      </c>
      <c r="R201" s="15">
        <f t="shared" si="15"/>
        <v>70.2</v>
      </c>
      <c r="S201" s="15">
        <f t="shared" si="15"/>
        <v>69.3</v>
      </c>
      <c r="T201" s="15">
        <f t="shared" si="15"/>
        <v>68.400000000000006</v>
      </c>
      <c r="U201" s="15">
        <f t="shared" si="15"/>
        <v>67.5</v>
      </c>
      <c r="V201" s="15">
        <f t="shared" si="15"/>
        <v>66.599999999999994</v>
      </c>
      <c r="W201" s="15">
        <f t="shared" si="15"/>
        <v>65.7</v>
      </c>
      <c r="X201" s="15">
        <f t="shared" si="15"/>
        <v>64.8</v>
      </c>
      <c r="Y201" s="15">
        <v>63</v>
      </c>
      <c r="Z201" s="15">
        <f t="shared" ref="Z201:AH201" si="16">-((($AI201-$Y201)/($AI$199-$Y$199))*($AI$199-Y$199))+$AI201</f>
        <v>63</v>
      </c>
      <c r="AA201" s="15">
        <f t="shared" si="16"/>
        <v>62.5</v>
      </c>
      <c r="AB201" s="15">
        <f t="shared" si="16"/>
        <v>62</v>
      </c>
      <c r="AC201" s="15">
        <f t="shared" si="16"/>
        <v>61.5</v>
      </c>
      <c r="AD201" s="15">
        <f t="shared" si="16"/>
        <v>61</v>
      </c>
      <c r="AE201" s="15">
        <f t="shared" si="16"/>
        <v>60.5</v>
      </c>
      <c r="AF201" s="15">
        <f t="shared" si="16"/>
        <v>60</v>
      </c>
      <c r="AG201" s="15">
        <f t="shared" si="16"/>
        <v>59.5</v>
      </c>
      <c r="AH201" s="15">
        <f t="shared" si="16"/>
        <v>59</v>
      </c>
      <c r="AI201" s="15">
        <v>58</v>
      </c>
      <c r="AJ201" s="40"/>
    </row>
    <row r="202" spans="2:36" ht="14.25" x14ac:dyDescent="0.2">
      <c r="B202" s="108"/>
      <c r="D202" s="14" t="s">
        <v>69</v>
      </c>
      <c r="E202" s="15"/>
      <c r="F202" s="15" t="s">
        <v>63</v>
      </c>
      <c r="G202" s="15" t="s">
        <v>66</v>
      </c>
      <c r="H202" s="15" t="str">
        <f t="shared" si="11"/>
        <v>OilLow</v>
      </c>
      <c r="I202" s="15">
        <v>82</v>
      </c>
      <c r="J202" s="15">
        <f t="shared" si="12"/>
        <v>75.333333333333343</v>
      </c>
      <c r="K202" s="15">
        <f t="shared" si="12"/>
        <v>68.666666666666671</v>
      </c>
      <c r="L202" s="15">
        <f t="shared" si="12"/>
        <v>62</v>
      </c>
      <c r="M202" s="15">
        <f t="shared" si="12"/>
        <v>55.333333333333336</v>
      </c>
      <c r="N202" s="15">
        <f t="shared" si="12"/>
        <v>48.666666666666664</v>
      </c>
      <c r="O202" s="15">
        <v>42</v>
      </c>
      <c r="P202" s="15">
        <f t="shared" ref="P202:X202" si="17">-((($Y202-$O202)/($Y$199-$O$199))*($Y$199-O$199))+$Y202</f>
        <v>42</v>
      </c>
      <c r="Q202" s="15">
        <f t="shared" si="17"/>
        <v>40.799999999999997</v>
      </c>
      <c r="R202" s="15">
        <f t="shared" si="17"/>
        <v>39.6</v>
      </c>
      <c r="S202" s="15">
        <f t="shared" si="17"/>
        <v>38.4</v>
      </c>
      <c r="T202" s="15">
        <f t="shared" si="17"/>
        <v>37.200000000000003</v>
      </c>
      <c r="U202" s="15">
        <f t="shared" si="17"/>
        <v>36</v>
      </c>
      <c r="V202" s="15">
        <f t="shared" si="17"/>
        <v>34.799999999999997</v>
      </c>
      <c r="W202" s="15">
        <f t="shared" si="17"/>
        <v>33.6</v>
      </c>
      <c r="X202" s="15">
        <f t="shared" si="17"/>
        <v>32.4</v>
      </c>
      <c r="Y202" s="15">
        <v>30</v>
      </c>
      <c r="Z202" s="15">
        <f t="shared" ref="Z202:AH202" si="18">-((($AI202-$Y202)/($AI$199-$Y$199))*($AI$199-Y$199))+$AI202</f>
        <v>30</v>
      </c>
      <c r="AA202" s="15">
        <f t="shared" si="18"/>
        <v>29.5</v>
      </c>
      <c r="AB202" s="15">
        <f t="shared" si="18"/>
        <v>29</v>
      </c>
      <c r="AC202" s="15">
        <f t="shared" si="18"/>
        <v>28.5</v>
      </c>
      <c r="AD202" s="15">
        <f t="shared" si="18"/>
        <v>28</v>
      </c>
      <c r="AE202" s="15">
        <f t="shared" si="18"/>
        <v>27.5</v>
      </c>
      <c r="AF202" s="15">
        <f t="shared" si="18"/>
        <v>27</v>
      </c>
      <c r="AG202" s="15">
        <f t="shared" si="18"/>
        <v>26.5</v>
      </c>
      <c r="AH202" s="15">
        <f t="shared" si="18"/>
        <v>26</v>
      </c>
      <c r="AI202" s="15">
        <v>25</v>
      </c>
      <c r="AJ202" s="40"/>
    </row>
    <row r="203" spans="2:36" ht="14.25" x14ac:dyDescent="0.2">
      <c r="B203" s="108"/>
      <c r="D203" s="14" t="s">
        <v>70</v>
      </c>
      <c r="E203" s="15"/>
      <c r="F203" s="15" t="s">
        <v>64</v>
      </c>
      <c r="G203" s="15" t="s">
        <v>65</v>
      </c>
      <c r="H203" s="15" t="str">
        <f t="shared" si="11"/>
        <v>GasHigh</v>
      </c>
      <c r="I203" s="15">
        <v>12.1</v>
      </c>
      <c r="J203" s="15">
        <f t="shared" si="12"/>
        <v>11.166666666666666</v>
      </c>
      <c r="K203" s="15">
        <f t="shared" si="12"/>
        <v>10.233333333333333</v>
      </c>
      <c r="L203" s="15">
        <f t="shared" si="12"/>
        <v>9.3000000000000007</v>
      </c>
      <c r="M203" s="15">
        <f t="shared" si="12"/>
        <v>8.3666666666666671</v>
      </c>
      <c r="N203" s="15">
        <f t="shared" si="12"/>
        <v>7.4333333333333336</v>
      </c>
      <c r="O203" s="15">
        <v>6.5</v>
      </c>
      <c r="P203" s="15">
        <f t="shared" ref="P203:X203" si="19">-((($Y203-$O203)/($Y$199-$O$199))*($Y$199-O$199))+$Y203</f>
        <v>6.5</v>
      </c>
      <c r="Q203" s="15">
        <f t="shared" si="19"/>
        <v>6.61</v>
      </c>
      <c r="R203" s="15">
        <f t="shared" si="19"/>
        <v>6.72</v>
      </c>
      <c r="S203" s="15">
        <f t="shared" si="19"/>
        <v>6.83</v>
      </c>
      <c r="T203" s="15">
        <f t="shared" si="19"/>
        <v>6.9399999999999995</v>
      </c>
      <c r="U203" s="15">
        <f t="shared" si="19"/>
        <v>7.05</v>
      </c>
      <c r="V203" s="15">
        <f t="shared" si="19"/>
        <v>7.16</v>
      </c>
      <c r="W203" s="15">
        <f t="shared" si="19"/>
        <v>7.27</v>
      </c>
      <c r="X203" s="15">
        <f t="shared" si="19"/>
        <v>7.38</v>
      </c>
      <c r="Y203" s="15">
        <v>7.6</v>
      </c>
      <c r="Z203" s="15">
        <f t="shared" ref="Z203:AH203" si="20">-((($AI203-$Y203)/($AI$199-$Y$199))*($AI$199-Y$199))+$AI203</f>
        <v>7.6</v>
      </c>
      <c r="AA203" s="15">
        <f t="shared" si="20"/>
        <v>7.6099999999999994</v>
      </c>
      <c r="AB203" s="15">
        <f t="shared" si="20"/>
        <v>7.62</v>
      </c>
      <c r="AC203" s="15">
        <f t="shared" si="20"/>
        <v>7.63</v>
      </c>
      <c r="AD203" s="15">
        <f t="shared" si="20"/>
        <v>7.64</v>
      </c>
      <c r="AE203" s="15">
        <f t="shared" si="20"/>
        <v>7.65</v>
      </c>
      <c r="AF203" s="15">
        <f t="shared" si="20"/>
        <v>7.66</v>
      </c>
      <c r="AG203" s="15">
        <f t="shared" si="20"/>
        <v>7.67</v>
      </c>
      <c r="AH203" s="15">
        <f t="shared" si="20"/>
        <v>7.68</v>
      </c>
      <c r="AI203" s="15">
        <v>7.7</v>
      </c>
      <c r="AJ203" s="40"/>
    </row>
    <row r="204" spans="2:36" ht="14.25" x14ac:dyDescent="0.2">
      <c r="B204" s="108"/>
      <c r="D204" s="14" t="s">
        <v>70</v>
      </c>
      <c r="E204" s="15"/>
      <c r="F204" s="15" t="s">
        <v>64</v>
      </c>
      <c r="G204" s="15" t="s">
        <v>8</v>
      </c>
      <c r="H204" s="15" t="str">
        <f t="shared" si="11"/>
        <v>GasAverage</v>
      </c>
      <c r="I204" s="15">
        <v>12.1</v>
      </c>
      <c r="J204" s="15">
        <f t="shared" si="12"/>
        <v>11.083333333333332</v>
      </c>
      <c r="K204" s="15">
        <f t="shared" si="12"/>
        <v>10.066666666666666</v>
      </c>
      <c r="L204" s="15">
        <f t="shared" si="12"/>
        <v>9.0500000000000007</v>
      </c>
      <c r="M204" s="15">
        <f t="shared" si="12"/>
        <v>8.0333333333333332</v>
      </c>
      <c r="N204" s="15">
        <f t="shared" si="12"/>
        <v>7.0166666666666666</v>
      </c>
      <c r="O204" s="15">
        <v>6</v>
      </c>
      <c r="P204" s="15">
        <f t="shared" ref="P204:X204" si="21">-((($Y204-$O204)/($Y$199-$O$199))*($Y$199-O$199))+$Y204</f>
        <v>6</v>
      </c>
      <c r="Q204" s="15">
        <f t="shared" si="21"/>
        <v>5.92</v>
      </c>
      <c r="R204" s="15">
        <f t="shared" si="21"/>
        <v>5.84</v>
      </c>
      <c r="S204" s="15">
        <f t="shared" si="21"/>
        <v>5.76</v>
      </c>
      <c r="T204" s="15">
        <f t="shared" si="21"/>
        <v>5.68</v>
      </c>
      <c r="U204" s="15">
        <f t="shared" si="21"/>
        <v>5.6</v>
      </c>
      <c r="V204" s="15">
        <f t="shared" si="21"/>
        <v>5.5200000000000005</v>
      </c>
      <c r="W204" s="15">
        <f t="shared" si="21"/>
        <v>5.44</v>
      </c>
      <c r="X204" s="15">
        <f t="shared" si="21"/>
        <v>5.36</v>
      </c>
      <c r="Y204" s="15">
        <v>5.2</v>
      </c>
      <c r="Z204" s="15">
        <f t="shared" ref="Z204:AH204" si="22">-((($AI204-$Y204)/($AI$199-$Y$199))*($AI$199-Y$199))+$AI204</f>
        <v>5.2</v>
      </c>
      <c r="AA204" s="15">
        <f t="shared" si="22"/>
        <v>5.2</v>
      </c>
      <c r="AB204" s="15">
        <f t="shared" si="22"/>
        <v>5.2</v>
      </c>
      <c r="AC204" s="15">
        <f t="shared" si="22"/>
        <v>5.2</v>
      </c>
      <c r="AD204" s="15">
        <f t="shared" si="22"/>
        <v>5.2</v>
      </c>
      <c r="AE204" s="15">
        <f t="shared" si="22"/>
        <v>5.2</v>
      </c>
      <c r="AF204" s="15">
        <f t="shared" si="22"/>
        <v>5.2</v>
      </c>
      <c r="AG204" s="15">
        <f t="shared" si="22"/>
        <v>5.2</v>
      </c>
      <c r="AH204" s="15">
        <f t="shared" si="22"/>
        <v>5.2</v>
      </c>
      <c r="AI204" s="15">
        <v>5.2</v>
      </c>
      <c r="AJ204" s="40"/>
    </row>
    <row r="205" spans="2:36" ht="14.25" x14ac:dyDescent="0.2">
      <c r="B205" s="108"/>
      <c r="D205" s="14" t="s">
        <v>70</v>
      </c>
      <c r="E205" s="15"/>
      <c r="F205" s="15" t="s">
        <v>64</v>
      </c>
      <c r="G205" s="15" t="s">
        <v>66</v>
      </c>
      <c r="H205" s="15" t="str">
        <f t="shared" si="11"/>
        <v>GasLow</v>
      </c>
      <c r="I205" s="15">
        <v>12.1</v>
      </c>
      <c r="J205" s="15">
        <f t="shared" si="12"/>
        <v>10.816666666666666</v>
      </c>
      <c r="K205" s="15">
        <f t="shared" si="12"/>
        <v>9.5333333333333332</v>
      </c>
      <c r="L205" s="15">
        <f t="shared" si="12"/>
        <v>8.25</v>
      </c>
      <c r="M205" s="15">
        <f t="shared" si="12"/>
        <v>6.9666666666666668</v>
      </c>
      <c r="N205" s="15">
        <f t="shared" si="12"/>
        <v>5.6833333333333336</v>
      </c>
      <c r="O205" s="15">
        <v>4.4000000000000004</v>
      </c>
      <c r="P205" s="15">
        <f t="shared" ref="P205:X205" si="23">-((($Y205-$O205)/($Y$199-$O$199))*($Y$199-O$199))+$Y205</f>
        <v>4.4000000000000004</v>
      </c>
      <c r="Q205" s="15">
        <f t="shared" si="23"/>
        <v>4.37</v>
      </c>
      <c r="R205" s="15">
        <f t="shared" si="23"/>
        <v>4.34</v>
      </c>
      <c r="S205" s="15">
        <f t="shared" si="23"/>
        <v>4.3100000000000005</v>
      </c>
      <c r="T205" s="15">
        <f t="shared" si="23"/>
        <v>4.28</v>
      </c>
      <c r="U205" s="15">
        <f t="shared" si="23"/>
        <v>4.25</v>
      </c>
      <c r="V205" s="15">
        <f t="shared" si="23"/>
        <v>4.22</v>
      </c>
      <c r="W205" s="15">
        <f t="shared" si="23"/>
        <v>4.1899999999999995</v>
      </c>
      <c r="X205" s="15">
        <f t="shared" si="23"/>
        <v>4.16</v>
      </c>
      <c r="Y205" s="15">
        <v>4.0999999999999996</v>
      </c>
      <c r="Z205" s="15">
        <f t="shared" ref="Z205:AH205" si="24">-((($AI205-$Y205)/($AI$199-$Y$199))*($AI$199-Y$199))+$AI205</f>
        <v>4.0999999999999996</v>
      </c>
      <c r="AA205" s="15">
        <f t="shared" si="24"/>
        <v>4.09</v>
      </c>
      <c r="AB205" s="15">
        <f t="shared" si="24"/>
        <v>4.08</v>
      </c>
      <c r="AC205" s="15">
        <f t="shared" si="24"/>
        <v>4.0699999999999994</v>
      </c>
      <c r="AD205" s="15">
        <f t="shared" si="24"/>
        <v>4.0599999999999996</v>
      </c>
      <c r="AE205" s="15">
        <f t="shared" si="24"/>
        <v>4.05</v>
      </c>
      <c r="AF205" s="15">
        <f t="shared" si="24"/>
        <v>4.04</v>
      </c>
      <c r="AG205" s="15">
        <f t="shared" si="24"/>
        <v>4.03</v>
      </c>
      <c r="AH205" s="15">
        <f t="shared" si="24"/>
        <v>4.0199999999999996</v>
      </c>
      <c r="AI205" s="15">
        <v>4</v>
      </c>
      <c r="AJ205" s="40"/>
    </row>
    <row r="206" spans="2:36" ht="14.25" x14ac:dyDescent="0.2">
      <c r="B206" s="108"/>
      <c r="D206" s="14" t="s">
        <v>71</v>
      </c>
      <c r="E206" s="15"/>
      <c r="F206" s="15" t="s">
        <v>67</v>
      </c>
      <c r="G206" s="15" t="s">
        <v>65</v>
      </c>
      <c r="H206" s="15" t="str">
        <f t="shared" si="11"/>
        <v>ElectricityHigh</v>
      </c>
      <c r="I206" s="42">
        <v>184</v>
      </c>
      <c r="J206" s="42">
        <v>200</v>
      </c>
      <c r="K206" s="42">
        <v>184</v>
      </c>
      <c r="L206" s="42">
        <v>168</v>
      </c>
      <c r="M206" s="42">
        <v>152</v>
      </c>
      <c r="N206" s="42">
        <v>136</v>
      </c>
      <c r="O206" s="42">
        <v>70</v>
      </c>
      <c r="P206" s="42">
        <v>70</v>
      </c>
      <c r="Q206" s="42">
        <v>70</v>
      </c>
      <c r="R206" s="42">
        <v>70</v>
      </c>
      <c r="S206" s="42">
        <v>70</v>
      </c>
      <c r="T206" s="42">
        <v>70</v>
      </c>
      <c r="U206" s="42">
        <v>70</v>
      </c>
      <c r="V206" s="42">
        <v>70</v>
      </c>
      <c r="W206" s="42">
        <v>70</v>
      </c>
      <c r="X206" s="42">
        <v>70</v>
      </c>
      <c r="Y206" s="42">
        <v>70</v>
      </c>
      <c r="Z206" s="42">
        <v>70</v>
      </c>
      <c r="AA206" s="42">
        <v>70</v>
      </c>
      <c r="AB206" s="42">
        <v>70</v>
      </c>
      <c r="AC206" s="42">
        <v>70</v>
      </c>
      <c r="AD206" s="42">
        <v>70</v>
      </c>
      <c r="AE206" s="42">
        <v>70</v>
      </c>
      <c r="AF206" s="42">
        <v>70</v>
      </c>
      <c r="AG206" s="42">
        <v>70</v>
      </c>
      <c r="AH206" s="42">
        <v>70</v>
      </c>
      <c r="AI206" s="42">
        <v>70</v>
      </c>
      <c r="AJ206" s="40"/>
    </row>
    <row r="207" spans="2:36" ht="14.25" x14ac:dyDescent="0.2">
      <c r="B207" s="108"/>
      <c r="D207" s="14" t="s">
        <v>71</v>
      </c>
      <c r="E207" s="15"/>
      <c r="F207" s="15" t="s">
        <v>67</v>
      </c>
      <c r="G207" s="15" t="s">
        <v>8</v>
      </c>
      <c r="H207" s="15" t="str">
        <f t="shared" si="11"/>
        <v>ElectricityAverage</v>
      </c>
      <c r="I207" s="42">
        <v>127</v>
      </c>
      <c r="J207" s="42">
        <v>140</v>
      </c>
      <c r="K207" s="42">
        <v>127</v>
      </c>
      <c r="L207" s="42">
        <v>114</v>
      </c>
      <c r="M207" s="42">
        <v>101</v>
      </c>
      <c r="N207" s="42">
        <v>88</v>
      </c>
      <c r="O207" s="42">
        <v>50</v>
      </c>
      <c r="P207" s="42">
        <v>50</v>
      </c>
      <c r="Q207" s="42">
        <v>50</v>
      </c>
      <c r="R207" s="42">
        <v>50</v>
      </c>
      <c r="S207" s="42">
        <v>50</v>
      </c>
      <c r="T207" s="42">
        <v>50</v>
      </c>
      <c r="U207" s="42">
        <v>50</v>
      </c>
      <c r="V207" s="42">
        <v>50</v>
      </c>
      <c r="W207" s="42">
        <v>50</v>
      </c>
      <c r="X207" s="42">
        <v>50</v>
      </c>
      <c r="Y207" s="42">
        <v>50</v>
      </c>
      <c r="Z207" s="42">
        <v>50</v>
      </c>
      <c r="AA207" s="42">
        <v>50</v>
      </c>
      <c r="AB207" s="42">
        <v>50</v>
      </c>
      <c r="AC207" s="42">
        <v>50</v>
      </c>
      <c r="AD207" s="42">
        <v>50</v>
      </c>
      <c r="AE207" s="42">
        <v>50</v>
      </c>
      <c r="AF207" s="42">
        <v>50</v>
      </c>
      <c r="AG207" s="42">
        <v>50</v>
      </c>
      <c r="AH207" s="42">
        <v>50</v>
      </c>
      <c r="AI207" s="42">
        <v>50</v>
      </c>
      <c r="AJ207" s="40"/>
    </row>
    <row r="208" spans="2:36" ht="14.25" x14ac:dyDescent="0.2">
      <c r="B208" s="108"/>
      <c r="D208" s="14" t="s">
        <v>71</v>
      </c>
      <c r="E208" s="15"/>
      <c r="F208" s="15" t="s">
        <v>67</v>
      </c>
      <c r="G208" s="15" t="s">
        <v>66</v>
      </c>
      <c r="H208" s="15" t="str">
        <f t="shared" si="11"/>
        <v>ElectricityLow</v>
      </c>
      <c r="I208" s="42">
        <v>112</v>
      </c>
      <c r="J208" s="42">
        <v>125</v>
      </c>
      <c r="K208" s="42">
        <v>112</v>
      </c>
      <c r="L208" s="42">
        <v>99</v>
      </c>
      <c r="M208" s="42">
        <v>86</v>
      </c>
      <c r="N208" s="42">
        <v>73</v>
      </c>
      <c r="O208" s="42">
        <v>40</v>
      </c>
      <c r="P208" s="42">
        <v>40</v>
      </c>
      <c r="Q208" s="42">
        <v>40</v>
      </c>
      <c r="R208" s="42">
        <v>40</v>
      </c>
      <c r="S208" s="42">
        <v>40</v>
      </c>
      <c r="T208" s="42">
        <v>40</v>
      </c>
      <c r="U208" s="42">
        <v>40</v>
      </c>
      <c r="V208" s="42">
        <v>40</v>
      </c>
      <c r="W208" s="42">
        <v>40</v>
      </c>
      <c r="X208" s="42">
        <v>40</v>
      </c>
      <c r="Y208" s="42">
        <v>40</v>
      </c>
      <c r="Z208" s="42">
        <v>40</v>
      </c>
      <c r="AA208" s="42">
        <v>40</v>
      </c>
      <c r="AB208" s="42">
        <v>40</v>
      </c>
      <c r="AC208" s="42">
        <v>40</v>
      </c>
      <c r="AD208" s="42">
        <v>40</v>
      </c>
      <c r="AE208" s="42">
        <v>40</v>
      </c>
      <c r="AF208" s="42">
        <v>40</v>
      </c>
      <c r="AG208" s="42">
        <v>40</v>
      </c>
      <c r="AH208" s="42">
        <v>40</v>
      </c>
      <c r="AI208" s="42">
        <v>40</v>
      </c>
      <c r="AJ208" s="40"/>
    </row>
    <row r="209" spans="2:37" ht="14.25" x14ac:dyDescent="0.2">
      <c r="B209" s="108"/>
      <c r="D209" s="14" t="s">
        <v>71</v>
      </c>
      <c r="E209" s="15"/>
      <c r="F209" s="15" t="s">
        <v>26</v>
      </c>
      <c r="G209" s="15" t="s">
        <v>65</v>
      </c>
      <c r="H209" s="15" t="str">
        <f t="shared" si="11"/>
        <v>BGHigh</v>
      </c>
      <c r="I209" s="15">
        <v>70</v>
      </c>
      <c r="J209" s="15">
        <f t="shared" ref="J209:N214" si="25">-((($O209-$I209)/($O$199-$I$199))*($O$199-J$199))+$O209</f>
        <v>78.333333333333329</v>
      </c>
      <c r="K209" s="15">
        <f t="shared" si="25"/>
        <v>86.666666666666657</v>
      </c>
      <c r="L209" s="15">
        <f t="shared" si="25"/>
        <v>95</v>
      </c>
      <c r="M209" s="15">
        <f t="shared" si="25"/>
        <v>103.33333333333333</v>
      </c>
      <c r="N209" s="15">
        <f t="shared" si="25"/>
        <v>111.66666666666667</v>
      </c>
      <c r="O209" s="15">
        <v>120</v>
      </c>
      <c r="P209" s="15">
        <f t="shared" ref="P209:X209" si="26">-((($Y209-$O209)/($Y$199-$O$199))*($Y$199-O$199))+$Y209</f>
        <v>120</v>
      </c>
      <c r="Q209" s="15">
        <f t="shared" si="26"/>
        <v>120</v>
      </c>
      <c r="R209" s="15">
        <f t="shared" si="26"/>
        <v>120</v>
      </c>
      <c r="S209" s="15">
        <f t="shared" si="26"/>
        <v>120</v>
      </c>
      <c r="T209" s="15">
        <f t="shared" si="26"/>
        <v>120</v>
      </c>
      <c r="U209" s="15">
        <f t="shared" si="26"/>
        <v>120</v>
      </c>
      <c r="V209" s="15">
        <f t="shared" si="26"/>
        <v>120</v>
      </c>
      <c r="W209" s="15">
        <f t="shared" si="26"/>
        <v>120</v>
      </c>
      <c r="X209" s="15">
        <f t="shared" si="26"/>
        <v>120</v>
      </c>
      <c r="Y209" s="15">
        <v>120</v>
      </c>
      <c r="Z209" s="15">
        <f t="shared" ref="Z209:AH209" si="27">-((($AI209-$Y209)/($AI$199-$Y$199))*($AI$199-Y$199))+$AI209</f>
        <v>120</v>
      </c>
      <c r="AA209" s="15">
        <f t="shared" si="27"/>
        <v>120</v>
      </c>
      <c r="AB209" s="15">
        <f t="shared" si="27"/>
        <v>120</v>
      </c>
      <c r="AC209" s="15">
        <f t="shared" si="27"/>
        <v>120</v>
      </c>
      <c r="AD209" s="15">
        <f t="shared" si="27"/>
        <v>120</v>
      </c>
      <c r="AE209" s="15">
        <f t="shared" si="27"/>
        <v>120</v>
      </c>
      <c r="AF209" s="15">
        <f t="shared" si="27"/>
        <v>120</v>
      </c>
      <c r="AG209" s="15">
        <f t="shared" si="27"/>
        <v>120</v>
      </c>
      <c r="AH209" s="15">
        <f t="shared" si="27"/>
        <v>120</v>
      </c>
      <c r="AI209" s="15">
        <v>120</v>
      </c>
      <c r="AJ209" s="40"/>
    </row>
    <row r="210" spans="2:37" ht="14.25" x14ac:dyDescent="0.2">
      <c r="B210" s="108"/>
      <c r="D210" s="14" t="s">
        <v>71</v>
      </c>
      <c r="E210" s="15"/>
      <c r="F210" s="15" t="s">
        <v>26</v>
      </c>
      <c r="G210" s="15" t="s">
        <v>8</v>
      </c>
      <c r="H210" s="15" t="str">
        <f t="shared" si="11"/>
        <v>BGAverage</v>
      </c>
      <c r="I210" s="15">
        <v>70</v>
      </c>
      <c r="J210" s="15">
        <f t="shared" si="25"/>
        <v>73.333333333333329</v>
      </c>
      <c r="K210" s="15">
        <f t="shared" si="25"/>
        <v>76.666666666666671</v>
      </c>
      <c r="L210" s="15">
        <f t="shared" si="25"/>
        <v>80</v>
      </c>
      <c r="M210" s="15">
        <f t="shared" si="25"/>
        <v>83.333333333333329</v>
      </c>
      <c r="N210" s="15">
        <f t="shared" si="25"/>
        <v>86.666666666666671</v>
      </c>
      <c r="O210" s="15">
        <v>90</v>
      </c>
      <c r="P210" s="15">
        <f t="shared" ref="P210:X210" si="28">-((($Y210-$O210)/($Y$199-$O$199))*($Y$199-O$199))+$Y210</f>
        <v>90</v>
      </c>
      <c r="Q210" s="15">
        <f t="shared" si="28"/>
        <v>90</v>
      </c>
      <c r="R210" s="15">
        <f t="shared" si="28"/>
        <v>90</v>
      </c>
      <c r="S210" s="15">
        <f t="shared" si="28"/>
        <v>90</v>
      </c>
      <c r="T210" s="15">
        <f t="shared" si="28"/>
        <v>90</v>
      </c>
      <c r="U210" s="15">
        <f t="shared" si="28"/>
        <v>90</v>
      </c>
      <c r="V210" s="15">
        <f t="shared" si="28"/>
        <v>90</v>
      </c>
      <c r="W210" s="15">
        <f t="shared" si="28"/>
        <v>90</v>
      </c>
      <c r="X210" s="15">
        <f t="shared" si="28"/>
        <v>90</v>
      </c>
      <c r="Y210" s="15">
        <v>90</v>
      </c>
      <c r="Z210" s="15">
        <f t="shared" ref="Z210:AH210" si="29">-((($AI210-$Y210)/($AI$199-$Y$199))*($AI$199-Y$199))+$AI210</f>
        <v>90</v>
      </c>
      <c r="AA210" s="15">
        <f t="shared" si="29"/>
        <v>90</v>
      </c>
      <c r="AB210" s="15">
        <f t="shared" si="29"/>
        <v>90</v>
      </c>
      <c r="AC210" s="15">
        <f t="shared" si="29"/>
        <v>90</v>
      </c>
      <c r="AD210" s="15">
        <f t="shared" si="29"/>
        <v>90</v>
      </c>
      <c r="AE210" s="15">
        <f t="shared" si="29"/>
        <v>90</v>
      </c>
      <c r="AF210" s="15">
        <f t="shared" si="29"/>
        <v>90</v>
      </c>
      <c r="AG210" s="15">
        <f t="shared" si="29"/>
        <v>90</v>
      </c>
      <c r="AH210" s="15">
        <f t="shared" si="29"/>
        <v>90</v>
      </c>
      <c r="AI210" s="15">
        <v>90</v>
      </c>
      <c r="AJ210" s="40"/>
    </row>
    <row r="211" spans="2:37" ht="14.25" x14ac:dyDescent="0.2">
      <c r="B211" s="108"/>
      <c r="D211" s="14" t="s">
        <v>71</v>
      </c>
      <c r="E211" s="15"/>
      <c r="F211" s="15" t="s">
        <v>26</v>
      </c>
      <c r="G211" s="15" t="s">
        <v>66</v>
      </c>
      <c r="H211" s="15" t="str">
        <f t="shared" si="11"/>
        <v>BGLow</v>
      </c>
      <c r="I211" s="15">
        <v>70</v>
      </c>
      <c r="J211" s="15">
        <f t="shared" si="25"/>
        <v>65</v>
      </c>
      <c r="K211" s="15">
        <f t="shared" si="25"/>
        <v>60</v>
      </c>
      <c r="L211" s="15">
        <f t="shared" si="25"/>
        <v>55</v>
      </c>
      <c r="M211" s="15">
        <f t="shared" si="25"/>
        <v>50</v>
      </c>
      <c r="N211" s="15">
        <f t="shared" si="25"/>
        <v>45</v>
      </c>
      <c r="O211" s="15">
        <v>40</v>
      </c>
      <c r="P211" s="15">
        <f t="shared" ref="P211:X211" si="30">-((($Y211-$O211)/($Y$199-$O$199))*($Y$199-O$199))+$Y211</f>
        <v>40</v>
      </c>
      <c r="Q211" s="15">
        <f t="shared" si="30"/>
        <v>40</v>
      </c>
      <c r="R211" s="15">
        <f t="shared" si="30"/>
        <v>40</v>
      </c>
      <c r="S211" s="15">
        <f t="shared" si="30"/>
        <v>40</v>
      </c>
      <c r="T211" s="15">
        <f t="shared" si="30"/>
        <v>40</v>
      </c>
      <c r="U211" s="15">
        <f t="shared" si="30"/>
        <v>40</v>
      </c>
      <c r="V211" s="15">
        <f t="shared" si="30"/>
        <v>40</v>
      </c>
      <c r="W211" s="15">
        <f t="shared" si="30"/>
        <v>40</v>
      </c>
      <c r="X211" s="15">
        <f t="shared" si="30"/>
        <v>40</v>
      </c>
      <c r="Y211" s="15">
        <v>40</v>
      </c>
      <c r="Z211" s="15">
        <f t="shared" ref="Z211:AH211" si="31">-((($AI211-$Y211)/($AI$199-$Y$199))*($AI$199-Y$199))+$AI211</f>
        <v>40</v>
      </c>
      <c r="AA211" s="15">
        <f t="shared" si="31"/>
        <v>40</v>
      </c>
      <c r="AB211" s="15">
        <f t="shared" si="31"/>
        <v>40</v>
      </c>
      <c r="AC211" s="15">
        <f t="shared" si="31"/>
        <v>40</v>
      </c>
      <c r="AD211" s="15">
        <f t="shared" si="31"/>
        <v>40</v>
      </c>
      <c r="AE211" s="15">
        <f t="shared" si="31"/>
        <v>40</v>
      </c>
      <c r="AF211" s="15">
        <f t="shared" si="31"/>
        <v>40</v>
      </c>
      <c r="AG211" s="15">
        <f t="shared" si="31"/>
        <v>40</v>
      </c>
      <c r="AH211" s="15">
        <f t="shared" si="31"/>
        <v>40</v>
      </c>
      <c r="AI211" s="15">
        <v>40</v>
      </c>
      <c r="AJ211" s="40"/>
    </row>
    <row r="212" spans="2:37" ht="14.25" x14ac:dyDescent="0.2">
      <c r="B212" s="108"/>
      <c r="D212" s="14" t="s">
        <v>71</v>
      </c>
      <c r="E212" s="15"/>
      <c r="F212" s="15" t="s">
        <v>68</v>
      </c>
      <c r="G212" s="15" t="s">
        <v>66</v>
      </c>
      <c r="H212" s="15" t="str">
        <f t="shared" si="11"/>
        <v>HVOLow</v>
      </c>
      <c r="I212" s="15">
        <v>78</v>
      </c>
      <c r="J212" s="15">
        <f t="shared" si="25"/>
        <v>73.5</v>
      </c>
      <c r="K212" s="15">
        <f t="shared" si="25"/>
        <v>69</v>
      </c>
      <c r="L212" s="15">
        <f t="shared" si="25"/>
        <v>64.5</v>
      </c>
      <c r="M212" s="15">
        <f t="shared" si="25"/>
        <v>60</v>
      </c>
      <c r="N212" s="15">
        <f t="shared" si="25"/>
        <v>55.5</v>
      </c>
      <c r="O212" s="15">
        <v>51</v>
      </c>
      <c r="P212" s="15">
        <f t="shared" ref="P212:X212" si="32">-((($Y212-$O212)/($Y$199-$O$199))*($Y$199-O$199))+$Y212</f>
        <v>51</v>
      </c>
      <c r="Q212" s="15">
        <f t="shared" si="32"/>
        <v>51</v>
      </c>
      <c r="R212" s="15">
        <f t="shared" si="32"/>
        <v>51</v>
      </c>
      <c r="S212" s="15">
        <f t="shared" si="32"/>
        <v>51</v>
      </c>
      <c r="T212" s="15">
        <f t="shared" si="32"/>
        <v>51</v>
      </c>
      <c r="U212" s="15">
        <f t="shared" si="32"/>
        <v>51</v>
      </c>
      <c r="V212" s="15">
        <f t="shared" si="32"/>
        <v>51</v>
      </c>
      <c r="W212" s="15">
        <f t="shared" si="32"/>
        <v>51</v>
      </c>
      <c r="X212" s="15">
        <f t="shared" si="32"/>
        <v>51</v>
      </c>
      <c r="Y212" s="15">
        <v>51</v>
      </c>
      <c r="Z212" s="15">
        <f t="shared" ref="Z212:AH212" si="33">-((($AI212-$Y212)/($AI$199-$Y$199))*($AI$199-Y$199))+$AI212</f>
        <v>51</v>
      </c>
      <c r="AA212" s="15">
        <f t="shared" si="33"/>
        <v>51</v>
      </c>
      <c r="AB212" s="15">
        <f t="shared" si="33"/>
        <v>51</v>
      </c>
      <c r="AC212" s="15">
        <f t="shared" si="33"/>
        <v>51</v>
      </c>
      <c r="AD212" s="15">
        <f t="shared" si="33"/>
        <v>51</v>
      </c>
      <c r="AE212" s="15">
        <f t="shared" si="33"/>
        <v>51</v>
      </c>
      <c r="AF212" s="15">
        <f t="shared" si="33"/>
        <v>51</v>
      </c>
      <c r="AG212" s="15">
        <f t="shared" si="33"/>
        <v>51</v>
      </c>
      <c r="AH212" s="15">
        <f t="shared" si="33"/>
        <v>51</v>
      </c>
      <c r="AI212" s="15">
        <v>51</v>
      </c>
      <c r="AJ212" s="40"/>
    </row>
    <row r="213" spans="2:37" ht="14.25" x14ac:dyDescent="0.2">
      <c r="B213" s="108"/>
      <c r="D213" s="14" t="s">
        <v>71</v>
      </c>
      <c r="E213" s="15"/>
      <c r="F213" s="15" t="s">
        <v>68</v>
      </c>
      <c r="G213" s="15" t="s">
        <v>8</v>
      </c>
      <c r="H213" s="15" t="str">
        <f t="shared" si="11"/>
        <v>HVOAverage</v>
      </c>
      <c r="I213" s="15">
        <v>78</v>
      </c>
      <c r="J213" s="15">
        <f t="shared" si="25"/>
        <v>78</v>
      </c>
      <c r="K213" s="15">
        <f t="shared" si="25"/>
        <v>78</v>
      </c>
      <c r="L213" s="15">
        <f t="shared" si="25"/>
        <v>78</v>
      </c>
      <c r="M213" s="15">
        <f t="shared" si="25"/>
        <v>78</v>
      </c>
      <c r="N213" s="15">
        <f t="shared" si="25"/>
        <v>78</v>
      </c>
      <c r="O213" s="15">
        <v>78</v>
      </c>
      <c r="P213" s="15">
        <f t="shared" ref="P213:X213" si="34">-((($Y213-$O213)/($Y$199-$O$199))*($Y$199-O$199))+$Y213</f>
        <v>78</v>
      </c>
      <c r="Q213" s="15">
        <f t="shared" si="34"/>
        <v>78</v>
      </c>
      <c r="R213" s="15">
        <f t="shared" si="34"/>
        <v>78</v>
      </c>
      <c r="S213" s="15">
        <f t="shared" si="34"/>
        <v>78</v>
      </c>
      <c r="T213" s="15">
        <f t="shared" si="34"/>
        <v>78</v>
      </c>
      <c r="U213" s="15">
        <f t="shared" si="34"/>
        <v>78</v>
      </c>
      <c r="V213" s="15">
        <f t="shared" si="34"/>
        <v>78</v>
      </c>
      <c r="W213" s="15">
        <f t="shared" si="34"/>
        <v>78</v>
      </c>
      <c r="X213" s="15">
        <f t="shared" si="34"/>
        <v>78</v>
      </c>
      <c r="Y213" s="15">
        <v>78</v>
      </c>
      <c r="Z213" s="15">
        <f t="shared" ref="Z213:AH213" si="35">-((($AI213-$Y213)/($AI$199-$Y$199))*($AI$199-Y$199))+$AI213</f>
        <v>78</v>
      </c>
      <c r="AA213" s="15">
        <f t="shared" si="35"/>
        <v>78</v>
      </c>
      <c r="AB213" s="15">
        <f t="shared" si="35"/>
        <v>78</v>
      </c>
      <c r="AC213" s="15">
        <f t="shared" si="35"/>
        <v>78</v>
      </c>
      <c r="AD213" s="15">
        <f t="shared" si="35"/>
        <v>78</v>
      </c>
      <c r="AE213" s="15">
        <f t="shared" si="35"/>
        <v>78</v>
      </c>
      <c r="AF213" s="15">
        <f t="shared" si="35"/>
        <v>78</v>
      </c>
      <c r="AG213" s="15">
        <f t="shared" si="35"/>
        <v>78</v>
      </c>
      <c r="AH213" s="15">
        <f t="shared" si="35"/>
        <v>78</v>
      </c>
      <c r="AI213" s="15">
        <v>78</v>
      </c>
      <c r="AJ213" s="40"/>
    </row>
    <row r="214" spans="2:37" ht="14.25" x14ac:dyDescent="0.2">
      <c r="B214" s="108"/>
      <c r="D214" s="14" t="s">
        <v>71</v>
      </c>
      <c r="E214" s="15"/>
      <c r="F214" s="15" t="s">
        <v>68</v>
      </c>
      <c r="G214" s="15" t="s">
        <v>65</v>
      </c>
      <c r="H214" s="15" t="str">
        <f t="shared" si="11"/>
        <v>HVOHigh</v>
      </c>
      <c r="I214" s="15">
        <v>78</v>
      </c>
      <c r="J214" s="15">
        <f t="shared" si="25"/>
        <v>80.166666666666671</v>
      </c>
      <c r="K214" s="15">
        <f t="shared" si="25"/>
        <v>82.333333333333329</v>
      </c>
      <c r="L214" s="15">
        <f t="shared" si="25"/>
        <v>84.5</v>
      </c>
      <c r="M214" s="15">
        <f t="shared" si="25"/>
        <v>86.666666666666671</v>
      </c>
      <c r="N214" s="15">
        <f t="shared" si="25"/>
        <v>88.833333333333329</v>
      </c>
      <c r="O214" s="15">
        <v>91</v>
      </c>
      <c r="P214" s="15">
        <f t="shared" ref="P214:X214" si="36">-((($Y214-$O214)/($Y$199-$O$199))*($Y$199-O$199))+$Y214</f>
        <v>91</v>
      </c>
      <c r="Q214" s="15">
        <f t="shared" si="36"/>
        <v>91</v>
      </c>
      <c r="R214" s="15">
        <f t="shared" si="36"/>
        <v>91</v>
      </c>
      <c r="S214" s="15">
        <f t="shared" si="36"/>
        <v>91</v>
      </c>
      <c r="T214" s="15">
        <f t="shared" si="36"/>
        <v>91</v>
      </c>
      <c r="U214" s="15">
        <f t="shared" si="36"/>
        <v>91</v>
      </c>
      <c r="V214" s="15">
        <f t="shared" si="36"/>
        <v>91</v>
      </c>
      <c r="W214" s="15">
        <f t="shared" si="36"/>
        <v>91</v>
      </c>
      <c r="X214" s="15">
        <f t="shared" si="36"/>
        <v>91</v>
      </c>
      <c r="Y214" s="15">
        <v>91</v>
      </c>
      <c r="Z214" s="15">
        <f t="shared" ref="Z214:AH214" si="37">-((($AI214-$Y214)/($AI$199-$Y$199))*($AI$199-Y$199))+$AI214</f>
        <v>91</v>
      </c>
      <c r="AA214" s="15">
        <f t="shared" si="37"/>
        <v>91</v>
      </c>
      <c r="AB214" s="15">
        <f t="shared" si="37"/>
        <v>91</v>
      </c>
      <c r="AC214" s="15">
        <f t="shared" si="37"/>
        <v>91</v>
      </c>
      <c r="AD214" s="15">
        <f t="shared" si="37"/>
        <v>91</v>
      </c>
      <c r="AE214" s="15">
        <f t="shared" si="37"/>
        <v>91</v>
      </c>
      <c r="AF214" s="15">
        <f t="shared" si="37"/>
        <v>91</v>
      </c>
      <c r="AG214" s="15">
        <f t="shared" si="37"/>
        <v>91</v>
      </c>
      <c r="AH214" s="15">
        <f t="shared" si="37"/>
        <v>91</v>
      </c>
      <c r="AI214" s="15">
        <v>91</v>
      </c>
      <c r="AJ214" s="40"/>
    </row>
    <row r="215" spans="2:37" ht="14.25" x14ac:dyDescent="0.2">
      <c r="B215" s="108"/>
      <c r="D215" s="14" t="s">
        <v>83</v>
      </c>
      <c r="E215" s="15"/>
      <c r="F215" s="15" t="s">
        <v>82</v>
      </c>
      <c r="G215" s="15" t="s">
        <v>65</v>
      </c>
      <c r="H215" s="15" t="str">
        <f t="shared" si="11"/>
        <v>H2High</v>
      </c>
      <c r="I215" s="15">
        <v>13.5</v>
      </c>
      <c r="J215" s="15">
        <v>11.06</v>
      </c>
      <c r="K215" s="15">
        <v>10.199999999999999</v>
      </c>
      <c r="L215" s="15">
        <v>9.33</v>
      </c>
      <c r="M215" s="15">
        <v>8.4700000000000006</v>
      </c>
      <c r="N215" s="15">
        <v>7.61</v>
      </c>
      <c r="O215" s="15">
        <v>13.5</v>
      </c>
      <c r="P215" s="15">
        <v>6.83</v>
      </c>
      <c r="Q215" s="15">
        <v>6.92</v>
      </c>
      <c r="R215" s="15">
        <v>7</v>
      </c>
      <c r="S215" s="15">
        <v>7.09</v>
      </c>
      <c r="T215" s="15">
        <f>(O215+Y215)/2</f>
        <v>9.5175000000000001</v>
      </c>
      <c r="U215" s="15">
        <v>6.23</v>
      </c>
      <c r="V215" s="15">
        <v>6.31</v>
      </c>
      <c r="W215" s="15">
        <v>6.4</v>
      </c>
      <c r="X215" s="15">
        <v>6.49</v>
      </c>
      <c r="Y215" s="15">
        <f>O215*0.41</f>
        <v>5.5349999999999993</v>
      </c>
      <c r="Z215" s="15">
        <v>5.53</v>
      </c>
      <c r="AA215" s="15">
        <v>5.52</v>
      </c>
      <c r="AB215" s="15">
        <v>5.5</v>
      </c>
      <c r="AC215" s="15">
        <v>5.49</v>
      </c>
      <c r="AD215" s="15">
        <v>5.48</v>
      </c>
      <c r="AE215" s="15">
        <v>5.46</v>
      </c>
      <c r="AF215" s="15">
        <v>5.45</v>
      </c>
      <c r="AG215" s="15">
        <v>5.43</v>
      </c>
      <c r="AH215" s="15">
        <v>5.42</v>
      </c>
      <c r="AI215" s="15">
        <f>Y215*0.41</f>
        <v>2.2693499999999998</v>
      </c>
      <c r="AJ215" s="40"/>
    </row>
    <row r="216" spans="2:37" ht="14.25" x14ac:dyDescent="0.2">
      <c r="B216" s="108"/>
      <c r="D216" s="14" t="s">
        <v>83</v>
      </c>
      <c r="E216" s="15"/>
      <c r="F216" s="15" t="s">
        <v>82</v>
      </c>
      <c r="G216" s="15" t="s">
        <v>8</v>
      </c>
      <c r="H216" s="15" t="str">
        <f t="shared" si="11"/>
        <v>H2Average</v>
      </c>
      <c r="I216" s="15">
        <f>(I215+I217)/2</f>
        <v>9.65</v>
      </c>
      <c r="J216" s="15">
        <v>7.97</v>
      </c>
      <c r="K216" s="15">
        <v>7.25</v>
      </c>
      <c r="L216" s="15">
        <v>6.54</v>
      </c>
      <c r="M216" s="15">
        <v>5.83</v>
      </c>
      <c r="N216" s="15">
        <v>5.13</v>
      </c>
      <c r="O216" s="15">
        <f>(O215+O217)/2</f>
        <v>9.65</v>
      </c>
      <c r="P216" s="15">
        <v>4.41</v>
      </c>
      <c r="Q216" s="15">
        <v>4.3899999999999997</v>
      </c>
      <c r="R216" s="15">
        <v>4.37</v>
      </c>
      <c r="S216" s="15">
        <v>4.3499999999999996</v>
      </c>
      <c r="T216" s="15">
        <f>(O216+Y216)/2</f>
        <v>6.8032500000000002</v>
      </c>
      <c r="U216" s="15">
        <v>4.32</v>
      </c>
      <c r="V216" s="15">
        <v>4.3</v>
      </c>
      <c r="W216" s="15">
        <v>4.29</v>
      </c>
      <c r="X216" s="15">
        <v>4.2699999999999996</v>
      </c>
      <c r="Y216" s="15">
        <f>O216*0.41</f>
        <v>3.9565000000000001</v>
      </c>
      <c r="Z216" s="15">
        <v>4.24</v>
      </c>
      <c r="AA216" s="15">
        <v>4.2300000000000004</v>
      </c>
      <c r="AB216" s="15">
        <v>4.21</v>
      </c>
      <c r="AC216" s="15">
        <v>4.2</v>
      </c>
      <c r="AD216" s="15">
        <v>4.18</v>
      </c>
      <c r="AE216" s="15">
        <v>4.17</v>
      </c>
      <c r="AF216" s="15">
        <v>4.16</v>
      </c>
      <c r="AG216" s="15">
        <v>4.1399999999999997</v>
      </c>
      <c r="AH216" s="15">
        <v>4.13</v>
      </c>
      <c r="AI216" s="15">
        <f>Y216*0.41</f>
        <v>1.6221649999999999</v>
      </c>
      <c r="AJ216" s="40"/>
    </row>
    <row r="217" spans="2:37" ht="15" thickBot="1" x14ac:dyDescent="0.25">
      <c r="B217" s="109"/>
      <c r="D217" s="14" t="s">
        <v>83</v>
      </c>
      <c r="E217" s="15"/>
      <c r="F217" s="15" t="s">
        <v>82</v>
      </c>
      <c r="G217" s="15" t="s">
        <v>66</v>
      </c>
      <c r="H217" s="15" t="str">
        <f t="shared" si="11"/>
        <v>H2Low</v>
      </c>
      <c r="I217" s="15">
        <v>5.8</v>
      </c>
      <c r="J217" s="15">
        <v>7.19</v>
      </c>
      <c r="K217" s="15">
        <v>6.48</v>
      </c>
      <c r="L217" s="15">
        <v>5.77</v>
      </c>
      <c r="M217" s="15">
        <v>5.0599999999999996</v>
      </c>
      <c r="N217" s="15">
        <v>4.3600000000000003</v>
      </c>
      <c r="O217" s="15">
        <v>5.8</v>
      </c>
      <c r="P217" s="15">
        <v>3.63</v>
      </c>
      <c r="Q217" s="15">
        <v>3.61</v>
      </c>
      <c r="R217" s="15">
        <v>3.6</v>
      </c>
      <c r="S217" s="15">
        <v>3.58</v>
      </c>
      <c r="T217" s="15">
        <f>(O217+Y217)/2</f>
        <v>4.0889999999999995</v>
      </c>
      <c r="U217" s="15">
        <v>3.54</v>
      </c>
      <c r="V217" s="15">
        <v>3.53</v>
      </c>
      <c r="W217" s="15">
        <v>3.51</v>
      </c>
      <c r="X217" s="15">
        <v>3.5</v>
      </c>
      <c r="Y217" s="15">
        <f>O217*0.41</f>
        <v>2.3779999999999997</v>
      </c>
      <c r="Z217" s="15">
        <v>3.62</v>
      </c>
      <c r="AA217" s="15">
        <v>3.76</v>
      </c>
      <c r="AB217" s="15">
        <v>3.9</v>
      </c>
      <c r="AC217" s="15">
        <v>4.04</v>
      </c>
      <c r="AD217" s="15">
        <v>4.18</v>
      </c>
      <c r="AE217" s="15">
        <v>4.17</v>
      </c>
      <c r="AF217" s="15">
        <v>4.16</v>
      </c>
      <c r="AG217" s="15">
        <v>4.1399999999999997</v>
      </c>
      <c r="AH217" s="15">
        <v>4.13</v>
      </c>
      <c r="AI217" s="15">
        <f>Y217*0.41</f>
        <v>0.97497999999999985</v>
      </c>
      <c r="AJ217" s="40"/>
      <c r="AK217" s="12"/>
    </row>
    <row r="218" spans="2:37" ht="14.25" x14ac:dyDescent="0.2">
      <c r="B218" s="53"/>
      <c r="AB218" s="26"/>
      <c r="AC218" s="27"/>
      <c r="AD218" s="27"/>
      <c r="AE218" s="27"/>
      <c r="AJ218" s="40"/>
    </row>
    <row r="219" spans="2:37" ht="15" thickBot="1" x14ac:dyDescent="0.25">
      <c r="B219" s="53"/>
      <c r="AB219" s="26"/>
      <c r="AC219" s="27"/>
      <c r="AD219" s="27"/>
      <c r="AE219" s="27"/>
      <c r="AJ219" s="40"/>
    </row>
    <row r="220" spans="2:37" s="18" customFormat="1" ht="14.25" x14ac:dyDescent="0.2">
      <c r="B220" s="107" t="s">
        <v>112</v>
      </c>
      <c r="D220" s="14" t="s">
        <v>110</v>
      </c>
      <c r="E220" s="14" t="s">
        <v>111</v>
      </c>
      <c r="F220" s="14" t="s">
        <v>73</v>
      </c>
      <c r="G220" s="14" t="s">
        <v>3</v>
      </c>
      <c r="H220" s="14"/>
      <c r="I220" s="14">
        <v>2024</v>
      </c>
      <c r="J220" s="14">
        <v>2025</v>
      </c>
      <c r="K220" s="14">
        <v>2026</v>
      </c>
      <c r="L220" s="14">
        <v>2027</v>
      </c>
      <c r="M220" s="14">
        <v>2028</v>
      </c>
      <c r="N220" s="14">
        <v>2029</v>
      </c>
      <c r="O220" s="14">
        <v>2030</v>
      </c>
      <c r="P220" s="14">
        <v>2031</v>
      </c>
      <c r="Q220" s="14">
        <v>2032</v>
      </c>
      <c r="R220" s="14">
        <v>2033</v>
      </c>
      <c r="S220" s="14">
        <v>2034</v>
      </c>
      <c r="T220" s="14">
        <v>2035</v>
      </c>
      <c r="U220" s="14">
        <v>2036</v>
      </c>
      <c r="V220" s="14">
        <v>2037</v>
      </c>
      <c r="W220" s="14">
        <v>2038</v>
      </c>
      <c r="X220" s="14">
        <v>2039</v>
      </c>
      <c r="Y220" s="14">
        <v>2040</v>
      </c>
      <c r="Z220" s="14">
        <v>2041</v>
      </c>
      <c r="AA220" s="14">
        <v>2042</v>
      </c>
      <c r="AB220" s="14">
        <v>2043</v>
      </c>
      <c r="AC220" s="14">
        <v>2044</v>
      </c>
      <c r="AD220" s="14">
        <v>2045</v>
      </c>
      <c r="AE220" s="14">
        <v>2046</v>
      </c>
      <c r="AF220" s="14">
        <v>2047</v>
      </c>
      <c r="AG220" s="14">
        <v>2048</v>
      </c>
      <c r="AH220" s="14">
        <v>2049</v>
      </c>
      <c r="AI220" s="14">
        <v>2050</v>
      </c>
      <c r="AJ220" s="41"/>
    </row>
    <row r="221" spans="2:37" ht="14.25" x14ac:dyDescent="0.2">
      <c r="B221" s="108"/>
      <c r="D221" s="43">
        <v>1628.2</v>
      </c>
      <c r="E221" s="15" t="s">
        <v>72</v>
      </c>
      <c r="F221" s="15" t="s">
        <v>63</v>
      </c>
      <c r="G221" s="15" t="s">
        <v>65</v>
      </c>
      <c r="H221" s="15" t="str">
        <f t="shared" ref="H221:H238" si="38">F221&amp;G221</f>
        <v>OilHigh</v>
      </c>
      <c r="I221" s="15">
        <f t="shared" ref="I221:AI221" si="39">I200/$D221</f>
        <v>5.0362363346026284E-2</v>
      </c>
      <c r="J221" s="15">
        <f t="shared" si="39"/>
        <v>5.0055275764648077E-2</v>
      </c>
      <c r="K221" s="15">
        <f t="shared" si="39"/>
        <v>4.974818818326987E-2</v>
      </c>
      <c r="L221" s="15">
        <f t="shared" si="39"/>
        <v>4.9441100601891656E-2</v>
      </c>
      <c r="M221" s="15">
        <f t="shared" si="39"/>
        <v>4.9134013020513449E-2</v>
      </c>
      <c r="N221" s="15">
        <f t="shared" si="39"/>
        <v>4.8826925439135242E-2</v>
      </c>
      <c r="O221" s="15">
        <f t="shared" si="39"/>
        <v>4.8519837857757028E-2</v>
      </c>
      <c r="P221" s="15">
        <f t="shared" si="39"/>
        <v>4.8519837857757028E-2</v>
      </c>
      <c r="Q221" s="15">
        <f t="shared" si="39"/>
        <v>4.8397002825205745E-2</v>
      </c>
      <c r="R221" s="15">
        <f t="shared" si="39"/>
        <v>4.8274167792654463E-2</v>
      </c>
      <c r="S221" s="15">
        <f t="shared" si="39"/>
        <v>4.8151332760103187E-2</v>
      </c>
      <c r="T221" s="15">
        <f t="shared" si="39"/>
        <v>4.8028497727551897E-2</v>
      </c>
      <c r="U221" s="15">
        <f t="shared" si="39"/>
        <v>4.7905662695000614E-2</v>
      </c>
      <c r="V221" s="15">
        <f t="shared" si="39"/>
        <v>4.7782827662449325E-2</v>
      </c>
      <c r="W221" s="15">
        <f t="shared" si="39"/>
        <v>4.7659992629898042E-2</v>
      </c>
      <c r="X221" s="15">
        <f t="shared" si="39"/>
        <v>4.7537157597346766E-2</v>
      </c>
      <c r="Y221" s="15">
        <f t="shared" si="39"/>
        <v>4.7291487532244193E-2</v>
      </c>
      <c r="Z221" s="15">
        <f t="shared" si="39"/>
        <v>4.7291487532244193E-2</v>
      </c>
      <c r="AA221" s="15">
        <f t="shared" si="39"/>
        <v>4.716865249969291E-2</v>
      </c>
      <c r="AB221" s="15">
        <f t="shared" si="39"/>
        <v>4.7045817467141621E-2</v>
      </c>
      <c r="AC221" s="15">
        <f t="shared" si="39"/>
        <v>4.6922982434590345E-2</v>
      </c>
      <c r="AD221" s="15">
        <f t="shared" si="39"/>
        <v>4.6800147402039062E-2</v>
      </c>
      <c r="AE221" s="15">
        <f t="shared" si="39"/>
        <v>4.6677312369487779E-2</v>
      </c>
      <c r="AF221" s="15">
        <f t="shared" si="39"/>
        <v>4.6554477336936489E-2</v>
      </c>
      <c r="AG221" s="15">
        <f t="shared" si="39"/>
        <v>4.6431642304385207E-2</v>
      </c>
      <c r="AH221" s="15">
        <f t="shared" si="39"/>
        <v>4.6308807271833931E-2</v>
      </c>
      <c r="AI221" s="15">
        <f t="shared" si="39"/>
        <v>4.6063137206731358E-2</v>
      </c>
      <c r="AJ221" s="40"/>
    </row>
    <row r="222" spans="2:37" ht="14.25" x14ac:dyDescent="0.2">
      <c r="B222" s="108"/>
      <c r="D222" s="43">
        <v>1628.2</v>
      </c>
      <c r="E222" s="15" t="s">
        <v>72</v>
      </c>
      <c r="F222" s="15" t="s">
        <v>63</v>
      </c>
      <c r="G222" s="15" t="s">
        <v>8</v>
      </c>
      <c r="H222" s="15" t="str">
        <f t="shared" si="38"/>
        <v>OilAverage</v>
      </c>
      <c r="I222" s="15">
        <f t="shared" ref="I222:AI222" si="40">I201/$D222</f>
        <v>5.0362363346026284E-2</v>
      </c>
      <c r="J222" s="15">
        <f t="shared" si="40"/>
        <v>4.9338738074765583E-2</v>
      </c>
      <c r="K222" s="15">
        <f t="shared" si="40"/>
        <v>4.8315112803504895E-2</v>
      </c>
      <c r="L222" s="15">
        <f t="shared" si="40"/>
        <v>4.7291487532244193E-2</v>
      </c>
      <c r="M222" s="15">
        <f t="shared" si="40"/>
        <v>4.6267862260983492E-2</v>
      </c>
      <c r="N222" s="15">
        <f t="shared" si="40"/>
        <v>4.5244236989722804E-2</v>
      </c>
      <c r="O222" s="15">
        <f t="shared" si="40"/>
        <v>4.4220611718462102E-2</v>
      </c>
      <c r="P222" s="15">
        <f t="shared" si="40"/>
        <v>4.4220611718462102E-2</v>
      </c>
      <c r="Q222" s="15">
        <f t="shared" si="40"/>
        <v>4.3667854071981323E-2</v>
      </c>
      <c r="R222" s="15">
        <f t="shared" si="40"/>
        <v>4.311509642550055E-2</v>
      </c>
      <c r="S222" s="15">
        <f t="shared" si="40"/>
        <v>4.256233877901977E-2</v>
      </c>
      <c r="T222" s="15">
        <f t="shared" si="40"/>
        <v>4.2009581132539005E-2</v>
      </c>
      <c r="U222" s="15">
        <f t="shared" si="40"/>
        <v>4.1456823486058225E-2</v>
      </c>
      <c r="V222" s="15">
        <f t="shared" si="40"/>
        <v>4.0904065839577446E-2</v>
      </c>
      <c r="W222" s="15">
        <f t="shared" si="40"/>
        <v>4.0351308193096673E-2</v>
      </c>
      <c r="X222" s="15">
        <f t="shared" si="40"/>
        <v>3.9798550546615893E-2</v>
      </c>
      <c r="Y222" s="15">
        <f t="shared" si="40"/>
        <v>3.8693035253654341E-2</v>
      </c>
      <c r="Z222" s="15">
        <f t="shared" si="40"/>
        <v>3.8693035253654341E-2</v>
      </c>
      <c r="AA222" s="15">
        <f t="shared" si="40"/>
        <v>3.8385947672276134E-2</v>
      </c>
      <c r="AB222" s="15">
        <f t="shared" si="40"/>
        <v>3.807886009089792E-2</v>
      </c>
      <c r="AC222" s="15">
        <f t="shared" si="40"/>
        <v>3.7771772509519713E-2</v>
      </c>
      <c r="AD222" s="15">
        <f t="shared" si="40"/>
        <v>3.7464684928141506E-2</v>
      </c>
      <c r="AE222" s="15">
        <f t="shared" si="40"/>
        <v>3.7157597346763299E-2</v>
      </c>
      <c r="AF222" s="15">
        <f t="shared" si="40"/>
        <v>3.6850509765385085E-2</v>
      </c>
      <c r="AG222" s="15">
        <f t="shared" si="40"/>
        <v>3.6543422184006878E-2</v>
      </c>
      <c r="AH222" s="15">
        <f t="shared" si="40"/>
        <v>3.6236334602628671E-2</v>
      </c>
      <c r="AI222" s="15">
        <f t="shared" si="40"/>
        <v>3.562215943987225E-2</v>
      </c>
      <c r="AJ222" s="40"/>
    </row>
    <row r="223" spans="2:37" ht="14.25" x14ac:dyDescent="0.2">
      <c r="B223" s="108"/>
      <c r="D223" s="43">
        <v>1628.2</v>
      </c>
      <c r="E223" s="15" t="s">
        <v>72</v>
      </c>
      <c r="F223" s="15" t="s">
        <v>63</v>
      </c>
      <c r="G223" s="15" t="s">
        <v>66</v>
      </c>
      <c r="H223" s="15" t="str">
        <f t="shared" si="38"/>
        <v>OilLow</v>
      </c>
      <c r="I223" s="15">
        <f t="shared" ref="I223:AI223" si="41">I202/$D223</f>
        <v>5.0362363346026284E-2</v>
      </c>
      <c r="J223" s="15">
        <f t="shared" si="41"/>
        <v>4.6267862260983506E-2</v>
      </c>
      <c r="K223" s="15">
        <f t="shared" si="41"/>
        <v>4.2173361175940713E-2</v>
      </c>
      <c r="L223" s="15">
        <f t="shared" si="41"/>
        <v>3.807886009089792E-2</v>
      </c>
      <c r="M223" s="15">
        <f t="shared" si="41"/>
        <v>3.3984359005855135E-2</v>
      </c>
      <c r="N223" s="15">
        <f t="shared" si="41"/>
        <v>2.9889857920812345E-2</v>
      </c>
      <c r="O223" s="15">
        <f t="shared" si="41"/>
        <v>2.579535683576956E-2</v>
      </c>
      <c r="P223" s="15">
        <f t="shared" si="41"/>
        <v>2.579535683576956E-2</v>
      </c>
      <c r="Q223" s="15">
        <f t="shared" si="41"/>
        <v>2.5058346640461856E-2</v>
      </c>
      <c r="R223" s="15">
        <f t="shared" si="41"/>
        <v>2.4321336445154159E-2</v>
      </c>
      <c r="S223" s="15">
        <f t="shared" si="41"/>
        <v>2.3584326249846455E-2</v>
      </c>
      <c r="T223" s="15">
        <f t="shared" si="41"/>
        <v>2.2847316054538755E-2</v>
      </c>
      <c r="U223" s="15">
        <f t="shared" si="41"/>
        <v>2.2110305859231051E-2</v>
      </c>
      <c r="V223" s="15">
        <f t="shared" si="41"/>
        <v>2.1373295663923347E-2</v>
      </c>
      <c r="W223" s="15">
        <f t="shared" si="41"/>
        <v>2.063628546861565E-2</v>
      </c>
      <c r="X223" s="15">
        <f t="shared" si="41"/>
        <v>1.9899275273307947E-2</v>
      </c>
      <c r="Y223" s="15">
        <f t="shared" si="41"/>
        <v>1.8425254882692543E-2</v>
      </c>
      <c r="Z223" s="15">
        <f t="shared" si="41"/>
        <v>1.8425254882692543E-2</v>
      </c>
      <c r="AA223" s="15">
        <f t="shared" si="41"/>
        <v>1.8118167301314336E-2</v>
      </c>
      <c r="AB223" s="15">
        <f t="shared" si="41"/>
        <v>1.7811079719936125E-2</v>
      </c>
      <c r="AC223" s="15">
        <f t="shared" si="41"/>
        <v>1.7503992138557915E-2</v>
      </c>
      <c r="AD223" s="15">
        <f t="shared" si="41"/>
        <v>1.7196904557179708E-2</v>
      </c>
      <c r="AE223" s="15">
        <f t="shared" si="41"/>
        <v>1.6889816975801497E-2</v>
      </c>
      <c r="AF223" s="15">
        <f t="shared" si="41"/>
        <v>1.658272939442329E-2</v>
      </c>
      <c r="AG223" s="15">
        <f t="shared" si="41"/>
        <v>1.627564181304508E-2</v>
      </c>
      <c r="AH223" s="15">
        <f t="shared" si="41"/>
        <v>1.5968554231666873E-2</v>
      </c>
      <c r="AI223" s="15">
        <f t="shared" si="41"/>
        <v>1.5354379068910453E-2</v>
      </c>
      <c r="AJ223" s="40"/>
    </row>
    <row r="224" spans="2:37" ht="14.25" x14ac:dyDescent="0.2">
      <c r="B224" s="108"/>
      <c r="D224" s="43">
        <v>293</v>
      </c>
      <c r="E224" s="15" t="s">
        <v>72</v>
      </c>
      <c r="F224" s="15" t="s">
        <v>25</v>
      </c>
      <c r="G224" s="15" t="s">
        <v>65</v>
      </c>
      <c r="H224" s="15" t="str">
        <f t="shared" si="38"/>
        <v>NGHigh</v>
      </c>
      <c r="I224" s="15">
        <f t="shared" ref="I224:AI224" si="42">I203/$D224</f>
        <v>4.1296928327645047E-2</v>
      </c>
      <c r="J224" s="15">
        <f t="shared" si="42"/>
        <v>3.811149032992036E-2</v>
      </c>
      <c r="K224" s="15">
        <f t="shared" si="42"/>
        <v>3.4926052332195673E-2</v>
      </c>
      <c r="L224" s="15">
        <f t="shared" si="42"/>
        <v>3.1740614334470993E-2</v>
      </c>
      <c r="M224" s="15">
        <f t="shared" si="42"/>
        <v>2.8555176336746303E-2</v>
      </c>
      <c r="N224" s="15">
        <f t="shared" si="42"/>
        <v>2.5369738339021616E-2</v>
      </c>
      <c r="O224" s="15">
        <f t="shared" si="42"/>
        <v>2.2184300341296929E-2</v>
      </c>
      <c r="P224" s="15">
        <f t="shared" si="42"/>
        <v>2.2184300341296929E-2</v>
      </c>
      <c r="Q224" s="15">
        <f t="shared" si="42"/>
        <v>2.2559726962457338E-2</v>
      </c>
      <c r="R224" s="15">
        <f t="shared" si="42"/>
        <v>2.2935153583617748E-2</v>
      </c>
      <c r="S224" s="15">
        <f t="shared" si="42"/>
        <v>2.3310580204778157E-2</v>
      </c>
      <c r="T224" s="15">
        <f t="shared" si="42"/>
        <v>2.3686006825938567E-2</v>
      </c>
      <c r="U224" s="15">
        <f t="shared" si="42"/>
        <v>2.4061433447098976E-2</v>
      </c>
      <c r="V224" s="15">
        <f t="shared" si="42"/>
        <v>2.4436860068259385E-2</v>
      </c>
      <c r="W224" s="15">
        <f t="shared" si="42"/>
        <v>2.4812286689419795E-2</v>
      </c>
      <c r="X224" s="15">
        <f t="shared" si="42"/>
        <v>2.5187713310580204E-2</v>
      </c>
      <c r="Y224" s="15">
        <f t="shared" si="42"/>
        <v>2.5938566552901023E-2</v>
      </c>
      <c r="Z224" s="15">
        <f t="shared" si="42"/>
        <v>2.5938566552901023E-2</v>
      </c>
      <c r="AA224" s="15">
        <f t="shared" si="42"/>
        <v>2.5972696245733787E-2</v>
      </c>
      <c r="AB224" s="15">
        <f t="shared" si="42"/>
        <v>2.6006825938566552E-2</v>
      </c>
      <c r="AC224" s="15">
        <f t="shared" si="42"/>
        <v>2.6040955631399316E-2</v>
      </c>
      <c r="AD224" s="15">
        <f t="shared" si="42"/>
        <v>2.607508532423208E-2</v>
      </c>
      <c r="AE224" s="15">
        <f t="shared" si="42"/>
        <v>2.6109215017064848E-2</v>
      </c>
      <c r="AF224" s="15">
        <f t="shared" si="42"/>
        <v>2.6143344709897612E-2</v>
      </c>
      <c r="AG224" s="15">
        <f t="shared" si="42"/>
        <v>2.6177474402730376E-2</v>
      </c>
      <c r="AH224" s="15">
        <f t="shared" si="42"/>
        <v>2.621160409556314E-2</v>
      </c>
      <c r="AI224" s="15">
        <f t="shared" si="42"/>
        <v>2.6279863481228669E-2</v>
      </c>
      <c r="AJ224" s="40"/>
    </row>
    <row r="225" spans="2:36" ht="14.25" x14ac:dyDescent="0.2">
      <c r="B225" s="108"/>
      <c r="D225" s="43">
        <v>293</v>
      </c>
      <c r="E225" s="15" t="s">
        <v>72</v>
      </c>
      <c r="F225" s="15" t="s">
        <v>25</v>
      </c>
      <c r="G225" s="15" t="s">
        <v>8</v>
      </c>
      <c r="H225" s="15" t="str">
        <f t="shared" si="38"/>
        <v>NGAverage</v>
      </c>
      <c r="I225" s="15">
        <f t="shared" ref="I225:AI225" si="43">I204/$D225</f>
        <v>4.1296928327645047E-2</v>
      </c>
      <c r="J225" s="15">
        <f t="shared" si="43"/>
        <v>3.7827076222980656E-2</v>
      </c>
      <c r="K225" s="15">
        <f t="shared" si="43"/>
        <v>3.4357224118316265E-2</v>
      </c>
      <c r="L225" s="15">
        <f t="shared" si="43"/>
        <v>3.0887372013651878E-2</v>
      </c>
      <c r="M225" s="15">
        <f t="shared" si="43"/>
        <v>2.7417519908987484E-2</v>
      </c>
      <c r="N225" s="15">
        <f t="shared" si="43"/>
        <v>2.3947667804323093E-2</v>
      </c>
      <c r="O225" s="15">
        <f t="shared" si="43"/>
        <v>2.0477815699658702E-2</v>
      </c>
      <c r="P225" s="15">
        <f t="shared" si="43"/>
        <v>2.0477815699658702E-2</v>
      </c>
      <c r="Q225" s="15">
        <f t="shared" si="43"/>
        <v>2.0204778156996585E-2</v>
      </c>
      <c r="R225" s="15">
        <f t="shared" si="43"/>
        <v>1.9931740614334472E-2</v>
      </c>
      <c r="S225" s="15">
        <f t="shared" si="43"/>
        <v>1.9658703071672355E-2</v>
      </c>
      <c r="T225" s="15">
        <f t="shared" si="43"/>
        <v>1.9385665529010238E-2</v>
      </c>
      <c r="U225" s="15">
        <f t="shared" si="43"/>
        <v>1.9112627986348121E-2</v>
      </c>
      <c r="V225" s="15">
        <f t="shared" si="43"/>
        <v>1.8839590443686008E-2</v>
      </c>
      <c r="W225" s="15">
        <f t="shared" si="43"/>
        <v>1.8566552901023891E-2</v>
      </c>
      <c r="X225" s="15">
        <f t="shared" si="43"/>
        <v>1.8293515358361778E-2</v>
      </c>
      <c r="Y225" s="15">
        <f t="shared" si="43"/>
        <v>1.7747440273037544E-2</v>
      </c>
      <c r="Z225" s="15">
        <f t="shared" si="43"/>
        <v>1.7747440273037544E-2</v>
      </c>
      <c r="AA225" s="15">
        <f t="shared" si="43"/>
        <v>1.7747440273037544E-2</v>
      </c>
      <c r="AB225" s="15">
        <f t="shared" si="43"/>
        <v>1.7747440273037544E-2</v>
      </c>
      <c r="AC225" s="15">
        <f t="shared" si="43"/>
        <v>1.7747440273037544E-2</v>
      </c>
      <c r="AD225" s="15">
        <f t="shared" si="43"/>
        <v>1.7747440273037544E-2</v>
      </c>
      <c r="AE225" s="15">
        <f t="shared" si="43"/>
        <v>1.7747440273037544E-2</v>
      </c>
      <c r="AF225" s="15">
        <f t="shared" si="43"/>
        <v>1.7747440273037544E-2</v>
      </c>
      <c r="AG225" s="15">
        <f t="shared" si="43"/>
        <v>1.7747440273037544E-2</v>
      </c>
      <c r="AH225" s="15">
        <f t="shared" si="43"/>
        <v>1.7747440273037544E-2</v>
      </c>
      <c r="AI225" s="15">
        <f t="shared" si="43"/>
        <v>1.7747440273037544E-2</v>
      </c>
      <c r="AJ225" s="40"/>
    </row>
    <row r="226" spans="2:36" ht="14.25" x14ac:dyDescent="0.2">
      <c r="B226" s="108"/>
      <c r="D226" s="43">
        <v>293</v>
      </c>
      <c r="E226" s="15" t="s">
        <v>72</v>
      </c>
      <c r="F226" s="15" t="s">
        <v>25</v>
      </c>
      <c r="G226" s="15" t="s">
        <v>66</v>
      </c>
      <c r="H226" s="15" t="str">
        <f t="shared" si="38"/>
        <v>NGLow</v>
      </c>
      <c r="I226" s="15">
        <f t="shared" ref="I226:AI226" si="44">I205/$D226</f>
        <v>4.1296928327645047E-2</v>
      </c>
      <c r="J226" s="15">
        <f t="shared" si="44"/>
        <v>3.6916951080773606E-2</v>
      </c>
      <c r="K226" s="15">
        <f t="shared" si="44"/>
        <v>3.2536973833902159E-2</v>
      </c>
      <c r="L226" s="15">
        <f t="shared" si="44"/>
        <v>2.8156996587030716E-2</v>
      </c>
      <c r="M226" s="15">
        <f t="shared" si="44"/>
        <v>2.3777019340159272E-2</v>
      </c>
      <c r="N226" s="15">
        <f t="shared" si="44"/>
        <v>1.9397042093287829E-2</v>
      </c>
      <c r="O226" s="15">
        <f t="shared" si="44"/>
        <v>1.5017064846416383E-2</v>
      </c>
      <c r="P226" s="15">
        <f t="shared" si="44"/>
        <v>1.5017064846416383E-2</v>
      </c>
      <c r="Q226" s="15">
        <f t="shared" si="44"/>
        <v>1.4914675767918089E-2</v>
      </c>
      <c r="R226" s="15">
        <f t="shared" si="44"/>
        <v>1.4812286689419795E-2</v>
      </c>
      <c r="S226" s="15">
        <f t="shared" si="44"/>
        <v>1.4709897610921504E-2</v>
      </c>
      <c r="T226" s="15">
        <f t="shared" si="44"/>
        <v>1.460750853242321E-2</v>
      </c>
      <c r="U226" s="15">
        <f t="shared" si="44"/>
        <v>1.4505119453924915E-2</v>
      </c>
      <c r="V226" s="15">
        <f t="shared" si="44"/>
        <v>1.4402730375426621E-2</v>
      </c>
      <c r="W226" s="15">
        <f t="shared" si="44"/>
        <v>1.4300341296928327E-2</v>
      </c>
      <c r="X226" s="15">
        <f t="shared" si="44"/>
        <v>1.4197952218430034E-2</v>
      </c>
      <c r="Y226" s="15">
        <f t="shared" si="44"/>
        <v>1.3993174061433446E-2</v>
      </c>
      <c r="Z226" s="15">
        <f t="shared" si="44"/>
        <v>1.3993174061433446E-2</v>
      </c>
      <c r="AA226" s="15">
        <f t="shared" si="44"/>
        <v>1.3959044368600682E-2</v>
      </c>
      <c r="AB226" s="15">
        <f t="shared" si="44"/>
        <v>1.3924914675767919E-2</v>
      </c>
      <c r="AC226" s="15">
        <f t="shared" si="44"/>
        <v>1.3890784982935151E-2</v>
      </c>
      <c r="AD226" s="15">
        <f t="shared" si="44"/>
        <v>1.3856655290102387E-2</v>
      </c>
      <c r="AE226" s="15">
        <f t="shared" si="44"/>
        <v>1.3822525597269625E-2</v>
      </c>
      <c r="AF226" s="15">
        <f t="shared" si="44"/>
        <v>1.3788395904436861E-2</v>
      </c>
      <c r="AG226" s="15">
        <f t="shared" si="44"/>
        <v>1.3754266211604096E-2</v>
      </c>
      <c r="AH226" s="15">
        <f t="shared" si="44"/>
        <v>1.3720136518771329E-2</v>
      </c>
      <c r="AI226" s="15">
        <f t="shared" si="44"/>
        <v>1.3651877133105802E-2</v>
      </c>
      <c r="AJ226" s="40"/>
    </row>
    <row r="227" spans="2:36" ht="14.25" x14ac:dyDescent="0.2">
      <c r="B227" s="108"/>
      <c r="D227" s="43">
        <v>1000</v>
      </c>
      <c r="E227" s="15" t="s">
        <v>72</v>
      </c>
      <c r="F227" s="15" t="s">
        <v>67</v>
      </c>
      <c r="G227" s="15" t="s">
        <v>65</v>
      </c>
      <c r="H227" s="15" t="str">
        <f t="shared" si="38"/>
        <v>ElectricityHigh</v>
      </c>
      <c r="I227" s="15">
        <f t="shared" ref="I227:AI227" si="45">I206/$D227</f>
        <v>0.184</v>
      </c>
      <c r="J227" s="15">
        <f t="shared" si="45"/>
        <v>0.2</v>
      </c>
      <c r="K227" s="15">
        <f t="shared" si="45"/>
        <v>0.184</v>
      </c>
      <c r="L227" s="15">
        <f t="shared" si="45"/>
        <v>0.16800000000000001</v>
      </c>
      <c r="M227" s="15">
        <f t="shared" si="45"/>
        <v>0.152</v>
      </c>
      <c r="N227" s="15">
        <f t="shared" si="45"/>
        <v>0.13600000000000001</v>
      </c>
      <c r="O227" s="15">
        <f t="shared" si="45"/>
        <v>7.0000000000000007E-2</v>
      </c>
      <c r="P227" s="15">
        <f t="shared" si="45"/>
        <v>7.0000000000000007E-2</v>
      </c>
      <c r="Q227" s="15">
        <f t="shared" si="45"/>
        <v>7.0000000000000007E-2</v>
      </c>
      <c r="R227" s="15">
        <f t="shared" si="45"/>
        <v>7.0000000000000007E-2</v>
      </c>
      <c r="S227" s="15">
        <f t="shared" si="45"/>
        <v>7.0000000000000007E-2</v>
      </c>
      <c r="T227" s="15">
        <f t="shared" si="45"/>
        <v>7.0000000000000007E-2</v>
      </c>
      <c r="U227" s="15">
        <f t="shared" si="45"/>
        <v>7.0000000000000007E-2</v>
      </c>
      <c r="V227" s="15">
        <f t="shared" si="45"/>
        <v>7.0000000000000007E-2</v>
      </c>
      <c r="W227" s="15">
        <f t="shared" si="45"/>
        <v>7.0000000000000007E-2</v>
      </c>
      <c r="X227" s="15">
        <f t="shared" si="45"/>
        <v>7.0000000000000007E-2</v>
      </c>
      <c r="Y227" s="15">
        <f t="shared" si="45"/>
        <v>7.0000000000000007E-2</v>
      </c>
      <c r="Z227" s="15">
        <f t="shared" si="45"/>
        <v>7.0000000000000007E-2</v>
      </c>
      <c r="AA227" s="15">
        <f t="shared" si="45"/>
        <v>7.0000000000000007E-2</v>
      </c>
      <c r="AB227" s="15">
        <f t="shared" si="45"/>
        <v>7.0000000000000007E-2</v>
      </c>
      <c r="AC227" s="15">
        <f t="shared" si="45"/>
        <v>7.0000000000000007E-2</v>
      </c>
      <c r="AD227" s="15">
        <f t="shared" si="45"/>
        <v>7.0000000000000007E-2</v>
      </c>
      <c r="AE227" s="15">
        <f t="shared" si="45"/>
        <v>7.0000000000000007E-2</v>
      </c>
      <c r="AF227" s="15">
        <f t="shared" si="45"/>
        <v>7.0000000000000007E-2</v>
      </c>
      <c r="AG227" s="15">
        <f t="shared" si="45"/>
        <v>7.0000000000000007E-2</v>
      </c>
      <c r="AH227" s="15">
        <f t="shared" si="45"/>
        <v>7.0000000000000007E-2</v>
      </c>
      <c r="AI227" s="15">
        <f t="shared" si="45"/>
        <v>7.0000000000000007E-2</v>
      </c>
      <c r="AJ227" s="40"/>
    </row>
    <row r="228" spans="2:36" ht="14.25" x14ac:dyDescent="0.2">
      <c r="B228" s="108"/>
      <c r="D228" s="43">
        <v>1000</v>
      </c>
      <c r="E228" s="15" t="s">
        <v>72</v>
      </c>
      <c r="F228" s="15" t="s">
        <v>67</v>
      </c>
      <c r="G228" s="15" t="s">
        <v>8</v>
      </c>
      <c r="H228" s="15" t="str">
        <f t="shared" si="38"/>
        <v>ElectricityAverage</v>
      </c>
      <c r="I228" s="15">
        <f t="shared" ref="I228:AI228" si="46">I207/$D228</f>
        <v>0.127</v>
      </c>
      <c r="J228" s="15">
        <f t="shared" si="46"/>
        <v>0.14000000000000001</v>
      </c>
      <c r="K228" s="15">
        <f t="shared" si="46"/>
        <v>0.127</v>
      </c>
      <c r="L228" s="15">
        <f t="shared" si="46"/>
        <v>0.114</v>
      </c>
      <c r="M228" s="15">
        <f t="shared" si="46"/>
        <v>0.10100000000000001</v>
      </c>
      <c r="N228" s="15">
        <f t="shared" si="46"/>
        <v>8.7999999999999995E-2</v>
      </c>
      <c r="O228" s="15">
        <f t="shared" si="46"/>
        <v>0.05</v>
      </c>
      <c r="P228" s="15">
        <f t="shared" si="46"/>
        <v>0.05</v>
      </c>
      <c r="Q228" s="15">
        <f t="shared" si="46"/>
        <v>0.05</v>
      </c>
      <c r="R228" s="15">
        <f t="shared" si="46"/>
        <v>0.05</v>
      </c>
      <c r="S228" s="15">
        <f t="shared" si="46"/>
        <v>0.05</v>
      </c>
      <c r="T228" s="15">
        <f t="shared" si="46"/>
        <v>0.05</v>
      </c>
      <c r="U228" s="15">
        <f t="shared" si="46"/>
        <v>0.05</v>
      </c>
      <c r="V228" s="15">
        <f t="shared" si="46"/>
        <v>0.05</v>
      </c>
      <c r="W228" s="15">
        <f t="shared" si="46"/>
        <v>0.05</v>
      </c>
      <c r="X228" s="15">
        <f t="shared" si="46"/>
        <v>0.05</v>
      </c>
      <c r="Y228" s="15">
        <f t="shared" si="46"/>
        <v>0.05</v>
      </c>
      <c r="Z228" s="15">
        <f t="shared" si="46"/>
        <v>0.05</v>
      </c>
      <c r="AA228" s="15">
        <f t="shared" si="46"/>
        <v>0.05</v>
      </c>
      <c r="AB228" s="15">
        <f t="shared" si="46"/>
        <v>0.05</v>
      </c>
      <c r="AC228" s="15">
        <f t="shared" si="46"/>
        <v>0.05</v>
      </c>
      <c r="AD228" s="15">
        <f t="shared" si="46"/>
        <v>0.05</v>
      </c>
      <c r="AE228" s="15">
        <f t="shared" si="46"/>
        <v>0.05</v>
      </c>
      <c r="AF228" s="15">
        <f t="shared" si="46"/>
        <v>0.05</v>
      </c>
      <c r="AG228" s="15">
        <f t="shared" si="46"/>
        <v>0.05</v>
      </c>
      <c r="AH228" s="15">
        <f t="shared" si="46"/>
        <v>0.05</v>
      </c>
      <c r="AI228" s="15">
        <f t="shared" si="46"/>
        <v>0.05</v>
      </c>
      <c r="AJ228" s="40"/>
    </row>
    <row r="229" spans="2:36" ht="14.25" x14ac:dyDescent="0.2">
      <c r="B229" s="108"/>
      <c r="D229" s="43">
        <v>1000</v>
      </c>
      <c r="E229" s="15" t="s">
        <v>72</v>
      </c>
      <c r="F229" s="15" t="s">
        <v>67</v>
      </c>
      <c r="G229" s="15" t="s">
        <v>66</v>
      </c>
      <c r="H229" s="15" t="str">
        <f t="shared" si="38"/>
        <v>ElectricityLow</v>
      </c>
      <c r="I229" s="15">
        <f t="shared" ref="I229:AI229" si="47">I208/$D229</f>
        <v>0.112</v>
      </c>
      <c r="J229" s="15">
        <f t="shared" si="47"/>
        <v>0.125</v>
      </c>
      <c r="K229" s="15">
        <f t="shared" si="47"/>
        <v>0.112</v>
      </c>
      <c r="L229" s="15">
        <f t="shared" si="47"/>
        <v>9.9000000000000005E-2</v>
      </c>
      <c r="M229" s="15">
        <f t="shared" si="47"/>
        <v>8.5999999999999993E-2</v>
      </c>
      <c r="N229" s="15">
        <f t="shared" si="47"/>
        <v>7.2999999999999995E-2</v>
      </c>
      <c r="O229" s="15">
        <f t="shared" si="47"/>
        <v>0.04</v>
      </c>
      <c r="P229" s="15">
        <f t="shared" si="47"/>
        <v>0.04</v>
      </c>
      <c r="Q229" s="15">
        <f t="shared" si="47"/>
        <v>0.04</v>
      </c>
      <c r="R229" s="15">
        <f t="shared" si="47"/>
        <v>0.04</v>
      </c>
      <c r="S229" s="15">
        <f t="shared" si="47"/>
        <v>0.04</v>
      </c>
      <c r="T229" s="15">
        <f t="shared" si="47"/>
        <v>0.04</v>
      </c>
      <c r="U229" s="15">
        <f t="shared" si="47"/>
        <v>0.04</v>
      </c>
      <c r="V229" s="15">
        <f t="shared" si="47"/>
        <v>0.04</v>
      </c>
      <c r="W229" s="15">
        <f t="shared" si="47"/>
        <v>0.04</v>
      </c>
      <c r="X229" s="15">
        <f t="shared" si="47"/>
        <v>0.04</v>
      </c>
      <c r="Y229" s="15">
        <f t="shared" si="47"/>
        <v>0.04</v>
      </c>
      <c r="Z229" s="15">
        <f t="shared" si="47"/>
        <v>0.04</v>
      </c>
      <c r="AA229" s="15">
        <f t="shared" si="47"/>
        <v>0.04</v>
      </c>
      <c r="AB229" s="15">
        <f t="shared" si="47"/>
        <v>0.04</v>
      </c>
      <c r="AC229" s="15">
        <f t="shared" si="47"/>
        <v>0.04</v>
      </c>
      <c r="AD229" s="15">
        <f t="shared" si="47"/>
        <v>0.04</v>
      </c>
      <c r="AE229" s="15">
        <f t="shared" si="47"/>
        <v>0.04</v>
      </c>
      <c r="AF229" s="15">
        <f t="shared" si="47"/>
        <v>0.04</v>
      </c>
      <c r="AG229" s="15">
        <f t="shared" si="47"/>
        <v>0.04</v>
      </c>
      <c r="AH229" s="15">
        <f t="shared" si="47"/>
        <v>0.04</v>
      </c>
      <c r="AI229" s="15">
        <f t="shared" si="47"/>
        <v>0.04</v>
      </c>
      <c r="AJ229" s="40"/>
    </row>
    <row r="230" spans="2:36" ht="14.25" x14ac:dyDescent="0.2">
      <c r="B230" s="108"/>
      <c r="D230" s="43">
        <v>1000</v>
      </c>
      <c r="E230" s="15" t="s">
        <v>72</v>
      </c>
      <c r="F230" s="15" t="s">
        <v>26</v>
      </c>
      <c r="G230" s="15" t="s">
        <v>65</v>
      </c>
      <c r="H230" s="15" t="str">
        <f t="shared" si="38"/>
        <v>BGHigh</v>
      </c>
      <c r="I230" s="15">
        <f t="shared" ref="I230:AI230" si="48">I209/$D230</f>
        <v>7.0000000000000007E-2</v>
      </c>
      <c r="J230" s="15">
        <f t="shared" si="48"/>
        <v>7.8333333333333324E-2</v>
      </c>
      <c r="K230" s="15">
        <f t="shared" si="48"/>
        <v>8.6666666666666656E-2</v>
      </c>
      <c r="L230" s="15">
        <f t="shared" si="48"/>
        <v>9.5000000000000001E-2</v>
      </c>
      <c r="M230" s="15">
        <f t="shared" si="48"/>
        <v>0.10333333333333333</v>
      </c>
      <c r="N230" s="15">
        <f t="shared" si="48"/>
        <v>0.11166666666666668</v>
      </c>
      <c r="O230" s="15">
        <f t="shared" si="48"/>
        <v>0.12</v>
      </c>
      <c r="P230" s="15">
        <f t="shared" si="48"/>
        <v>0.12</v>
      </c>
      <c r="Q230" s="15">
        <f t="shared" si="48"/>
        <v>0.12</v>
      </c>
      <c r="R230" s="15">
        <f t="shared" si="48"/>
        <v>0.12</v>
      </c>
      <c r="S230" s="15">
        <f t="shared" si="48"/>
        <v>0.12</v>
      </c>
      <c r="T230" s="15">
        <f t="shared" si="48"/>
        <v>0.12</v>
      </c>
      <c r="U230" s="15">
        <f t="shared" si="48"/>
        <v>0.12</v>
      </c>
      <c r="V230" s="15">
        <f t="shared" si="48"/>
        <v>0.12</v>
      </c>
      <c r="W230" s="15">
        <f t="shared" si="48"/>
        <v>0.12</v>
      </c>
      <c r="X230" s="15">
        <f t="shared" si="48"/>
        <v>0.12</v>
      </c>
      <c r="Y230" s="15">
        <f t="shared" si="48"/>
        <v>0.12</v>
      </c>
      <c r="Z230" s="15">
        <f t="shared" si="48"/>
        <v>0.12</v>
      </c>
      <c r="AA230" s="15">
        <f t="shared" si="48"/>
        <v>0.12</v>
      </c>
      <c r="AB230" s="15">
        <f t="shared" si="48"/>
        <v>0.12</v>
      </c>
      <c r="AC230" s="15">
        <f t="shared" si="48"/>
        <v>0.12</v>
      </c>
      <c r="AD230" s="15">
        <f t="shared" si="48"/>
        <v>0.12</v>
      </c>
      <c r="AE230" s="15">
        <f t="shared" si="48"/>
        <v>0.12</v>
      </c>
      <c r="AF230" s="15">
        <f t="shared" si="48"/>
        <v>0.12</v>
      </c>
      <c r="AG230" s="15">
        <f t="shared" si="48"/>
        <v>0.12</v>
      </c>
      <c r="AH230" s="15">
        <f t="shared" si="48"/>
        <v>0.12</v>
      </c>
      <c r="AI230" s="15">
        <f t="shared" si="48"/>
        <v>0.12</v>
      </c>
      <c r="AJ230" s="40"/>
    </row>
    <row r="231" spans="2:36" ht="14.25" x14ac:dyDescent="0.2">
      <c r="B231" s="108"/>
      <c r="D231" s="43">
        <v>1000</v>
      </c>
      <c r="E231" s="15" t="s">
        <v>72</v>
      </c>
      <c r="F231" s="15" t="s">
        <v>26</v>
      </c>
      <c r="G231" s="15" t="s">
        <v>8</v>
      </c>
      <c r="H231" s="15" t="str">
        <f t="shared" si="38"/>
        <v>BGAverage</v>
      </c>
      <c r="I231" s="15">
        <f t="shared" ref="I231:AI231" si="49">I210/$D231</f>
        <v>7.0000000000000007E-2</v>
      </c>
      <c r="J231" s="15">
        <f t="shared" si="49"/>
        <v>7.3333333333333334E-2</v>
      </c>
      <c r="K231" s="15">
        <f t="shared" si="49"/>
        <v>7.6666666666666675E-2</v>
      </c>
      <c r="L231" s="15">
        <f t="shared" si="49"/>
        <v>0.08</v>
      </c>
      <c r="M231" s="15">
        <f t="shared" si="49"/>
        <v>8.3333333333333329E-2</v>
      </c>
      <c r="N231" s="15">
        <f t="shared" si="49"/>
        <v>8.666666666666667E-2</v>
      </c>
      <c r="O231" s="15">
        <f t="shared" si="49"/>
        <v>0.09</v>
      </c>
      <c r="P231" s="15">
        <f t="shared" si="49"/>
        <v>0.09</v>
      </c>
      <c r="Q231" s="15">
        <f t="shared" si="49"/>
        <v>0.09</v>
      </c>
      <c r="R231" s="15">
        <f t="shared" si="49"/>
        <v>0.09</v>
      </c>
      <c r="S231" s="15">
        <f t="shared" si="49"/>
        <v>0.09</v>
      </c>
      <c r="T231" s="15">
        <f t="shared" si="49"/>
        <v>0.09</v>
      </c>
      <c r="U231" s="15">
        <f t="shared" si="49"/>
        <v>0.09</v>
      </c>
      <c r="V231" s="15">
        <f t="shared" si="49"/>
        <v>0.09</v>
      </c>
      <c r="W231" s="15">
        <f t="shared" si="49"/>
        <v>0.09</v>
      </c>
      <c r="X231" s="15">
        <f t="shared" si="49"/>
        <v>0.09</v>
      </c>
      <c r="Y231" s="15">
        <f t="shared" si="49"/>
        <v>0.09</v>
      </c>
      <c r="Z231" s="15">
        <f t="shared" si="49"/>
        <v>0.09</v>
      </c>
      <c r="AA231" s="15">
        <f t="shared" si="49"/>
        <v>0.09</v>
      </c>
      <c r="AB231" s="15">
        <f t="shared" si="49"/>
        <v>0.09</v>
      </c>
      <c r="AC231" s="15">
        <f t="shared" si="49"/>
        <v>0.09</v>
      </c>
      <c r="AD231" s="15">
        <f t="shared" si="49"/>
        <v>0.09</v>
      </c>
      <c r="AE231" s="15">
        <f t="shared" si="49"/>
        <v>0.09</v>
      </c>
      <c r="AF231" s="15">
        <f t="shared" si="49"/>
        <v>0.09</v>
      </c>
      <c r="AG231" s="15">
        <f t="shared" si="49"/>
        <v>0.09</v>
      </c>
      <c r="AH231" s="15">
        <f t="shared" si="49"/>
        <v>0.09</v>
      </c>
      <c r="AI231" s="15">
        <f t="shared" si="49"/>
        <v>0.09</v>
      </c>
      <c r="AJ231" s="40"/>
    </row>
    <row r="232" spans="2:36" ht="14.25" x14ac:dyDescent="0.2">
      <c r="B232" s="108"/>
      <c r="D232" s="43">
        <v>1000</v>
      </c>
      <c r="E232" s="15" t="s">
        <v>72</v>
      </c>
      <c r="F232" s="15" t="s">
        <v>26</v>
      </c>
      <c r="G232" s="15" t="s">
        <v>66</v>
      </c>
      <c r="H232" s="15" t="str">
        <f t="shared" si="38"/>
        <v>BGLow</v>
      </c>
      <c r="I232" s="15">
        <f t="shared" ref="I232:AI232" si="50">I211/$D232</f>
        <v>7.0000000000000007E-2</v>
      </c>
      <c r="J232" s="15">
        <f t="shared" si="50"/>
        <v>6.5000000000000002E-2</v>
      </c>
      <c r="K232" s="15">
        <f t="shared" si="50"/>
        <v>0.06</v>
      </c>
      <c r="L232" s="15">
        <f t="shared" si="50"/>
        <v>5.5E-2</v>
      </c>
      <c r="M232" s="15">
        <f t="shared" si="50"/>
        <v>0.05</v>
      </c>
      <c r="N232" s="15">
        <f t="shared" si="50"/>
        <v>4.4999999999999998E-2</v>
      </c>
      <c r="O232" s="15">
        <f t="shared" si="50"/>
        <v>0.04</v>
      </c>
      <c r="P232" s="15">
        <f t="shared" si="50"/>
        <v>0.04</v>
      </c>
      <c r="Q232" s="15">
        <f t="shared" si="50"/>
        <v>0.04</v>
      </c>
      <c r="R232" s="15">
        <f t="shared" si="50"/>
        <v>0.04</v>
      </c>
      <c r="S232" s="15">
        <f t="shared" si="50"/>
        <v>0.04</v>
      </c>
      <c r="T232" s="15">
        <f t="shared" si="50"/>
        <v>0.04</v>
      </c>
      <c r="U232" s="15">
        <f t="shared" si="50"/>
        <v>0.04</v>
      </c>
      <c r="V232" s="15">
        <f t="shared" si="50"/>
        <v>0.04</v>
      </c>
      <c r="W232" s="15">
        <f t="shared" si="50"/>
        <v>0.04</v>
      </c>
      <c r="X232" s="15">
        <f t="shared" si="50"/>
        <v>0.04</v>
      </c>
      <c r="Y232" s="15">
        <f t="shared" si="50"/>
        <v>0.04</v>
      </c>
      <c r="Z232" s="15">
        <f t="shared" si="50"/>
        <v>0.04</v>
      </c>
      <c r="AA232" s="15">
        <f t="shared" si="50"/>
        <v>0.04</v>
      </c>
      <c r="AB232" s="15">
        <f t="shared" si="50"/>
        <v>0.04</v>
      </c>
      <c r="AC232" s="15">
        <f t="shared" si="50"/>
        <v>0.04</v>
      </c>
      <c r="AD232" s="15">
        <f t="shared" si="50"/>
        <v>0.04</v>
      </c>
      <c r="AE232" s="15">
        <f t="shared" si="50"/>
        <v>0.04</v>
      </c>
      <c r="AF232" s="15">
        <f t="shared" si="50"/>
        <v>0.04</v>
      </c>
      <c r="AG232" s="15">
        <f t="shared" si="50"/>
        <v>0.04</v>
      </c>
      <c r="AH232" s="15">
        <f t="shared" si="50"/>
        <v>0.04</v>
      </c>
      <c r="AI232" s="15">
        <f t="shared" si="50"/>
        <v>0.04</v>
      </c>
      <c r="AJ232" s="40"/>
    </row>
    <row r="233" spans="2:36" ht="14.25" x14ac:dyDescent="0.2">
      <c r="B233" s="108"/>
      <c r="D233" s="43">
        <v>1000</v>
      </c>
      <c r="E233" s="15" t="s">
        <v>72</v>
      </c>
      <c r="F233" s="15" t="s">
        <v>68</v>
      </c>
      <c r="G233" s="15" t="s">
        <v>66</v>
      </c>
      <c r="H233" s="15" t="str">
        <f t="shared" si="38"/>
        <v>HVOLow</v>
      </c>
      <c r="I233" s="15">
        <f t="shared" ref="I233:AI233" si="51">I212/$D233</f>
        <v>7.8E-2</v>
      </c>
      <c r="J233" s="15">
        <f t="shared" si="51"/>
        <v>7.3499999999999996E-2</v>
      </c>
      <c r="K233" s="15">
        <f t="shared" si="51"/>
        <v>6.9000000000000006E-2</v>
      </c>
      <c r="L233" s="15">
        <f t="shared" si="51"/>
        <v>6.4500000000000002E-2</v>
      </c>
      <c r="M233" s="15">
        <f t="shared" si="51"/>
        <v>0.06</v>
      </c>
      <c r="N233" s="15">
        <f t="shared" si="51"/>
        <v>5.5500000000000001E-2</v>
      </c>
      <c r="O233" s="15">
        <f t="shared" si="51"/>
        <v>5.0999999999999997E-2</v>
      </c>
      <c r="P233" s="15">
        <f t="shared" si="51"/>
        <v>5.0999999999999997E-2</v>
      </c>
      <c r="Q233" s="15">
        <f t="shared" si="51"/>
        <v>5.0999999999999997E-2</v>
      </c>
      <c r="R233" s="15">
        <f t="shared" si="51"/>
        <v>5.0999999999999997E-2</v>
      </c>
      <c r="S233" s="15">
        <f t="shared" si="51"/>
        <v>5.0999999999999997E-2</v>
      </c>
      <c r="T233" s="15">
        <f t="shared" si="51"/>
        <v>5.0999999999999997E-2</v>
      </c>
      <c r="U233" s="15">
        <f t="shared" si="51"/>
        <v>5.0999999999999997E-2</v>
      </c>
      <c r="V233" s="15">
        <f t="shared" si="51"/>
        <v>5.0999999999999997E-2</v>
      </c>
      <c r="W233" s="15">
        <f t="shared" si="51"/>
        <v>5.0999999999999997E-2</v>
      </c>
      <c r="X233" s="15">
        <f t="shared" si="51"/>
        <v>5.0999999999999997E-2</v>
      </c>
      <c r="Y233" s="15">
        <f t="shared" si="51"/>
        <v>5.0999999999999997E-2</v>
      </c>
      <c r="Z233" s="15">
        <f t="shared" si="51"/>
        <v>5.0999999999999997E-2</v>
      </c>
      <c r="AA233" s="15">
        <f t="shared" si="51"/>
        <v>5.0999999999999997E-2</v>
      </c>
      <c r="AB233" s="15">
        <f t="shared" si="51"/>
        <v>5.0999999999999997E-2</v>
      </c>
      <c r="AC233" s="15">
        <f t="shared" si="51"/>
        <v>5.0999999999999997E-2</v>
      </c>
      <c r="AD233" s="15">
        <f t="shared" si="51"/>
        <v>5.0999999999999997E-2</v>
      </c>
      <c r="AE233" s="15">
        <f t="shared" si="51"/>
        <v>5.0999999999999997E-2</v>
      </c>
      <c r="AF233" s="15">
        <f t="shared" si="51"/>
        <v>5.0999999999999997E-2</v>
      </c>
      <c r="AG233" s="15">
        <f t="shared" si="51"/>
        <v>5.0999999999999997E-2</v>
      </c>
      <c r="AH233" s="15">
        <f t="shared" si="51"/>
        <v>5.0999999999999997E-2</v>
      </c>
      <c r="AI233" s="15">
        <f t="shared" si="51"/>
        <v>5.0999999999999997E-2</v>
      </c>
      <c r="AJ233" s="40"/>
    </row>
    <row r="234" spans="2:36" ht="14.25" x14ac:dyDescent="0.2">
      <c r="B234" s="108"/>
      <c r="D234" s="43">
        <v>1000</v>
      </c>
      <c r="E234" s="15" t="s">
        <v>72</v>
      </c>
      <c r="F234" s="15" t="s">
        <v>68</v>
      </c>
      <c r="G234" s="15" t="s">
        <v>8</v>
      </c>
      <c r="H234" s="15" t="str">
        <f t="shared" si="38"/>
        <v>HVOAverage</v>
      </c>
      <c r="I234" s="15">
        <f t="shared" ref="I234:AI234" si="52">I213/$D234</f>
        <v>7.8E-2</v>
      </c>
      <c r="J234" s="15">
        <f t="shared" si="52"/>
        <v>7.8E-2</v>
      </c>
      <c r="K234" s="15">
        <f t="shared" si="52"/>
        <v>7.8E-2</v>
      </c>
      <c r="L234" s="15">
        <f t="shared" si="52"/>
        <v>7.8E-2</v>
      </c>
      <c r="M234" s="15">
        <f t="shared" si="52"/>
        <v>7.8E-2</v>
      </c>
      <c r="N234" s="15">
        <f t="shared" si="52"/>
        <v>7.8E-2</v>
      </c>
      <c r="O234" s="15">
        <f t="shared" si="52"/>
        <v>7.8E-2</v>
      </c>
      <c r="P234" s="15">
        <f t="shared" si="52"/>
        <v>7.8E-2</v>
      </c>
      <c r="Q234" s="15">
        <f t="shared" si="52"/>
        <v>7.8E-2</v>
      </c>
      <c r="R234" s="15">
        <f t="shared" si="52"/>
        <v>7.8E-2</v>
      </c>
      <c r="S234" s="15">
        <f t="shared" si="52"/>
        <v>7.8E-2</v>
      </c>
      <c r="T234" s="15">
        <f t="shared" si="52"/>
        <v>7.8E-2</v>
      </c>
      <c r="U234" s="15">
        <f t="shared" si="52"/>
        <v>7.8E-2</v>
      </c>
      <c r="V234" s="15">
        <f t="shared" si="52"/>
        <v>7.8E-2</v>
      </c>
      <c r="W234" s="15">
        <f t="shared" si="52"/>
        <v>7.8E-2</v>
      </c>
      <c r="X234" s="15">
        <f t="shared" si="52"/>
        <v>7.8E-2</v>
      </c>
      <c r="Y234" s="15">
        <f t="shared" si="52"/>
        <v>7.8E-2</v>
      </c>
      <c r="Z234" s="15">
        <f t="shared" si="52"/>
        <v>7.8E-2</v>
      </c>
      <c r="AA234" s="15">
        <f t="shared" si="52"/>
        <v>7.8E-2</v>
      </c>
      <c r="AB234" s="15">
        <f t="shared" si="52"/>
        <v>7.8E-2</v>
      </c>
      <c r="AC234" s="15">
        <f t="shared" si="52"/>
        <v>7.8E-2</v>
      </c>
      <c r="AD234" s="15">
        <f t="shared" si="52"/>
        <v>7.8E-2</v>
      </c>
      <c r="AE234" s="15">
        <f t="shared" si="52"/>
        <v>7.8E-2</v>
      </c>
      <c r="AF234" s="15">
        <f t="shared" si="52"/>
        <v>7.8E-2</v>
      </c>
      <c r="AG234" s="15">
        <f t="shared" si="52"/>
        <v>7.8E-2</v>
      </c>
      <c r="AH234" s="15">
        <f t="shared" si="52"/>
        <v>7.8E-2</v>
      </c>
      <c r="AI234" s="15">
        <f t="shared" si="52"/>
        <v>7.8E-2</v>
      </c>
      <c r="AJ234" s="40"/>
    </row>
    <row r="235" spans="2:36" ht="14.25" x14ac:dyDescent="0.2">
      <c r="B235" s="108"/>
      <c r="D235" s="43">
        <v>1000</v>
      </c>
      <c r="E235" s="15" t="s">
        <v>72</v>
      </c>
      <c r="F235" s="15" t="s">
        <v>68</v>
      </c>
      <c r="G235" s="15" t="s">
        <v>65</v>
      </c>
      <c r="H235" s="15" t="str">
        <f t="shared" si="38"/>
        <v>HVOHigh</v>
      </c>
      <c r="I235" s="15">
        <f t="shared" ref="I235:AI235" si="53">I214/$D235</f>
        <v>7.8E-2</v>
      </c>
      <c r="J235" s="15">
        <f t="shared" si="53"/>
        <v>8.0166666666666678E-2</v>
      </c>
      <c r="K235" s="15">
        <f t="shared" si="53"/>
        <v>8.2333333333333328E-2</v>
      </c>
      <c r="L235" s="15">
        <f t="shared" si="53"/>
        <v>8.4500000000000006E-2</v>
      </c>
      <c r="M235" s="15">
        <f t="shared" si="53"/>
        <v>8.666666666666667E-2</v>
      </c>
      <c r="N235" s="15">
        <f t="shared" si="53"/>
        <v>8.8833333333333334E-2</v>
      </c>
      <c r="O235" s="15">
        <f t="shared" si="53"/>
        <v>9.0999999999999998E-2</v>
      </c>
      <c r="P235" s="15">
        <f t="shared" si="53"/>
        <v>9.0999999999999998E-2</v>
      </c>
      <c r="Q235" s="15">
        <f t="shared" si="53"/>
        <v>9.0999999999999998E-2</v>
      </c>
      <c r="R235" s="15">
        <f t="shared" si="53"/>
        <v>9.0999999999999998E-2</v>
      </c>
      <c r="S235" s="15">
        <f t="shared" si="53"/>
        <v>9.0999999999999998E-2</v>
      </c>
      <c r="T235" s="15">
        <f t="shared" si="53"/>
        <v>9.0999999999999998E-2</v>
      </c>
      <c r="U235" s="15">
        <f t="shared" si="53"/>
        <v>9.0999999999999998E-2</v>
      </c>
      <c r="V235" s="15">
        <f t="shared" si="53"/>
        <v>9.0999999999999998E-2</v>
      </c>
      <c r="W235" s="15">
        <f t="shared" si="53"/>
        <v>9.0999999999999998E-2</v>
      </c>
      <c r="X235" s="15">
        <f t="shared" si="53"/>
        <v>9.0999999999999998E-2</v>
      </c>
      <c r="Y235" s="15">
        <f t="shared" si="53"/>
        <v>9.0999999999999998E-2</v>
      </c>
      <c r="Z235" s="15">
        <f t="shared" si="53"/>
        <v>9.0999999999999998E-2</v>
      </c>
      <c r="AA235" s="15">
        <f t="shared" si="53"/>
        <v>9.0999999999999998E-2</v>
      </c>
      <c r="AB235" s="15">
        <f t="shared" si="53"/>
        <v>9.0999999999999998E-2</v>
      </c>
      <c r="AC235" s="15">
        <f t="shared" si="53"/>
        <v>9.0999999999999998E-2</v>
      </c>
      <c r="AD235" s="15">
        <f t="shared" si="53"/>
        <v>9.0999999999999998E-2</v>
      </c>
      <c r="AE235" s="15">
        <f t="shared" si="53"/>
        <v>9.0999999999999998E-2</v>
      </c>
      <c r="AF235" s="15">
        <f t="shared" si="53"/>
        <v>9.0999999999999998E-2</v>
      </c>
      <c r="AG235" s="15">
        <f t="shared" si="53"/>
        <v>9.0999999999999998E-2</v>
      </c>
      <c r="AH235" s="15">
        <f t="shared" si="53"/>
        <v>9.0999999999999998E-2</v>
      </c>
      <c r="AI235" s="15">
        <f t="shared" si="53"/>
        <v>9.0999999999999998E-2</v>
      </c>
      <c r="AJ235" s="40"/>
    </row>
    <row r="236" spans="2:36" ht="14.25" x14ac:dyDescent="0.2">
      <c r="B236" s="108"/>
      <c r="D236" s="43">
        <v>33.299999999999997</v>
      </c>
      <c r="E236" s="15" t="s">
        <v>72</v>
      </c>
      <c r="F236" s="15" t="s">
        <v>82</v>
      </c>
      <c r="G236" s="15" t="s">
        <v>65</v>
      </c>
      <c r="H236" s="15" t="str">
        <f t="shared" si="38"/>
        <v>H2High</v>
      </c>
      <c r="I236" s="15">
        <f t="shared" ref="I236:AI236" si="54">I215/$D236</f>
        <v>0.40540540540540543</v>
      </c>
      <c r="J236" s="15">
        <f t="shared" si="54"/>
        <v>0.33213213213213216</v>
      </c>
      <c r="K236" s="15">
        <f t="shared" si="54"/>
        <v>0.30630630630630629</v>
      </c>
      <c r="L236" s="15">
        <f t="shared" si="54"/>
        <v>0.2801801801801802</v>
      </c>
      <c r="M236" s="15">
        <f t="shared" si="54"/>
        <v>0.25435435435435438</v>
      </c>
      <c r="N236" s="15">
        <f t="shared" si="54"/>
        <v>0.22852852852852856</v>
      </c>
      <c r="O236" s="15">
        <f t="shared" si="54"/>
        <v>0.40540540540540543</v>
      </c>
      <c r="P236" s="15">
        <f t="shared" si="54"/>
        <v>0.20510510510510513</v>
      </c>
      <c r="Q236" s="15">
        <f t="shared" si="54"/>
        <v>0.20780780780780783</v>
      </c>
      <c r="R236" s="15">
        <f t="shared" si="54"/>
        <v>0.21021021021021022</v>
      </c>
      <c r="S236" s="15">
        <f t="shared" si="54"/>
        <v>0.21291291291291292</v>
      </c>
      <c r="T236" s="15">
        <f t="shared" si="54"/>
        <v>0.28581081081081083</v>
      </c>
      <c r="U236" s="15">
        <f t="shared" si="54"/>
        <v>0.18708708708708713</v>
      </c>
      <c r="V236" s="15">
        <f t="shared" si="54"/>
        <v>0.18948948948948949</v>
      </c>
      <c r="W236" s="15">
        <f t="shared" si="54"/>
        <v>0.19219219219219222</v>
      </c>
      <c r="X236" s="15">
        <f t="shared" si="54"/>
        <v>0.19489489489489492</v>
      </c>
      <c r="Y236" s="15">
        <f t="shared" si="54"/>
        <v>0.16621621621621621</v>
      </c>
      <c r="Z236" s="15">
        <f t="shared" si="54"/>
        <v>0.16606606606606608</v>
      </c>
      <c r="AA236" s="15">
        <f t="shared" si="54"/>
        <v>0.16576576576576577</v>
      </c>
      <c r="AB236" s="15">
        <f t="shared" si="54"/>
        <v>0.16516516516516519</v>
      </c>
      <c r="AC236" s="15">
        <f t="shared" si="54"/>
        <v>0.16486486486486487</v>
      </c>
      <c r="AD236" s="15">
        <f t="shared" si="54"/>
        <v>0.16456456456456459</v>
      </c>
      <c r="AE236" s="15">
        <f t="shared" si="54"/>
        <v>0.16396396396396398</v>
      </c>
      <c r="AF236" s="15">
        <f t="shared" si="54"/>
        <v>0.16366366366366369</v>
      </c>
      <c r="AG236" s="15">
        <f t="shared" si="54"/>
        <v>0.16306306306306306</v>
      </c>
      <c r="AH236" s="15">
        <f t="shared" si="54"/>
        <v>0.16276276276276277</v>
      </c>
      <c r="AI236" s="15">
        <f t="shared" si="54"/>
        <v>6.8148648648648641E-2</v>
      </c>
      <c r="AJ236" s="40"/>
    </row>
    <row r="237" spans="2:36" ht="14.25" x14ac:dyDescent="0.2">
      <c r="B237" s="108"/>
      <c r="D237" s="43">
        <v>33.299999999999997</v>
      </c>
      <c r="E237" s="15" t="s">
        <v>72</v>
      </c>
      <c r="F237" s="15" t="s">
        <v>82</v>
      </c>
      <c r="G237" s="15" t="s">
        <v>8</v>
      </c>
      <c r="H237" s="15" t="str">
        <f t="shared" si="38"/>
        <v>H2Average</v>
      </c>
      <c r="I237" s="15">
        <f t="shared" ref="I237:AI237" si="55">I216/$D237</f>
        <v>0.28978978978978981</v>
      </c>
      <c r="J237" s="15">
        <f t="shared" si="55"/>
        <v>0.23933933933933935</v>
      </c>
      <c r="K237" s="15">
        <f t="shared" si="55"/>
        <v>0.21771771771771772</v>
      </c>
      <c r="L237" s="15">
        <f t="shared" si="55"/>
        <v>0.19639639639639642</v>
      </c>
      <c r="M237" s="15">
        <f t="shared" si="55"/>
        <v>0.17507507507507508</v>
      </c>
      <c r="N237" s="15">
        <f t="shared" si="55"/>
        <v>0.15405405405405406</v>
      </c>
      <c r="O237" s="15">
        <f t="shared" si="55"/>
        <v>0.28978978978978981</v>
      </c>
      <c r="P237" s="15">
        <f t="shared" si="55"/>
        <v>0.13243243243243244</v>
      </c>
      <c r="Q237" s="15">
        <f t="shared" si="55"/>
        <v>0.13183183183183184</v>
      </c>
      <c r="R237" s="15">
        <f t="shared" si="55"/>
        <v>0.13123123123123123</v>
      </c>
      <c r="S237" s="15">
        <f t="shared" si="55"/>
        <v>0.13063063063063063</v>
      </c>
      <c r="T237" s="15">
        <f t="shared" si="55"/>
        <v>0.20430180180180182</v>
      </c>
      <c r="U237" s="15">
        <f t="shared" si="55"/>
        <v>0.12972972972972974</v>
      </c>
      <c r="V237" s="15">
        <f t="shared" si="55"/>
        <v>0.12912912912912913</v>
      </c>
      <c r="W237" s="15">
        <f t="shared" si="55"/>
        <v>0.12882882882882885</v>
      </c>
      <c r="X237" s="15">
        <f t="shared" si="55"/>
        <v>0.12822822822822821</v>
      </c>
      <c r="Y237" s="15">
        <f t="shared" si="55"/>
        <v>0.11881381381381383</v>
      </c>
      <c r="Z237" s="15">
        <f t="shared" si="55"/>
        <v>0.12732732732732735</v>
      </c>
      <c r="AA237" s="15">
        <f t="shared" si="55"/>
        <v>0.12702702702702706</v>
      </c>
      <c r="AB237" s="15">
        <f t="shared" si="55"/>
        <v>0.12642642642642643</v>
      </c>
      <c r="AC237" s="15">
        <f t="shared" si="55"/>
        <v>0.12612612612612614</v>
      </c>
      <c r="AD237" s="15">
        <f t="shared" si="55"/>
        <v>0.12552552552552554</v>
      </c>
      <c r="AE237" s="15">
        <f t="shared" si="55"/>
        <v>0.12522522522522522</v>
      </c>
      <c r="AF237" s="15">
        <f t="shared" si="55"/>
        <v>0.12492492492492493</v>
      </c>
      <c r="AG237" s="15">
        <f t="shared" si="55"/>
        <v>0.12432432432432433</v>
      </c>
      <c r="AH237" s="15">
        <f t="shared" si="55"/>
        <v>0.12402402402402403</v>
      </c>
      <c r="AI237" s="15">
        <f t="shared" si="55"/>
        <v>4.8713663663663663E-2</v>
      </c>
      <c r="AJ237" s="40"/>
    </row>
    <row r="238" spans="2:36" ht="15" thickBot="1" x14ac:dyDescent="0.25">
      <c r="B238" s="109"/>
      <c r="D238" s="43">
        <v>33.299999999999997</v>
      </c>
      <c r="E238" s="15" t="s">
        <v>72</v>
      </c>
      <c r="F238" s="15" t="s">
        <v>82</v>
      </c>
      <c r="G238" s="15" t="s">
        <v>66</v>
      </c>
      <c r="H238" s="15" t="str">
        <f t="shared" si="38"/>
        <v>H2Low</v>
      </c>
      <c r="I238" s="15">
        <f t="shared" ref="I238:AI238" si="56">I217/$D238</f>
        <v>0.17417417417417419</v>
      </c>
      <c r="J238" s="15">
        <f t="shared" si="56"/>
        <v>0.21591591591591594</v>
      </c>
      <c r="K238" s="15">
        <f t="shared" si="56"/>
        <v>0.19459459459459463</v>
      </c>
      <c r="L238" s="15">
        <f t="shared" si="56"/>
        <v>0.17327327327327327</v>
      </c>
      <c r="M238" s="15">
        <f t="shared" si="56"/>
        <v>0.15195195195195196</v>
      </c>
      <c r="N238" s="15">
        <f t="shared" si="56"/>
        <v>0.13093093093093094</v>
      </c>
      <c r="O238" s="15">
        <f t="shared" si="56"/>
        <v>0.17417417417417419</v>
      </c>
      <c r="P238" s="15">
        <f t="shared" si="56"/>
        <v>0.10900900900900902</v>
      </c>
      <c r="Q238" s="15">
        <f t="shared" si="56"/>
        <v>0.10840840840840842</v>
      </c>
      <c r="R238" s="15">
        <f t="shared" si="56"/>
        <v>0.10810810810810811</v>
      </c>
      <c r="S238" s="15">
        <f t="shared" si="56"/>
        <v>0.10750750750750752</v>
      </c>
      <c r="T238" s="15">
        <f t="shared" si="56"/>
        <v>0.12279279279279279</v>
      </c>
      <c r="U238" s="15">
        <f t="shared" si="56"/>
        <v>0.10630630630630632</v>
      </c>
      <c r="V238" s="15">
        <f t="shared" si="56"/>
        <v>0.10600600600600601</v>
      </c>
      <c r="W238" s="15">
        <f t="shared" si="56"/>
        <v>0.10540540540540541</v>
      </c>
      <c r="X238" s="15">
        <f t="shared" si="56"/>
        <v>0.10510510510510511</v>
      </c>
      <c r="Y238" s="15">
        <f t="shared" si="56"/>
        <v>7.1411411411411413E-2</v>
      </c>
      <c r="Z238" s="15">
        <f t="shared" si="56"/>
        <v>0.10870870870870872</v>
      </c>
      <c r="AA238" s="15">
        <f t="shared" si="56"/>
        <v>0.11291291291291292</v>
      </c>
      <c r="AB238" s="15">
        <f t="shared" si="56"/>
        <v>0.11711711711711713</v>
      </c>
      <c r="AC238" s="15">
        <f t="shared" si="56"/>
        <v>0.12132132132132133</v>
      </c>
      <c r="AD238" s="15">
        <f t="shared" si="56"/>
        <v>0.12552552552552554</v>
      </c>
      <c r="AE238" s="15">
        <f t="shared" si="56"/>
        <v>0.12522522522522522</v>
      </c>
      <c r="AF238" s="15">
        <f t="shared" si="56"/>
        <v>0.12492492492492493</v>
      </c>
      <c r="AG238" s="15">
        <f t="shared" si="56"/>
        <v>0.12432432432432433</v>
      </c>
      <c r="AH238" s="15">
        <f t="shared" si="56"/>
        <v>0.12402402402402403</v>
      </c>
      <c r="AI238" s="15">
        <f t="shared" si="56"/>
        <v>2.9278678678678678E-2</v>
      </c>
      <c r="AJ238" s="40"/>
    </row>
    <row r="239" spans="2:36" x14ac:dyDescent="0.25">
      <c r="B239" s="54"/>
      <c r="AJ239" s="40"/>
    </row>
    <row r="240" spans="2:36" ht="18.75" thickBot="1" x14ac:dyDescent="0.3">
      <c r="B240" s="54"/>
      <c r="AJ240" s="40"/>
    </row>
    <row r="241" spans="2:36" s="12" customFormat="1" ht="14.25" x14ac:dyDescent="0.2">
      <c r="B241" s="107" t="s">
        <v>114</v>
      </c>
      <c r="D241" s="15" t="s">
        <v>63</v>
      </c>
      <c r="E241" s="15">
        <v>10.75</v>
      </c>
      <c r="F241" s="15" t="s">
        <v>76</v>
      </c>
      <c r="G241" s="15">
        <f>E241*3.6</f>
        <v>38.700000000000003</v>
      </c>
      <c r="H241" s="15" t="s">
        <v>77</v>
      </c>
      <c r="I241" s="15">
        <f t="shared" ref="I241:I246" si="57">G241/1000</f>
        <v>3.8700000000000005E-2</v>
      </c>
      <c r="J241" s="15" t="s">
        <v>78</v>
      </c>
      <c r="AJ241" s="40"/>
    </row>
    <row r="242" spans="2:36" s="12" customFormat="1" ht="14.25" x14ac:dyDescent="0.2">
      <c r="B242" s="108"/>
      <c r="D242" s="15" t="s">
        <v>25</v>
      </c>
      <c r="E242" s="15">
        <v>10.75</v>
      </c>
      <c r="F242" s="15" t="s">
        <v>76</v>
      </c>
      <c r="G242" s="15">
        <f>E242*3.6</f>
        <v>38.700000000000003</v>
      </c>
      <c r="H242" s="15" t="s">
        <v>77</v>
      </c>
      <c r="I242" s="15">
        <f t="shared" si="57"/>
        <v>3.8700000000000005E-2</v>
      </c>
      <c r="J242" s="15" t="s">
        <v>78</v>
      </c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/>
      <c r="AJ242" s="40"/>
    </row>
    <row r="243" spans="2:36" s="12" customFormat="1" ht="14.25" x14ac:dyDescent="0.2">
      <c r="B243" s="108"/>
      <c r="D243" s="15" t="s">
        <v>26</v>
      </c>
      <c r="E243" s="15">
        <v>0.15</v>
      </c>
      <c r="F243" s="15" t="s">
        <v>76</v>
      </c>
      <c r="G243" s="15">
        <f>E243*3.6</f>
        <v>0.54</v>
      </c>
      <c r="H243" s="15" t="s">
        <v>77</v>
      </c>
      <c r="I243" s="15">
        <f t="shared" si="57"/>
        <v>5.4000000000000001E-4</v>
      </c>
      <c r="J243" s="15" t="s">
        <v>78</v>
      </c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/>
      <c r="AJ243" s="40"/>
    </row>
    <row r="244" spans="2:36" s="12" customFormat="1" ht="14.25" x14ac:dyDescent="0.2">
      <c r="B244" s="108"/>
      <c r="D244" s="15" t="s">
        <v>68</v>
      </c>
      <c r="E244" s="15">
        <v>0.15</v>
      </c>
      <c r="F244" s="15" t="s">
        <v>76</v>
      </c>
      <c r="G244" s="15">
        <f>E244*3.6</f>
        <v>0.54</v>
      </c>
      <c r="H244" s="15" t="s">
        <v>77</v>
      </c>
      <c r="I244" s="15">
        <f t="shared" si="57"/>
        <v>5.4000000000000001E-4</v>
      </c>
      <c r="J244" s="15" t="s">
        <v>78</v>
      </c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J244" s="40"/>
    </row>
    <row r="245" spans="2:36" s="12" customFormat="1" ht="14.25" x14ac:dyDescent="0.2">
      <c r="B245" s="108"/>
      <c r="D245" s="15" t="s">
        <v>67</v>
      </c>
      <c r="E245" s="15">
        <v>10</v>
      </c>
      <c r="F245" s="15" t="s">
        <v>77</v>
      </c>
      <c r="G245" s="15">
        <f>E245</f>
        <v>10</v>
      </c>
      <c r="H245" s="15" t="str">
        <f>F245</f>
        <v>EUR/MWh</v>
      </c>
      <c r="I245" s="15">
        <f t="shared" si="57"/>
        <v>0.01</v>
      </c>
      <c r="J245" s="15" t="s">
        <v>78</v>
      </c>
      <c r="AJ245" s="40"/>
    </row>
    <row r="246" spans="2:36" s="12" customFormat="1" ht="15" thickBot="1" x14ac:dyDescent="0.25">
      <c r="B246" s="109"/>
      <c r="D246" s="15" t="s">
        <v>82</v>
      </c>
      <c r="E246" s="15">
        <v>0.15</v>
      </c>
      <c r="F246" s="15" t="s">
        <v>76</v>
      </c>
      <c r="G246" s="15">
        <f>E246*3.6</f>
        <v>0.54</v>
      </c>
      <c r="H246" s="15" t="s">
        <v>77</v>
      </c>
      <c r="I246" s="15">
        <f t="shared" si="57"/>
        <v>5.4000000000000001E-4</v>
      </c>
      <c r="J246" s="15" t="s">
        <v>78</v>
      </c>
      <c r="K246" s="44"/>
      <c r="L246" s="44"/>
      <c r="M246" s="44"/>
      <c r="N246" s="44"/>
      <c r="O246" s="44"/>
      <c r="P246" s="44"/>
      <c r="Q246" s="44"/>
      <c r="R246" s="44"/>
      <c r="S246" s="44"/>
      <c r="T246" s="44"/>
      <c r="U246" s="44"/>
      <c r="V246" s="44"/>
      <c r="W246" s="44"/>
      <c r="X246" s="44"/>
      <c r="Y246" s="44"/>
      <c r="Z246" s="44"/>
      <c r="AA246" s="44"/>
      <c r="AB246" s="44"/>
      <c r="AC246" s="44"/>
      <c r="AD246" s="44"/>
      <c r="AE246" s="44"/>
      <c r="AF246" s="44"/>
      <c r="AG246" s="44"/>
      <c r="AJ246" s="40"/>
    </row>
    <row r="247" spans="2:36" s="12" customFormat="1" ht="14.25" x14ac:dyDescent="0.2">
      <c r="B247" s="55"/>
      <c r="AJ247" s="40"/>
    </row>
    <row r="248" spans="2:36" s="12" customFormat="1" ht="15" thickBot="1" x14ac:dyDescent="0.25">
      <c r="B248" s="55"/>
      <c r="AJ248" s="40"/>
    </row>
    <row r="249" spans="2:36" s="12" customFormat="1" ht="14.25" x14ac:dyDescent="0.2">
      <c r="B249" s="107" t="s">
        <v>115</v>
      </c>
      <c r="D249" s="15" t="s">
        <v>63</v>
      </c>
      <c r="E249" s="15">
        <v>0.15</v>
      </c>
      <c r="F249" s="15" t="s">
        <v>79</v>
      </c>
      <c r="G249" s="15">
        <f>E249*100</f>
        <v>15</v>
      </c>
      <c r="H249" s="15" t="s">
        <v>77</v>
      </c>
      <c r="I249" s="15">
        <f t="shared" ref="I249:I254" si="58">G249/1000</f>
        <v>1.4999999999999999E-2</v>
      </c>
      <c r="J249" s="15" t="s">
        <v>78</v>
      </c>
      <c r="AJ249" s="40"/>
    </row>
    <row r="250" spans="2:36" s="12" customFormat="1" ht="14.25" x14ac:dyDescent="0.2">
      <c r="B250" s="108"/>
      <c r="D250" s="15" t="s">
        <v>25</v>
      </c>
      <c r="E250" s="15">
        <v>0.65</v>
      </c>
      <c r="F250" s="15" t="s">
        <v>80</v>
      </c>
      <c r="G250" s="15">
        <f>(E250/15.75)*1000</f>
        <v>41.269841269841272</v>
      </c>
      <c r="H250" s="15" t="s">
        <v>77</v>
      </c>
      <c r="I250" s="15">
        <f t="shared" si="58"/>
        <v>4.1269841269841276E-2</v>
      </c>
      <c r="J250" s="15" t="s">
        <v>78</v>
      </c>
      <c r="AJ250" s="40"/>
    </row>
    <row r="251" spans="2:36" s="12" customFormat="1" ht="14.25" x14ac:dyDescent="0.2">
      <c r="B251" s="108"/>
      <c r="D251" s="15" t="s">
        <v>26</v>
      </c>
      <c r="E251" s="15">
        <v>0.65</v>
      </c>
      <c r="F251" s="15" t="s">
        <v>80</v>
      </c>
      <c r="G251" s="15">
        <f>(E251/15.75)*1000</f>
        <v>41.269841269841272</v>
      </c>
      <c r="H251" s="15" t="s">
        <v>77</v>
      </c>
      <c r="I251" s="15">
        <f t="shared" si="58"/>
        <v>4.1269841269841276E-2</v>
      </c>
      <c r="J251" s="15" t="s">
        <v>78</v>
      </c>
      <c r="AJ251" s="40"/>
    </row>
    <row r="252" spans="2:36" s="12" customFormat="1" ht="14.25" x14ac:dyDescent="0.2">
      <c r="B252" s="108"/>
      <c r="D252" s="15" t="s">
        <v>68</v>
      </c>
      <c r="E252" s="15">
        <v>0.15</v>
      </c>
      <c r="F252" s="15" t="s">
        <v>76</v>
      </c>
      <c r="G252" s="15">
        <f>E252*100</f>
        <v>15</v>
      </c>
      <c r="H252" s="15" t="s">
        <v>77</v>
      </c>
      <c r="I252" s="15">
        <f t="shared" si="58"/>
        <v>1.4999999999999999E-2</v>
      </c>
      <c r="J252" s="15" t="s">
        <v>78</v>
      </c>
      <c r="AJ252" s="40"/>
    </row>
    <row r="253" spans="2:36" s="12" customFormat="1" ht="14.25" x14ac:dyDescent="0.2">
      <c r="B253" s="108"/>
      <c r="D253" s="15" t="s">
        <v>67</v>
      </c>
      <c r="E253" s="15">
        <v>50</v>
      </c>
      <c r="F253" s="15" t="s">
        <v>77</v>
      </c>
      <c r="G253" s="15">
        <f>E253</f>
        <v>50</v>
      </c>
      <c r="H253" s="15" t="str">
        <f>F253</f>
        <v>EUR/MWh</v>
      </c>
      <c r="I253" s="15">
        <f t="shared" si="58"/>
        <v>0.05</v>
      </c>
      <c r="J253" s="15" t="s">
        <v>78</v>
      </c>
      <c r="AJ253" s="40"/>
    </row>
    <row r="254" spans="2:36" s="12" customFormat="1" ht="15" thickBot="1" x14ac:dyDescent="0.25">
      <c r="B254" s="109"/>
      <c r="D254" s="15" t="s">
        <v>82</v>
      </c>
      <c r="E254" s="15">
        <v>0</v>
      </c>
      <c r="F254" s="15" t="s">
        <v>77</v>
      </c>
      <c r="G254" s="15">
        <f>E254</f>
        <v>0</v>
      </c>
      <c r="H254" s="15" t="str">
        <f>F254</f>
        <v>EUR/MWh</v>
      </c>
      <c r="I254" s="15">
        <f t="shared" si="58"/>
        <v>0</v>
      </c>
      <c r="J254" s="15" t="s">
        <v>78</v>
      </c>
      <c r="AJ254" s="40"/>
    </row>
    <row r="255" spans="2:36" s="12" customFormat="1" ht="14.25" x14ac:dyDescent="0.2">
      <c r="B255" s="55"/>
      <c r="AJ255" s="40"/>
    </row>
    <row r="256" spans="2:36" s="12" customFormat="1" x14ac:dyDescent="0.25">
      <c r="B256" s="54"/>
      <c r="C256" s="40"/>
      <c r="D256" s="40"/>
      <c r="E256" s="40"/>
      <c r="F256" s="40"/>
      <c r="G256" s="40"/>
      <c r="H256" s="40"/>
      <c r="I256" s="40"/>
      <c r="J256" s="40"/>
      <c r="K256" s="40"/>
      <c r="L256" s="40"/>
      <c r="M256" s="40"/>
      <c r="N256" s="40"/>
      <c r="O256" s="40"/>
      <c r="P256" s="40"/>
      <c r="Q256" s="40"/>
      <c r="R256" s="40"/>
      <c r="S256" s="40"/>
      <c r="T256" s="40"/>
      <c r="U256" s="40"/>
      <c r="V256" s="40"/>
      <c r="W256" s="40"/>
      <c r="X256" s="40"/>
      <c r="Y256" s="40"/>
      <c r="Z256" s="40"/>
      <c r="AA256" s="40"/>
      <c r="AB256" s="40"/>
      <c r="AC256" s="40"/>
      <c r="AD256" s="40"/>
      <c r="AE256" s="40"/>
      <c r="AF256" s="40"/>
      <c r="AG256" s="40"/>
      <c r="AH256" s="40"/>
      <c r="AI256" s="40"/>
      <c r="AJ256" s="40"/>
    </row>
    <row r="257" spans="2:36" s="12" customFormat="1" x14ac:dyDescent="0.25">
      <c r="B257" s="54"/>
      <c r="C257" s="40"/>
      <c r="D257" s="40"/>
      <c r="E257" s="40"/>
      <c r="F257" s="40"/>
      <c r="G257" s="40"/>
      <c r="H257" s="40"/>
      <c r="I257" s="40"/>
      <c r="J257" s="40"/>
      <c r="K257" s="40"/>
      <c r="L257" s="40"/>
      <c r="M257" s="40"/>
      <c r="N257" s="40"/>
      <c r="O257" s="40"/>
      <c r="P257" s="40"/>
      <c r="Q257" s="40"/>
      <c r="R257" s="40"/>
      <c r="S257" s="40"/>
      <c r="T257" s="40"/>
      <c r="U257" s="40"/>
      <c r="V257" s="40"/>
      <c r="W257" s="40"/>
      <c r="X257" s="40"/>
      <c r="Y257" s="40"/>
      <c r="Z257" s="40"/>
      <c r="AA257" s="40"/>
      <c r="AB257" s="40"/>
      <c r="AC257" s="40"/>
      <c r="AD257" s="40"/>
      <c r="AE257" s="40"/>
      <c r="AF257" s="40"/>
      <c r="AG257" s="40"/>
      <c r="AH257" s="40"/>
      <c r="AI257" s="40"/>
      <c r="AJ257" s="40"/>
    </row>
    <row r="258" spans="2:36" s="12" customFormat="1" x14ac:dyDescent="0.25">
      <c r="B258" s="54"/>
      <c r="C258" s="40"/>
      <c r="D258" s="40"/>
      <c r="E258" s="40"/>
      <c r="F258" s="40"/>
      <c r="G258" s="40"/>
      <c r="H258" s="40"/>
      <c r="I258" s="40"/>
      <c r="J258" s="40"/>
      <c r="K258" s="40"/>
      <c r="L258" s="40"/>
      <c r="M258" s="40"/>
      <c r="N258" s="40"/>
      <c r="O258" s="40"/>
      <c r="P258" s="40"/>
      <c r="Q258" s="40"/>
      <c r="R258" s="40"/>
      <c r="S258" s="40"/>
      <c r="T258" s="40"/>
      <c r="U258" s="40"/>
      <c r="V258" s="40"/>
      <c r="W258" s="40"/>
      <c r="X258" s="40"/>
      <c r="Y258" s="40"/>
      <c r="Z258" s="40"/>
      <c r="AA258" s="40"/>
      <c r="AB258" s="40"/>
      <c r="AC258" s="40"/>
      <c r="AD258" s="40"/>
      <c r="AE258" s="40"/>
      <c r="AF258" s="40"/>
      <c r="AG258" s="40"/>
      <c r="AH258" s="40"/>
      <c r="AI258" s="40"/>
      <c r="AJ258" s="40"/>
    </row>
    <row r="259" spans="2:36" s="12" customFormat="1" x14ac:dyDescent="0.25">
      <c r="B259" s="56"/>
    </row>
    <row r="260" spans="2:36" s="12" customFormat="1" ht="18.75" thickBot="1" x14ac:dyDescent="0.3">
      <c r="B260" s="56"/>
    </row>
    <row r="261" spans="2:36" s="12" customFormat="1" ht="14.25" x14ac:dyDescent="0.2">
      <c r="B261" s="125" t="s">
        <v>116</v>
      </c>
      <c r="C261" s="126"/>
      <c r="D261" s="126"/>
      <c r="E261" s="126"/>
      <c r="F261" s="126"/>
      <c r="G261" s="126"/>
      <c r="H261" s="126"/>
      <c r="I261" s="126"/>
      <c r="J261" s="126"/>
      <c r="K261" s="126"/>
      <c r="L261" s="126"/>
      <c r="M261" s="126"/>
      <c r="N261" s="126"/>
      <c r="O261" s="126"/>
      <c r="P261" s="126"/>
      <c r="Q261" s="126"/>
      <c r="R261" s="126"/>
      <c r="S261" s="126"/>
      <c r="T261" s="126"/>
      <c r="U261" s="126"/>
      <c r="V261" s="126"/>
      <c r="W261" s="126"/>
      <c r="X261" s="126"/>
      <c r="Y261" s="126"/>
      <c r="Z261" s="126"/>
      <c r="AA261" s="126"/>
      <c r="AB261" s="126"/>
      <c r="AC261" s="126"/>
      <c r="AD261" s="126"/>
      <c r="AE261" s="126"/>
      <c r="AF261" s="126"/>
      <c r="AG261" s="126"/>
      <c r="AH261" s="126"/>
      <c r="AI261" s="126"/>
      <c r="AJ261" s="127"/>
    </row>
    <row r="262" spans="2:36" s="12" customFormat="1" ht="14.25" x14ac:dyDescent="0.2">
      <c r="B262" s="128"/>
      <c r="C262" s="129"/>
      <c r="D262" s="129"/>
      <c r="E262" s="129"/>
      <c r="F262" s="129"/>
      <c r="G262" s="129"/>
      <c r="H262" s="129"/>
      <c r="I262" s="129"/>
      <c r="J262" s="129"/>
      <c r="K262" s="129"/>
      <c r="L262" s="129"/>
      <c r="M262" s="129"/>
      <c r="N262" s="129"/>
      <c r="O262" s="129"/>
      <c r="P262" s="129"/>
      <c r="Q262" s="129"/>
      <c r="R262" s="129"/>
      <c r="S262" s="129"/>
      <c r="T262" s="129"/>
      <c r="U262" s="129"/>
      <c r="V262" s="129"/>
      <c r="W262" s="129"/>
      <c r="X262" s="129"/>
      <c r="Y262" s="129"/>
      <c r="Z262" s="129"/>
      <c r="AA262" s="129"/>
      <c r="AB262" s="129"/>
      <c r="AC262" s="129"/>
      <c r="AD262" s="129"/>
      <c r="AE262" s="129"/>
      <c r="AF262" s="129"/>
      <c r="AG262" s="129"/>
      <c r="AH262" s="129"/>
      <c r="AI262" s="129"/>
      <c r="AJ262" s="130"/>
    </row>
    <row r="263" spans="2:36" s="12" customFormat="1" ht="15" thickBot="1" x14ac:dyDescent="0.25">
      <c r="B263" s="131"/>
      <c r="C263" s="132"/>
      <c r="D263" s="132"/>
      <c r="E263" s="132"/>
      <c r="F263" s="132"/>
      <c r="G263" s="132"/>
      <c r="H263" s="132"/>
      <c r="I263" s="132"/>
      <c r="J263" s="132"/>
      <c r="K263" s="132"/>
      <c r="L263" s="132"/>
      <c r="M263" s="132"/>
      <c r="N263" s="132"/>
      <c r="O263" s="132"/>
      <c r="P263" s="132"/>
      <c r="Q263" s="132"/>
      <c r="R263" s="132"/>
      <c r="S263" s="132"/>
      <c r="T263" s="132"/>
      <c r="U263" s="132"/>
      <c r="V263" s="132"/>
      <c r="W263" s="132"/>
      <c r="X263" s="132"/>
      <c r="Y263" s="132"/>
      <c r="Z263" s="132"/>
      <c r="AA263" s="132"/>
      <c r="AB263" s="132"/>
      <c r="AC263" s="132"/>
      <c r="AD263" s="132"/>
      <c r="AE263" s="132"/>
      <c r="AF263" s="132"/>
      <c r="AG263" s="132"/>
      <c r="AH263" s="132"/>
      <c r="AI263" s="132"/>
      <c r="AJ263" s="133"/>
    </row>
    <row r="264" spans="2:36" s="12" customFormat="1" ht="18.75" thickBot="1" x14ac:dyDescent="0.3">
      <c r="B264" s="48"/>
      <c r="AI264" s="8"/>
      <c r="AJ264" s="8"/>
    </row>
    <row r="265" spans="2:36" s="12" customFormat="1" ht="14.25" x14ac:dyDescent="0.2">
      <c r="B265" s="104" t="s">
        <v>165</v>
      </c>
      <c r="D265" s="14" t="s">
        <v>57</v>
      </c>
      <c r="E265" s="14" t="s">
        <v>5</v>
      </c>
      <c r="AI265" s="8"/>
      <c r="AJ265" s="8"/>
    </row>
    <row r="266" spans="2:36" s="12" customFormat="1" ht="14.25" x14ac:dyDescent="0.2">
      <c r="B266" s="105"/>
      <c r="D266" s="15" t="s">
        <v>152</v>
      </c>
      <c r="E266" s="15">
        <v>30</v>
      </c>
      <c r="AI266" s="8"/>
      <c r="AJ266" s="8"/>
    </row>
    <row r="267" spans="2:36" s="12" customFormat="1" ht="14.25" x14ac:dyDescent="0.2">
      <c r="B267" s="105"/>
      <c r="D267" s="15" t="s">
        <v>153</v>
      </c>
      <c r="E267" s="15">
        <v>400</v>
      </c>
      <c r="AI267" s="8"/>
      <c r="AJ267" s="8"/>
    </row>
    <row r="268" spans="2:36" s="12" customFormat="1" ht="14.25" x14ac:dyDescent="0.2">
      <c r="B268" s="105"/>
      <c r="D268" s="15" t="s">
        <v>154</v>
      </c>
      <c r="E268" s="15">
        <v>0.7</v>
      </c>
      <c r="AI268" s="8"/>
      <c r="AJ268" s="8"/>
    </row>
    <row r="269" spans="2:36" s="12" customFormat="1" ht="14.25" x14ac:dyDescent="0.2">
      <c r="B269" s="105"/>
      <c r="D269" s="15" t="s">
        <v>155</v>
      </c>
      <c r="E269" s="15">
        <v>0.85</v>
      </c>
      <c r="AI269" s="8"/>
      <c r="AJ269" s="8"/>
    </row>
    <row r="270" spans="2:36" s="12" customFormat="1" ht="14.25" x14ac:dyDescent="0.2">
      <c r="B270" s="105"/>
      <c r="D270" s="15" t="s">
        <v>156</v>
      </c>
      <c r="E270" s="15">
        <v>40</v>
      </c>
      <c r="AI270" s="8"/>
      <c r="AJ270" s="8"/>
    </row>
    <row r="271" spans="2:36" s="12" customFormat="1" ht="14.25" x14ac:dyDescent="0.2">
      <c r="B271" s="105"/>
      <c r="D271" s="15" t="s">
        <v>157</v>
      </c>
      <c r="E271" s="15">
        <v>2.0149999999999999E-3</v>
      </c>
      <c r="AI271" s="8"/>
      <c r="AJ271" s="8"/>
    </row>
    <row r="272" spans="2:36" s="12" customFormat="1" ht="14.25" x14ac:dyDescent="0.2">
      <c r="B272" s="105"/>
      <c r="D272" s="15" t="s">
        <v>158</v>
      </c>
      <c r="E272" s="15">
        <v>20</v>
      </c>
      <c r="AI272" s="8"/>
      <c r="AJ272" s="8"/>
    </row>
    <row r="273" spans="2:36" s="12" customFormat="1" ht="14.25" x14ac:dyDescent="0.2">
      <c r="B273" s="105"/>
      <c r="D273" s="15" t="s">
        <v>159</v>
      </c>
      <c r="E273" s="15">
        <v>0</v>
      </c>
      <c r="AI273" s="8"/>
      <c r="AJ273" s="8"/>
    </row>
    <row r="274" spans="2:36" s="12" customFormat="1" ht="14.25" x14ac:dyDescent="0.2">
      <c r="B274" s="105"/>
      <c r="D274" s="15" t="s">
        <v>160</v>
      </c>
      <c r="E274" s="15">
        <v>2</v>
      </c>
      <c r="AI274" s="8"/>
      <c r="AJ274" s="8"/>
    </row>
    <row r="275" spans="2:36" s="12" customFormat="1" ht="14.25" x14ac:dyDescent="0.2">
      <c r="B275" s="105"/>
      <c r="D275" s="15" t="s">
        <v>161</v>
      </c>
      <c r="E275" s="15">
        <v>1.2</v>
      </c>
      <c r="AI275" s="8"/>
      <c r="AJ275" s="8"/>
    </row>
    <row r="276" spans="2:36" s="12" customFormat="1" ht="14.25" x14ac:dyDescent="0.2">
      <c r="B276" s="105"/>
      <c r="D276" s="15" t="s">
        <v>162</v>
      </c>
      <c r="E276" s="15">
        <v>0.18</v>
      </c>
      <c r="AI276" s="8"/>
      <c r="AJ276" s="8"/>
    </row>
    <row r="277" spans="2:36" s="12" customFormat="1" ht="14.25" x14ac:dyDescent="0.2">
      <c r="B277" s="105"/>
      <c r="D277" s="15" t="s">
        <v>163</v>
      </c>
      <c r="E277" s="15">
        <v>10</v>
      </c>
      <c r="AI277" s="8"/>
      <c r="AJ277" s="8"/>
    </row>
    <row r="278" spans="2:36" s="12" customFormat="1" ht="15" thickBot="1" x14ac:dyDescent="0.25">
      <c r="B278" s="106"/>
      <c r="D278" s="15" t="s">
        <v>164</v>
      </c>
      <c r="E278" s="15">
        <v>400</v>
      </c>
      <c r="AI278" s="8"/>
      <c r="AJ278" s="8"/>
    </row>
    <row r="279" spans="2:36" s="12" customFormat="1" ht="18.75" thickBot="1" x14ac:dyDescent="0.3">
      <c r="B279" s="48"/>
      <c r="AI279" s="8"/>
      <c r="AJ279" s="8"/>
    </row>
    <row r="280" spans="2:36" s="12" customFormat="1" ht="15" customHeight="1" x14ac:dyDescent="0.2">
      <c r="B280" s="104" t="s">
        <v>123</v>
      </c>
      <c r="D280" s="15" t="s">
        <v>4</v>
      </c>
      <c r="E280" s="14" t="s">
        <v>2</v>
      </c>
      <c r="F280" s="14" t="s">
        <v>117</v>
      </c>
      <c r="G280" s="25"/>
      <c r="H280" s="7"/>
      <c r="I280" s="25"/>
      <c r="AI280" s="8"/>
      <c r="AJ280" s="8"/>
    </row>
    <row r="281" spans="2:36" s="12" customFormat="1" ht="14.25" x14ac:dyDescent="0.2">
      <c r="B281" s="105"/>
      <c r="D281" s="15" t="s">
        <v>118</v>
      </c>
      <c r="E281" s="15">
        <v>2023</v>
      </c>
      <c r="F281" s="15">
        <v>1</v>
      </c>
      <c r="G281" s="20"/>
      <c r="H281" s="7"/>
      <c r="I281" s="20"/>
      <c r="AI281" s="8"/>
      <c r="AJ281" s="8"/>
    </row>
    <row r="282" spans="2:36" s="12" customFormat="1" ht="14.25" x14ac:dyDescent="0.2">
      <c r="B282" s="105"/>
      <c r="D282" s="15" t="s">
        <v>118</v>
      </c>
      <c r="E282" s="15">
        <v>2030</v>
      </c>
      <c r="F282" s="15">
        <v>0.61</v>
      </c>
      <c r="G282" s="20"/>
      <c r="H282" s="7"/>
      <c r="I282" s="20"/>
      <c r="AI282" s="8"/>
      <c r="AJ282" s="8"/>
    </row>
    <row r="283" spans="2:36" s="12" customFormat="1" ht="14.25" x14ac:dyDescent="0.2">
      <c r="B283" s="105"/>
      <c r="D283" s="15" t="s">
        <v>118</v>
      </c>
      <c r="E283" s="15">
        <v>2037</v>
      </c>
      <c r="F283" s="15">
        <v>0.55000000000000004</v>
      </c>
      <c r="G283" s="20"/>
      <c r="H283" s="7"/>
      <c r="I283" s="20"/>
      <c r="AI283" s="8"/>
      <c r="AJ283" s="8"/>
    </row>
    <row r="284" spans="2:36" s="12" customFormat="1" ht="14.25" x14ac:dyDescent="0.2">
      <c r="B284" s="105"/>
      <c r="D284" s="15" t="s">
        <v>119</v>
      </c>
      <c r="E284" s="15">
        <v>2023</v>
      </c>
      <c r="F284" s="15">
        <v>1</v>
      </c>
      <c r="H284" s="7"/>
      <c r="AI284" s="8"/>
      <c r="AJ284" s="8"/>
    </row>
    <row r="285" spans="2:36" s="12" customFormat="1" ht="14.25" x14ac:dyDescent="0.2">
      <c r="B285" s="105"/>
      <c r="D285" s="15" t="s">
        <v>119</v>
      </c>
      <c r="E285" s="15">
        <v>2030</v>
      </c>
      <c r="F285" s="15">
        <v>0.47</v>
      </c>
      <c r="H285" s="7"/>
      <c r="AI285" s="8"/>
      <c r="AJ285" s="8"/>
    </row>
    <row r="286" spans="2:36" s="12" customFormat="1" ht="14.25" x14ac:dyDescent="0.2">
      <c r="B286" s="105"/>
      <c r="D286" s="15" t="s">
        <v>119</v>
      </c>
      <c r="E286" s="15">
        <v>2037</v>
      </c>
      <c r="F286" s="15">
        <v>0.4</v>
      </c>
      <c r="H286" s="7"/>
      <c r="AI286" s="8"/>
      <c r="AJ286" s="8"/>
    </row>
    <row r="287" spans="2:36" s="12" customFormat="1" ht="14.25" x14ac:dyDescent="0.2">
      <c r="B287" s="105"/>
      <c r="D287" s="15" t="s">
        <v>120</v>
      </c>
      <c r="E287" s="15">
        <v>2023</v>
      </c>
      <c r="F287" s="15">
        <v>1</v>
      </c>
      <c r="H287" s="7"/>
      <c r="AI287" s="8"/>
      <c r="AJ287" s="8"/>
    </row>
    <row r="288" spans="2:36" s="12" customFormat="1" ht="14.25" x14ac:dyDescent="0.2">
      <c r="B288" s="105"/>
      <c r="D288" s="15" t="s">
        <v>120</v>
      </c>
      <c r="E288" s="15">
        <v>2030</v>
      </c>
      <c r="F288" s="15">
        <v>0.61</v>
      </c>
      <c r="H288" s="7"/>
      <c r="AI288" s="8"/>
      <c r="AJ288" s="8"/>
    </row>
    <row r="289" spans="2:36" s="12" customFormat="1" ht="14.25" x14ac:dyDescent="0.2">
      <c r="B289" s="105"/>
      <c r="D289" s="15" t="s">
        <v>120</v>
      </c>
      <c r="E289" s="15">
        <v>2037</v>
      </c>
      <c r="F289" s="15">
        <v>0.55000000000000004</v>
      </c>
      <c r="H289" s="7"/>
      <c r="AI289" s="8"/>
      <c r="AJ289" s="8"/>
    </row>
    <row r="290" spans="2:36" s="12" customFormat="1" ht="14.25" x14ac:dyDescent="0.2">
      <c r="B290" s="105"/>
      <c r="D290" s="15" t="s">
        <v>121</v>
      </c>
      <c r="E290" s="15">
        <v>2023</v>
      </c>
      <c r="F290" s="15">
        <v>1</v>
      </c>
      <c r="H290" s="7"/>
      <c r="AI290" s="8"/>
      <c r="AJ290" s="8"/>
    </row>
    <row r="291" spans="2:36" s="12" customFormat="1" ht="14.25" x14ac:dyDescent="0.2">
      <c r="B291" s="105"/>
      <c r="D291" s="15" t="s">
        <v>121</v>
      </c>
      <c r="E291" s="15">
        <v>2030</v>
      </c>
      <c r="F291" s="15">
        <v>0.79</v>
      </c>
      <c r="H291" s="7"/>
      <c r="AI291" s="8"/>
      <c r="AJ291" s="8"/>
    </row>
    <row r="292" spans="2:36" s="12" customFormat="1" ht="14.25" x14ac:dyDescent="0.2">
      <c r="B292" s="105"/>
      <c r="D292" s="15" t="s">
        <v>121</v>
      </c>
      <c r="E292" s="15">
        <v>2037</v>
      </c>
      <c r="F292" s="15">
        <v>0.75</v>
      </c>
      <c r="H292" s="7"/>
      <c r="AI292" s="8"/>
      <c r="AJ292" s="8"/>
    </row>
    <row r="293" spans="2:36" s="12" customFormat="1" ht="14.25" x14ac:dyDescent="0.2">
      <c r="B293" s="105"/>
      <c r="D293" s="15" t="s">
        <v>122</v>
      </c>
      <c r="E293" s="15">
        <v>2023</v>
      </c>
      <c r="F293" s="15">
        <v>1</v>
      </c>
      <c r="H293" s="7"/>
      <c r="AI293" s="8"/>
      <c r="AJ293" s="8"/>
    </row>
    <row r="294" spans="2:36" s="12" customFormat="1" ht="14.25" x14ac:dyDescent="0.2">
      <c r="B294" s="105"/>
      <c r="D294" s="15" t="s">
        <v>122</v>
      </c>
      <c r="E294" s="15">
        <v>2030</v>
      </c>
      <c r="F294" s="15">
        <v>0.47</v>
      </c>
      <c r="AI294" s="8"/>
      <c r="AJ294" s="8"/>
    </row>
    <row r="295" spans="2:36" s="12" customFormat="1" ht="15" thickBot="1" x14ac:dyDescent="0.25">
      <c r="B295" s="106"/>
      <c r="D295" s="15" t="s">
        <v>122</v>
      </c>
      <c r="E295" s="15">
        <v>2037</v>
      </c>
      <c r="F295" s="15">
        <v>0.4</v>
      </c>
      <c r="AI295" s="8"/>
      <c r="AJ295" s="8"/>
    </row>
    <row r="296" spans="2:36" s="12" customFormat="1" x14ac:dyDescent="0.25">
      <c r="B296" s="48"/>
      <c r="AI296" s="8"/>
      <c r="AJ296" s="8"/>
    </row>
    <row r="297" spans="2:36" s="12" customFormat="1" x14ac:dyDescent="0.25">
      <c r="B297" s="48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</row>
    <row r="298" spans="2:36" s="12" customFormat="1" x14ac:dyDescent="0.25">
      <c r="B298" s="48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</row>
    <row r="299" spans="2:36" s="12" customFormat="1" x14ac:dyDescent="0.25">
      <c r="B299" s="56"/>
    </row>
    <row r="300" spans="2:36" s="12" customFormat="1" ht="18.75" thickBot="1" x14ac:dyDescent="0.3">
      <c r="B300" s="56"/>
    </row>
    <row r="301" spans="2:36" s="12" customFormat="1" ht="14.25" x14ac:dyDescent="0.2">
      <c r="B301" s="75" t="s">
        <v>148</v>
      </c>
      <c r="C301" s="76"/>
      <c r="D301" s="76"/>
      <c r="E301" s="76"/>
      <c r="F301" s="76"/>
      <c r="G301" s="76"/>
      <c r="H301" s="76"/>
      <c r="I301" s="76"/>
      <c r="J301" s="76"/>
      <c r="K301" s="76"/>
      <c r="L301" s="76"/>
      <c r="M301" s="76"/>
      <c r="N301" s="76"/>
      <c r="O301" s="76"/>
      <c r="P301" s="76"/>
      <c r="Q301" s="76"/>
      <c r="R301" s="76"/>
      <c r="S301" s="76"/>
      <c r="T301" s="76"/>
      <c r="U301" s="76"/>
      <c r="V301" s="76"/>
      <c r="W301" s="76"/>
      <c r="X301" s="76"/>
      <c r="Y301" s="76"/>
      <c r="Z301" s="76"/>
      <c r="AA301" s="76"/>
      <c r="AB301" s="76"/>
      <c r="AC301" s="76"/>
      <c r="AD301" s="76"/>
      <c r="AE301" s="76"/>
      <c r="AF301" s="76"/>
      <c r="AG301" s="76"/>
      <c r="AH301" s="76"/>
      <c r="AI301" s="76"/>
      <c r="AJ301" s="77"/>
    </row>
    <row r="302" spans="2:36" s="12" customFormat="1" ht="14.25" x14ac:dyDescent="0.2">
      <c r="B302" s="78"/>
      <c r="C302" s="79"/>
      <c r="D302" s="79"/>
      <c r="E302" s="79"/>
      <c r="F302" s="79"/>
      <c r="G302" s="79"/>
      <c r="H302" s="79"/>
      <c r="I302" s="79"/>
      <c r="J302" s="79"/>
      <c r="K302" s="79"/>
      <c r="L302" s="79"/>
      <c r="M302" s="79"/>
      <c r="N302" s="79"/>
      <c r="O302" s="79"/>
      <c r="P302" s="79"/>
      <c r="Q302" s="79"/>
      <c r="R302" s="79"/>
      <c r="S302" s="79"/>
      <c r="T302" s="79"/>
      <c r="U302" s="79"/>
      <c r="V302" s="79"/>
      <c r="W302" s="79"/>
      <c r="X302" s="79"/>
      <c r="Y302" s="79"/>
      <c r="Z302" s="79"/>
      <c r="AA302" s="79"/>
      <c r="AB302" s="79"/>
      <c r="AC302" s="79"/>
      <c r="AD302" s="79"/>
      <c r="AE302" s="79"/>
      <c r="AF302" s="79"/>
      <c r="AG302" s="79"/>
      <c r="AH302" s="79"/>
      <c r="AI302" s="79"/>
      <c r="AJ302" s="80"/>
    </row>
    <row r="303" spans="2:36" s="12" customFormat="1" ht="15" thickBot="1" x14ac:dyDescent="0.25">
      <c r="B303" s="81"/>
      <c r="C303" s="82"/>
      <c r="D303" s="82"/>
      <c r="E303" s="82"/>
      <c r="F303" s="82"/>
      <c r="G303" s="82"/>
      <c r="H303" s="82"/>
      <c r="I303" s="82"/>
      <c r="J303" s="82"/>
      <c r="K303" s="82"/>
      <c r="L303" s="82"/>
      <c r="M303" s="82"/>
      <c r="N303" s="82"/>
      <c r="O303" s="82"/>
      <c r="P303" s="82"/>
      <c r="Q303" s="82"/>
      <c r="R303" s="82"/>
      <c r="S303" s="82"/>
      <c r="T303" s="82"/>
      <c r="U303" s="82"/>
      <c r="V303" s="82"/>
      <c r="W303" s="82"/>
      <c r="X303" s="82"/>
      <c r="Y303" s="82"/>
      <c r="Z303" s="82"/>
      <c r="AA303" s="82"/>
      <c r="AB303" s="82"/>
      <c r="AC303" s="82"/>
      <c r="AD303" s="82"/>
      <c r="AE303" s="82"/>
      <c r="AF303" s="82"/>
      <c r="AG303" s="82"/>
      <c r="AH303" s="82"/>
      <c r="AI303" s="82"/>
      <c r="AJ303" s="83"/>
    </row>
    <row r="304" spans="2:36" s="12" customFormat="1" x14ac:dyDescent="0.25">
      <c r="B304" s="57"/>
    </row>
    <row r="305" spans="2:17" s="12" customFormat="1" x14ac:dyDescent="0.25">
      <c r="B305" s="57"/>
    </row>
    <row r="306" spans="2:17" s="12" customFormat="1" ht="18.75" thickBot="1" x14ac:dyDescent="0.3">
      <c r="B306" s="57"/>
    </row>
    <row r="307" spans="2:17" s="12" customFormat="1" ht="14.25" x14ac:dyDescent="0.2">
      <c r="B307" s="84" t="s">
        <v>149</v>
      </c>
      <c r="C307" s="45"/>
      <c r="D307" s="14" t="s">
        <v>125</v>
      </c>
      <c r="E307" s="14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</row>
    <row r="308" spans="2:17" s="12" customFormat="1" ht="14.25" x14ac:dyDescent="0.2">
      <c r="B308" s="85"/>
      <c r="C308" s="7"/>
      <c r="D308" s="15" t="s">
        <v>65</v>
      </c>
      <c r="E308" s="15">
        <v>90</v>
      </c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</row>
    <row r="309" spans="2:17" s="12" customFormat="1" ht="14.25" x14ac:dyDescent="0.2">
      <c r="B309" s="85"/>
      <c r="C309" s="7"/>
      <c r="D309" s="15" t="s">
        <v>8</v>
      </c>
      <c r="E309" s="15">
        <v>45</v>
      </c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</row>
    <row r="310" spans="2:17" s="12" customFormat="1" ht="15" thickBot="1" x14ac:dyDescent="0.25">
      <c r="B310" s="86"/>
      <c r="C310" s="7"/>
      <c r="D310" s="15" t="s">
        <v>66</v>
      </c>
      <c r="E310" s="15">
        <v>0</v>
      </c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</row>
    <row r="311" spans="2:17" s="12" customFormat="1" x14ac:dyDescent="0.25">
      <c r="B311" s="57"/>
      <c r="C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</row>
    <row r="312" spans="2:17" s="12" customFormat="1" x14ac:dyDescent="0.25">
      <c r="B312" s="57"/>
      <c r="C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</row>
    <row r="313" spans="2:17" s="12" customFormat="1" ht="18.75" thickBot="1" x14ac:dyDescent="0.3">
      <c r="B313" s="57"/>
      <c r="C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</row>
    <row r="314" spans="2:17" s="12" customFormat="1" ht="15" customHeight="1" x14ac:dyDescent="0.2">
      <c r="B314" s="84" t="s">
        <v>150</v>
      </c>
      <c r="C314" s="7"/>
      <c r="D314" s="14" t="s">
        <v>0</v>
      </c>
      <c r="E314" s="14" t="s">
        <v>151</v>
      </c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</row>
    <row r="315" spans="2:17" s="12" customFormat="1" ht="14.25" x14ac:dyDescent="0.2">
      <c r="B315" s="85"/>
      <c r="C315" s="7"/>
      <c r="D315" s="15" t="s">
        <v>6</v>
      </c>
      <c r="E315" s="15">
        <v>0.26530612199999998</v>
      </c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</row>
    <row r="316" spans="2:17" s="12" customFormat="1" ht="14.25" x14ac:dyDescent="0.2">
      <c r="B316" s="85"/>
      <c r="C316" s="7"/>
      <c r="D316" s="15" t="s">
        <v>25</v>
      </c>
      <c r="E316" s="15">
        <v>0.17299999999999999</v>
      </c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</row>
    <row r="317" spans="2:17" s="12" customFormat="1" ht="14.25" x14ac:dyDescent="0.2">
      <c r="B317" s="85"/>
      <c r="C317" s="7"/>
      <c r="D317" s="15" t="s">
        <v>26</v>
      </c>
      <c r="E317" s="15">
        <v>6.055E-2</v>
      </c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</row>
    <row r="318" spans="2:17" s="12" customFormat="1" ht="14.25" x14ac:dyDescent="0.2">
      <c r="B318" s="85"/>
      <c r="C318" s="7"/>
      <c r="D318" s="15" t="s">
        <v>38</v>
      </c>
      <c r="E318" s="15">
        <v>0</v>
      </c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</row>
    <row r="319" spans="2:17" s="12" customFormat="1" ht="14.25" x14ac:dyDescent="0.2">
      <c r="B319" s="85"/>
      <c r="C319" s="7"/>
      <c r="D319" s="15" t="s">
        <v>39</v>
      </c>
      <c r="E319" s="15">
        <v>0</v>
      </c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</row>
    <row r="320" spans="2:17" s="12" customFormat="1" ht="14.25" x14ac:dyDescent="0.2">
      <c r="B320" s="85"/>
      <c r="C320" s="7"/>
      <c r="D320" s="15" t="s">
        <v>127</v>
      </c>
      <c r="E320" s="15">
        <v>0</v>
      </c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</row>
    <row r="321" spans="2:17" s="12" customFormat="1" ht="15" thickBot="1" x14ac:dyDescent="0.25">
      <c r="B321" s="86"/>
      <c r="C321" s="7"/>
      <c r="D321" s="15" t="s">
        <v>68</v>
      </c>
      <c r="E321" s="15">
        <v>2.6499999999999999E-2</v>
      </c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</row>
    <row r="322" spans="2:17" s="12" customFormat="1" x14ac:dyDescent="0.25">
      <c r="B322" s="57"/>
      <c r="C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</row>
    <row r="323" spans="2:17" s="12" customFormat="1" x14ac:dyDescent="0.25">
      <c r="B323" s="57"/>
      <c r="C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</row>
    <row r="324" spans="2:17" s="12" customFormat="1" x14ac:dyDescent="0.25">
      <c r="B324" s="57"/>
      <c r="C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</row>
    <row r="325" spans="2:17" s="12" customFormat="1" x14ac:dyDescent="0.25">
      <c r="B325" s="57"/>
      <c r="C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</row>
    <row r="326" spans="2:17" s="12" customFormat="1" x14ac:dyDescent="0.25">
      <c r="B326" s="57"/>
      <c r="C326" s="7"/>
      <c r="D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</row>
    <row r="327" spans="2:17" s="12" customFormat="1" x14ac:dyDescent="0.25">
      <c r="B327" s="57"/>
      <c r="C327" s="7"/>
      <c r="D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</row>
    <row r="328" spans="2:17" s="12" customFormat="1" x14ac:dyDescent="0.25">
      <c r="B328" s="57"/>
      <c r="C328" s="7"/>
      <c r="D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</row>
    <row r="329" spans="2:17" s="12" customFormat="1" x14ac:dyDescent="0.25">
      <c r="B329" s="57"/>
      <c r="D329" s="7"/>
    </row>
    <row r="330" spans="2:17" s="12" customFormat="1" x14ac:dyDescent="0.25">
      <c r="B330" s="57"/>
      <c r="D330" s="7"/>
      <c r="E330" s="46"/>
    </row>
    <row r="331" spans="2:17" s="12" customFormat="1" x14ac:dyDescent="0.25">
      <c r="B331" s="57"/>
      <c r="D331" s="7"/>
      <c r="E331" s="46"/>
    </row>
    <row r="332" spans="2:17" s="12" customFormat="1" x14ac:dyDescent="0.25">
      <c r="B332" s="57"/>
      <c r="D332" s="7"/>
      <c r="E332" s="46"/>
    </row>
    <row r="333" spans="2:17" s="12" customFormat="1" x14ac:dyDescent="0.25">
      <c r="B333" s="57"/>
      <c r="D333" s="7"/>
      <c r="E333" s="46"/>
    </row>
    <row r="334" spans="2:17" s="12" customFormat="1" x14ac:dyDescent="0.25">
      <c r="B334" s="57"/>
      <c r="D334" s="7"/>
    </row>
    <row r="335" spans="2:17" s="12" customFormat="1" x14ac:dyDescent="0.25">
      <c r="B335" s="57"/>
      <c r="D335" s="7"/>
      <c r="E335" s="46"/>
    </row>
    <row r="336" spans="2:17" s="12" customFormat="1" x14ac:dyDescent="0.25">
      <c r="B336" s="56"/>
      <c r="D336" s="7"/>
      <c r="E336" s="46"/>
    </row>
    <row r="337" spans="2:5" s="12" customFormat="1" x14ac:dyDescent="0.25">
      <c r="B337" s="56"/>
      <c r="D337" s="7"/>
      <c r="E337" s="46"/>
    </row>
    <row r="338" spans="2:5" s="12" customFormat="1" x14ac:dyDescent="0.25">
      <c r="B338" s="56"/>
      <c r="D338" s="7"/>
      <c r="E338" s="46"/>
    </row>
    <row r="339" spans="2:5" s="12" customFormat="1" x14ac:dyDescent="0.25">
      <c r="B339" s="56"/>
      <c r="D339" s="7"/>
      <c r="E339" s="46"/>
    </row>
    <row r="340" spans="2:5" s="12" customFormat="1" x14ac:dyDescent="0.25">
      <c r="B340" s="56"/>
      <c r="D340" s="7"/>
      <c r="E340" s="46"/>
    </row>
    <row r="341" spans="2:5" s="12" customFormat="1" x14ac:dyDescent="0.25">
      <c r="B341" s="56"/>
      <c r="D341" s="7"/>
    </row>
    <row r="342" spans="2:5" s="12" customFormat="1" x14ac:dyDescent="0.25">
      <c r="B342" s="56"/>
    </row>
    <row r="343" spans="2:5" s="12" customFormat="1" x14ac:dyDescent="0.25">
      <c r="B343" s="56"/>
    </row>
    <row r="344" spans="2:5" s="12" customFormat="1" x14ac:dyDescent="0.25">
      <c r="B344" s="56"/>
    </row>
    <row r="345" spans="2:5" s="12" customFormat="1" x14ac:dyDescent="0.25">
      <c r="B345" s="56"/>
    </row>
    <row r="346" spans="2:5" s="12" customFormat="1" x14ac:dyDescent="0.25">
      <c r="B346" s="56"/>
    </row>
    <row r="347" spans="2:5" s="12" customFormat="1" x14ac:dyDescent="0.25">
      <c r="B347" s="56"/>
    </row>
    <row r="348" spans="2:5" s="12" customFormat="1" x14ac:dyDescent="0.25">
      <c r="B348" s="56"/>
    </row>
    <row r="349" spans="2:5" s="12" customFormat="1" x14ac:dyDescent="0.25">
      <c r="B349" s="56"/>
    </row>
    <row r="350" spans="2:5" s="12" customFormat="1" x14ac:dyDescent="0.25">
      <c r="B350" s="56"/>
    </row>
    <row r="351" spans="2:5" s="12" customFormat="1" x14ac:dyDescent="0.25">
      <c r="B351" s="56"/>
    </row>
    <row r="352" spans="2:5" s="12" customFormat="1" x14ac:dyDescent="0.25">
      <c r="B352" s="56"/>
    </row>
    <row r="353" spans="2:6" s="12" customFormat="1" x14ac:dyDescent="0.25">
      <c r="B353" s="56"/>
    </row>
    <row r="354" spans="2:6" s="12" customFormat="1" x14ac:dyDescent="0.25">
      <c r="B354" s="56"/>
    </row>
    <row r="355" spans="2:6" s="12" customFormat="1" x14ac:dyDescent="0.25">
      <c r="B355" s="56"/>
    </row>
    <row r="356" spans="2:6" s="12" customFormat="1" x14ac:dyDescent="0.25">
      <c r="B356" s="56"/>
    </row>
    <row r="357" spans="2:6" s="12" customFormat="1" x14ac:dyDescent="0.25">
      <c r="B357" s="56"/>
    </row>
    <row r="358" spans="2:6" s="12" customFormat="1" x14ac:dyDescent="0.25">
      <c r="B358" s="56"/>
    </row>
    <row r="359" spans="2:6" s="12" customFormat="1" x14ac:dyDescent="0.25">
      <c r="B359" s="56"/>
    </row>
    <row r="360" spans="2:6" s="12" customFormat="1" x14ac:dyDescent="0.25">
      <c r="B360" s="56"/>
      <c r="F360" s="7"/>
    </row>
    <row r="361" spans="2:6" s="12" customFormat="1" x14ac:dyDescent="0.25">
      <c r="B361" s="56"/>
      <c r="F361" s="7"/>
    </row>
    <row r="362" spans="2:6" s="12" customFormat="1" x14ac:dyDescent="0.25">
      <c r="B362" s="56"/>
      <c r="F362" s="7"/>
    </row>
    <row r="363" spans="2:6" s="12" customFormat="1" x14ac:dyDescent="0.25">
      <c r="B363" s="56"/>
      <c r="F363" s="7"/>
    </row>
    <row r="364" spans="2:6" s="12" customFormat="1" x14ac:dyDescent="0.25">
      <c r="B364" s="56"/>
      <c r="F364" s="7"/>
    </row>
    <row r="365" spans="2:6" s="12" customFormat="1" x14ac:dyDescent="0.25">
      <c r="B365" s="56"/>
      <c r="F365" s="7"/>
    </row>
    <row r="366" spans="2:6" s="12" customFormat="1" x14ac:dyDescent="0.25">
      <c r="B366" s="56"/>
      <c r="F366" s="7"/>
    </row>
    <row r="367" spans="2:6" s="12" customFormat="1" x14ac:dyDescent="0.25">
      <c r="B367" s="56"/>
      <c r="F367" s="7"/>
    </row>
    <row r="368" spans="2:6" s="12" customFormat="1" x14ac:dyDescent="0.25">
      <c r="B368" s="56"/>
      <c r="F368" s="7"/>
    </row>
    <row r="369" spans="2:6" s="12" customFormat="1" x14ac:dyDescent="0.25">
      <c r="B369" s="56"/>
      <c r="F369" s="7"/>
    </row>
    <row r="370" spans="2:6" s="12" customFormat="1" x14ac:dyDescent="0.25">
      <c r="B370" s="56"/>
      <c r="F370" s="7"/>
    </row>
    <row r="371" spans="2:6" s="12" customFormat="1" x14ac:dyDescent="0.25">
      <c r="B371" s="56"/>
      <c r="F371" s="7"/>
    </row>
    <row r="372" spans="2:6" s="12" customFormat="1" x14ac:dyDescent="0.25">
      <c r="B372" s="56"/>
      <c r="F372" s="7"/>
    </row>
    <row r="373" spans="2:6" s="12" customFormat="1" x14ac:dyDescent="0.25">
      <c r="B373" s="56"/>
      <c r="F373" s="7"/>
    </row>
    <row r="374" spans="2:6" s="12" customFormat="1" x14ac:dyDescent="0.25">
      <c r="B374" s="56"/>
      <c r="F374" s="7"/>
    </row>
    <row r="375" spans="2:6" s="12" customFormat="1" x14ac:dyDescent="0.25">
      <c r="B375" s="56"/>
      <c r="F375" s="7"/>
    </row>
    <row r="376" spans="2:6" s="12" customFormat="1" x14ac:dyDescent="0.25">
      <c r="B376" s="56"/>
      <c r="F376" s="7"/>
    </row>
    <row r="377" spans="2:6" s="12" customFormat="1" x14ac:dyDescent="0.25">
      <c r="B377" s="56"/>
      <c r="F377" s="7"/>
    </row>
    <row r="378" spans="2:6" s="12" customFormat="1" x14ac:dyDescent="0.25">
      <c r="B378" s="56"/>
      <c r="F378" s="7"/>
    </row>
    <row r="379" spans="2:6" s="12" customFormat="1" x14ac:dyDescent="0.25">
      <c r="B379" s="56"/>
    </row>
    <row r="380" spans="2:6" s="12" customFormat="1" x14ac:dyDescent="0.25">
      <c r="B380" s="56"/>
    </row>
    <row r="381" spans="2:6" s="12" customFormat="1" x14ac:dyDescent="0.25">
      <c r="B381" s="56"/>
    </row>
    <row r="382" spans="2:6" s="12" customFormat="1" x14ac:dyDescent="0.25">
      <c r="B382" s="56"/>
    </row>
    <row r="383" spans="2:6" s="12" customFormat="1" x14ac:dyDescent="0.25">
      <c r="B383" s="56"/>
    </row>
    <row r="384" spans="2:6" s="12" customFormat="1" x14ac:dyDescent="0.25">
      <c r="B384" s="56"/>
    </row>
    <row r="385" spans="2:2" s="12" customFormat="1" x14ac:dyDescent="0.25">
      <c r="B385" s="56"/>
    </row>
    <row r="386" spans="2:2" s="12" customFormat="1" x14ac:dyDescent="0.25">
      <c r="B386" s="56"/>
    </row>
    <row r="387" spans="2:2" s="12" customFormat="1" x14ac:dyDescent="0.25">
      <c r="B387" s="56"/>
    </row>
    <row r="388" spans="2:2" s="12" customFormat="1" x14ac:dyDescent="0.25">
      <c r="B388" s="56"/>
    </row>
  </sheetData>
  <mergeCells count="36">
    <mergeCell ref="B314:B321"/>
    <mergeCell ref="B261:AJ263"/>
    <mergeCell ref="B280:B295"/>
    <mergeCell ref="B144:B163"/>
    <mergeCell ref="B49:B65"/>
    <mergeCell ref="B265:B278"/>
    <mergeCell ref="B241:B246"/>
    <mergeCell ref="B249:B254"/>
    <mergeCell ref="B192:AJ194"/>
    <mergeCell ref="Y168:Y183"/>
    <mergeCell ref="K165:L165"/>
    <mergeCell ref="B220:B238"/>
    <mergeCell ref="B199:B217"/>
    <mergeCell ref="B168:B183"/>
    <mergeCell ref="D168:D183"/>
    <mergeCell ref="K168:K183"/>
    <mergeCell ref="D105:I105"/>
    <mergeCell ref="D114:I114"/>
    <mergeCell ref="B105:B141"/>
    <mergeCell ref="D132:I132"/>
    <mergeCell ref="C4:L5"/>
    <mergeCell ref="B11:G11"/>
    <mergeCell ref="C8:L9"/>
    <mergeCell ref="B301:AJ303"/>
    <mergeCell ref="B307:B310"/>
    <mergeCell ref="B24:AJ26"/>
    <mergeCell ref="B29:B46"/>
    <mergeCell ref="R168:R183"/>
    <mergeCell ref="D134:D135"/>
    <mergeCell ref="D136:D137"/>
    <mergeCell ref="D140:D141"/>
    <mergeCell ref="D138:D139"/>
    <mergeCell ref="B67:B83"/>
    <mergeCell ref="B87:B103"/>
    <mergeCell ref="D87:D102"/>
    <mergeCell ref="I87:I102"/>
  </mergeCells>
  <hyperlinks>
    <hyperlink ref="C15" r:id="rId1" display="https://doi.org/10.1038/s41560-024-01531-9" xr:uid="{06828A90-D4D4-4B52-BD3B-A1C8A4C7E619}"/>
    <hyperlink ref="C17" r:id="rId2" display="https://www.ieabioenergy.com/blog/publications/new-publication-advanced-biofuels-potential-for-cost-reduction/" xr:uid="{E5D87089-AABC-45C1-8955-297017AE327B}"/>
    <hyperlink ref="C19" r:id="rId3" display="https://climate.ec.europa.eu/eu-action/eu-funding-climate-action/innovation-fund/calls-proposals/if23-auction-renewable-hydrogen-production_en" xr:uid="{8230F218-DF74-4D7B-9554-34F776E37618}"/>
    <hyperlink ref="C20" r:id="rId4" display="https://www.consilium.europa.eu/en/infographics/fit-for-55-energy-taxation/" xr:uid="{212C4BC4-A382-438F-AE6E-4E7E96A21194}"/>
  </hyperlinks>
  <pageMargins left="0.7" right="0.7" top="0.75" bottom="0.75" header="0.3" footer="0.3"/>
  <pageSetup paperSize="9" orientation="portrait" horizontalDpi="4294967295" verticalDpi="4294967295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8" name="Button 1">
              <controlPr defaultSize="0" print="0" autoFill="0" autoPict="0" macro="[0]!ExportSheetsToCSV">
                <anchor moveWithCells="1" sizeWithCells="1">
                  <from>
                    <xdr:col>12</xdr:col>
                    <xdr:colOff>523875</xdr:colOff>
                    <xdr:row>2</xdr:row>
                    <xdr:rowOff>200025</xdr:rowOff>
                  </from>
                  <to>
                    <xdr:col>18</xdr:col>
                    <xdr:colOff>476250</xdr:colOff>
                    <xdr:row>8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279565-11BA-41C7-B0F1-E89BFE078820}">
  <sheetPr codeName="Hoja8"/>
  <dimension ref="A1:B14"/>
  <sheetViews>
    <sheetView workbookViewId="0">
      <selection activeCell="B14" sqref="B14"/>
    </sheetView>
  </sheetViews>
  <sheetFormatPr baseColWidth="10" defaultRowHeight="15" x14ac:dyDescent="0.25"/>
  <sheetData>
    <row r="1" spans="1:2" x14ac:dyDescent="0.25">
      <c r="A1" s="6" t="s">
        <v>57</v>
      </c>
      <c r="B1" s="6" t="s">
        <v>5</v>
      </c>
    </row>
    <row r="2" spans="1:2" x14ac:dyDescent="0.25">
      <c r="A2" s="5" t="s">
        <v>152</v>
      </c>
      <c r="B2" s="5">
        <v>30</v>
      </c>
    </row>
    <row r="3" spans="1:2" x14ac:dyDescent="0.25">
      <c r="A3" s="5" t="s">
        <v>153</v>
      </c>
      <c r="B3" s="5">
        <v>400</v>
      </c>
    </row>
    <row r="4" spans="1:2" x14ac:dyDescent="0.25">
      <c r="A4" s="5" t="s">
        <v>154</v>
      </c>
      <c r="B4" s="5">
        <v>0.7</v>
      </c>
    </row>
    <row r="5" spans="1:2" x14ac:dyDescent="0.25">
      <c r="A5" s="5" t="s">
        <v>155</v>
      </c>
      <c r="B5" s="5">
        <v>0.85</v>
      </c>
    </row>
    <row r="6" spans="1:2" x14ac:dyDescent="0.25">
      <c r="A6" s="5" t="s">
        <v>156</v>
      </c>
      <c r="B6" s="5">
        <v>40</v>
      </c>
    </row>
    <row r="7" spans="1:2" x14ac:dyDescent="0.25">
      <c r="A7" s="5" t="s">
        <v>157</v>
      </c>
      <c r="B7" s="5">
        <v>2.0149999999999999E-3</v>
      </c>
    </row>
    <row r="8" spans="1:2" x14ac:dyDescent="0.25">
      <c r="A8" s="5" t="s">
        <v>158</v>
      </c>
      <c r="B8" s="5">
        <v>20</v>
      </c>
    </row>
    <row r="9" spans="1:2" x14ac:dyDescent="0.25">
      <c r="A9" s="5" t="s">
        <v>159</v>
      </c>
      <c r="B9" s="5">
        <v>0</v>
      </c>
    </row>
    <row r="10" spans="1:2" x14ac:dyDescent="0.25">
      <c r="A10" s="5" t="s">
        <v>160</v>
      </c>
      <c r="B10" s="5">
        <v>2</v>
      </c>
    </row>
    <row r="11" spans="1:2" x14ac:dyDescent="0.25">
      <c r="A11" s="5" t="s">
        <v>161</v>
      </c>
      <c r="B11" s="5">
        <v>1.2</v>
      </c>
    </row>
    <row r="12" spans="1:2" x14ac:dyDescent="0.25">
      <c r="A12" s="5" t="s">
        <v>162</v>
      </c>
      <c r="B12" s="5">
        <v>0.18</v>
      </c>
    </row>
    <row r="13" spans="1:2" x14ac:dyDescent="0.25">
      <c r="A13" s="5" t="s">
        <v>163</v>
      </c>
      <c r="B13" s="5">
        <v>10</v>
      </c>
    </row>
    <row r="14" spans="1:2" x14ac:dyDescent="0.25">
      <c r="A14" s="5" t="s">
        <v>164</v>
      </c>
      <c r="B14" s="5">
        <v>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23116-CEE0-4BBC-9A54-F7F7ECE1F587}">
  <sheetPr codeName="Hoja9"/>
  <dimension ref="A1:H17"/>
  <sheetViews>
    <sheetView workbookViewId="0">
      <selection activeCell="I7" sqref="I7"/>
    </sheetView>
  </sheetViews>
  <sheetFormatPr baseColWidth="10" defaultRowHeight="15" x14ac:dyDescent="0.25"/>
  <sheetData>
    <row r="1" spans="1:8" x14ac:dyDescent="0.25">
      <c r="A1" t="str">
        <f>Input!D29</f>
        <v>VECTO_Group</v>
      </c>
      <c r="B1" t="str">
        <f>Input!E29</f>
        <v>Curb_weight</v>
      </c>
      <c r="C1" t="str">
        <f>Input!F29</f>
        <v>GVW</v>
      </c>
      <c r="D1" t="str">
        <f>Input!G29</f>
        <v>Payload</v>
      </c>
      <c r="E1" t="str">
        <f>Input!H29</f>
        <v>Engine_Power_kW</v>
      </c>
      <c r="F1" t="str">
        <f>Input!I29</f>
        <v>km_year</v>
      </c>
      <c r="G1" t="str">
        <f>Input!J29</f>
        <v>Pressure</v>
      </c>
      <c r="H1" t="str">
        <f>Input!K29</f>
        <v>Minutes_Refuelling</v>
      </c>
    </row>
    <row r="2" spans="1:8" x14ac:dyDescent="0.25">
      <c r="A2">
        <f>Input!D30</f>
        <v>0</v>
      </c>
      <c r="B2" s="2">
        <f>Input!E30</f>
        <v>4800</v>
      </c>
      <c r="C2" s="2">
        <v>7.5</v>
      </c>
      <c r="D2" s="2">
        <v>2.7</v>
      </c>
      <c r="E2" s="2">
        <f>Input!H30</f>
        <v>170</v>
      </c>
      <c r="F2" s="2">
        <f>Input!I30</f>
        <v>116000</v>
      </c>
      <c r="G2" s="2">
        <f>Input!J30</f>
        <v>350</v>
      </c>
      <c r="H2" s="2">
        <f>Input!K30</f>
        <v>11</v>
      </c>
    </row>
    <row r="3" spans="1:8" x14ac:dyDescent="0.25">
      <c r="A3">
        <f>Input!D31</f>
        <v>1</v>
      </c>
      <c r="B3" s="2">
        <f>Input!E31</f>
        <v>4800</v>
      </c>
      <c r="C3" s="2">
        <f>Input!F31</f>
        <v>10</v>
      </c>
      <c r="D3" s="2">
        <v>5.2</v>
      </c>
      <c r="E3" s="2">
        <f>Input!H31</f>
        <v>170</v>
      </c>
      <c r="F3" s="2">
        <f>Input!I31</f>
        <v>116000</v>
      </c>
      <c r="G3" s="2">
        <f>Input!J31</f>
        <v>350</v>
      </c>
      <c r="H3" s="2">
        <f>Input!K31</f>
        <v>11</v>
      </c>
    </row>
    <row r="4" spans="1:8" x14ac:dyDescent="0.25">
      <c r="A4">
        <f>Input!D32</f>
        <v>2</v>
      </c>
      <c r="B4" s="2">
        <f>Input!E32</f>
        <v>4800</v>
      </c>
      <c r="C4" s="2">
        <f>Input!F32</f>
        <v>12</v>
      </c>
      <c r="D4" s="2">
        <v>7.2</v>
      </c>
      <c r="E4" s="2">
        <f>Input!H32</f>
        <v>170</v>
      </c>
      <c r="F4" s="2">
        <f>Input!I32</f>
        <v>116000</v>
      </c>
      <c r="G4" s="2">
        <f>Input!J32</f>
        <v>350</v>
      </c>
      <c r="H4" s="2">
        <f>Input!K32</f>
        <v>11</v>
      </c>
    </row>
    <row r="5" spans="1:8" x14ac:dyDescent="0.25">
      <c r="A5">
        <f>Input!D33</f>
        <v>3</v>
      </c>
      <c r="B5" s="2">
        <f>Input!E33</f>
        <v>4800</v>
      </c>
      <c r="C5" s="2">
        <f>Input!F33</f>
        <v>16</v>
      </c>
      <c r="D5" s="2">
        <v>11.2</v>
      </c>
      <c r="E5" s="2">
        <f>Input!H33</f>
        <v>220</v>
      </c>
      <c r="F5" s="2">
        <f>Input!I33</f>
        <v>116000</v>
      </c>
      <c r="G5" s="2">
        <f>Input!J33</f>
        <v>350</v>
      </c>
      <c r="H5" s="2">
        <f>Input!K33</f>
        <v>11</v>
      </c>
    </row>
    <row r="6" spans="1:8" x14ac:dyDescent="0.25">
      <c r="A6" t="str">
        <f>Input!D34</f>
        <v>4-UD</v>
      </c>
      <c r="B6" s="2">
        <f>Input!E34</f>
        <v>8229</v>
      </c>
      <c r="C6" s="2">
        <f>Input!F34</f>
        <v>40</v>
      </c>
      <c r="D6" s="2">
        <v>31.7</v>
      </c>
      <c r="E6" s="2">
        <f>Input!H34</f>
        <v>170</v>
      </c>
      <c r="F6" s="2">
        <f>Input!I34</f>
        <v>116000</v>
      </c>
      <c r="G6" s="2">
        <f>Input!J34</f>
        <v>350</v>
      </c>
      <c r="H6" s="2">
        <f>Input!K34</f>
        <v>11</v>
      </c>
    </row>
    <row r="7" spans="1:8" x14ac:dyDescent="0.25">
      <c r="A7" t="str">
        <f>Input!D35</f>
        <v>4-RD</v>
      </c>
      <c r="B7" s="2">
        <f>Input!E35</f>
        <v>8229</v>
      </c>
      <c r="C7" s="2">
        <f>Input!F35</f>
        <v>40</v>
      </c>
      <c r="D7" s="2">
        <v>31.7</v>
      </c>
      <c r="E7" s="2">
        <f>Input!H35</f>
        <v>220</v>
      </c>
      <c r="F7" s="2">
        <f>Input!I35</f>
        <v>116000</v>
      </c>
      <c r="G7" s="2">
        <f>Input!J35</f>
        <v>350</v>
      </c>
      <c r="H7" s="2">
        <f>Input!K35</f>
        <v>11</v>
      </c>
    </row>
    <row r="8" spans="1:8" x14ac:dyDescent="0.25">
      <c r="A8" t="str">
        <f>Input!D36</f>
        <v>4-LH</v>
      </c>
      <c r="B8" s="2">
        <f>Input!E36</f>
        <v>8229</v>
      </c>
      <c r="C8" s="2">
        <f>Input!F36</f>
        <v>40</v>
      </c>
      <c r="D8" s="2">
        <v>31.7</v>
      </c>
      <c r="E8" s="2">
        <f>Input!H36</f>
        <v>325</v>
      </c>
      <c r="F8" s="2">
        <f>Input!I36</f>
        <v>116000</v>
      </c>
      <c r="G8" s="2">
        <f>Input!J36</f>
        <v>350</v>
      </c>
      <c r="H8" s="2">
        <f>Input!K36</f>
        <v>11</v>
      </c>
    </row>
    <row r="9" spans="1:8" x14ac:dyDescent="0.25">
      <c r="A9" t="str">
        <f>Input!D37</f>
        <v>5-RD</v>
      </c>
      <c r="B9" s="2">
        <f>Input!E37</f>
        <v>8229</v>
      </c>
      <c r="C9" s="2">
        <f>Input!F37</f>
        <v>40</v>
      </c>
      <c r="D9" s="2">
        <v>31.7</v>
      </c>
      <c r="E9" s="2">
        <f>Input!H37</f>
        <v>220</v>
      </c>
      <c r="F9" s="2">
        <f>Input!I37</f>
        <v>116000</v>
      </c>
      <c r="G9" s="2">
        <f>Input!J37</f>
        <v>350</v>
      </c>
      <c r="H9" s="2">
        <f>Input!K37</f>
        <v>11</v>
      </c>
    </row>
    <row r="10" spans="1:8" x14ac:dyDescent="0.25">
      <c r="A10" t="str">
        <f>Input!D38</f>
        <v>5-LH</v>
      </c>
      <c r="B10" s="2">
        <f>Input!E38</f>
        <v>8229</v>
      </c>
      <c r="C10" s="2">
        <f>Input!F38</f>
        <v>40</v>
      </c>
      <c r="D10" s="2">
        <v>31.7</v>
      </c>
      <c r="E10" s="2">
        <f>Input!H38</f>
        <v>325</v>
      </c>
      <c r="F10" s="2">
        <f>Input!I38</f>
        <v>116000</v>
      </c>
      <c r="G10" s="2">
        <f>Input!J38</f>
        <v>350</v>
      </c>
      <c r="H10" s="2">
        <f>Input!K38</f>
        <v>11</v>
      </c>
    </row>
    <row r="11" spans="1:8" x14ac:dyDescent="0.25">
      <c r="A11" t="str">
        <f>Input!D39</f>
        <v>9-RD</v>
      </c>
      <c r="B11" s="2">
        <f>Input!E39</f>
        <v>9300</v>
      </c>
      <c r="C11" s="2">
        <f>Input!F39</f>
        <v>40</v>
      </c>
      <c r="D11" s="2">
        <v>30.7</v>
      </c>
      <c r="E11" s="2">
        <f>Input!H39</f>
        <v>325</v>
      </c>
      <c r="F11" s="2">
        <f>Input!I39</f>
        <v>116000</v>
      </c>
      <c r="G11" s="2">
        <f>Input!J39</f>
        <v>350</v>
      </c>
      <c r="H11" s="2">
        <f>Input!K39</f>
        <v>11</v>
      </c>
    </row>
    <row r="12" spans="1:8" x14ac:dyDescent="0.25">
      <c r="A12" t="str">
        <f>Input!D40</f>
        <v>9-LH</v>
      </c>
      <c r="B12" s="2">
        <f>Input!E40</f>
        <v>9300</v>
      </c>
      <c r="C12" s="2">
        <f>Input!F40</f>
        <v>40</v>
      </c>
      <c r="D12" s="2">
        <v>30.7</v>
      </c>
      <c r="E12" s="2">
        <f>Input!H40</f>
        <v>325</v>
      </c>
      <c r="F12" s="2">
        <f>Input!I40</f>
        <v>116000</v>
      </c>
      <c r="G12" s="2">
        <f>Input!J40</f>
        <v>350</v>
      </c>
      <c r="H12" s="2">
        <f>Input!K40</f>
        <v>11</v>
      </c>
    </row>
    <row r="13" spans="1:8" x14ac:dyDescent="0.25">
      <c r="A13" t="str">
        <f>Input!D41</f>
        <v>10-RD</v>
      </c>
      <c r="B13" s="2">
        <f>Input!E41</f>
        <v>9300</v>
      </c>
      <c r="C13" s="2">
        <f>Input!F41</f>
        <v>40</v>
      </c>
      <c r="D13" s="2">
        <v>30.7</v>
      </c>
      <c r="E13" s="2">
        <f>Input!H41</f>
        <v>325</v>
      </c>
      <c r="F13" s="2">
        <f>Input!I41</f>
        <v>116000</v>
      </c>
      <c r="G13" s="2">
        <f>Input!J41</f>
        <v>350</v>
      </c>
      <c r="H13" s="2">
        <f>Input!K41</f>
        <v>11</v>
      </c>
    </row>
    <row r="14" spans="1:8" x14ac:dyDescent="0.25">
      <c r="A14" t="str">
        <f>Input!D42</f>
        <v>10-LH</v>
      </c>
      <c r="B14" s="2">
        <f>Input!E42</f>
        <v>9300</v>
      </c>
      <c r="C14" s="2">
        <f>Input!F42</f>
        <v>40</v>
      </c>
      <c r="D14" s="2">
        <v>30.7</v>
      </c>
      <c r="E14" s="2">
        <f>Input!H42</f>
        <v>325</v>
      </c>
      <c r="F14" s="2">
        <f>Input!I42</f>
        <v>116000</v>
      </c>
      <c r="G14" s="2">
        <f>Input!J42</f>
        <v>350</v>
      </c>
      <c r="H14" s="2">
        <f>Input!K42</f>
        <v>11</v>
      </c>
    </row>
    <row r="15" spans="1:8" x14ac:dyDescent="0.25">
      <c r="A15">
        <f>Input!D43</f>
        <v>11</v>
      </c>
      <c r="B15" s="2">
        <f>Input!E43</f>
        <v>9600</v>
      </c>
      <c r="C15" s="2">
        <f>Input!F43</f>
        <v>40</v>
      </c>
      <c r="D15" s="2">
        <v>30.4</v>
      </c>
      <c r="E15" s="2">
        <f>Input!H43</f>
        <v>325</v>
      </c>
      <c r="F15" s="2">
        <f>Input!I43</f>
        <v>116000</v>
      </c>
      <c r="G15" s="2">
        <f>Input!J43</f>
        <v>350</v>
      </c>
      <c r="H15" s="2">
        <f>Input!K43</f>
        <v>11</v>
      </c>
    </row>
    <row r="16" spans="1:8" x14ac:dyDescent="0.25">
      <c r="A16">
        <f>Input!D44</f>
        <v>12</v>
      </c>
      <c r="B16" s="2">
        <f>Input!E44</f>
        <v>9600</v>
      </c>
      <c r="C16" s="2">
        <f>Input!F44</f>
        <v>40</v>
      </c>
      <c r="D16" s="2">
        <v>30.4</v>
      </c>
      <c r="E16" s="2">
        <f>Input!H44</f>
        <v>325</v>
      </c>
      <c r="F16" s="2">
        <f>Input!I44</f>
        <v>116000</v>
      </c>
      <c r="G16" s="2">
        <f>Input!J44</f>
        <v>350</v>
      </c>
      <c r="H16" s="2">
        <f>Input!K44</f>
        <v>11</v>
      </c>
    </row>
    <row r="17" spans="1:8" x14ac:dyDescent="0.25">
      <c r="A17">
        <f>Input!D45</f>
        <v>16</v>
      </c>
      <c r="B17" s="2">
        <f>Input!E45</f>
        <v>11200</v>
      </c>
      <c r="C17" s="2">
        <f>Input!F45</f>
        <v>40</v>
      </c>
      <c r="D17" s="2">
        <v>28.8</v>
      </c>
      <c r="E17" s="2">
        <f>Input!H45</f>
        <v>325</v>
      </c>
      <c r="F17" s="2">
        <f>Input!I45</f>
        <v>116000</v>
      </c>
      <c r="G17" s="2">
        <f>Input!J45</f>
        <v>350</v>
      </c>
      <c r="H17" s="2">
        <f>Input!K45</f>
        <v>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964B7-E9EA-4A22-9940-5B54B94517D2}">
  <sheetPr codeName="Hoja11"/>
  <dimension ref="A1:B16"/>
  <sheetViews>
    <sheetView workbookViewId="0">
      <selection activeCell="H25" sqref="H25"/>
    </sheetView>
  </sheetViews>
  <sheetFormatPr baseColWidth="10" defaultRowHeight="15" x14ac:dyDescent="0.25"/>
  <cols>
    <col min="2" max="2" width="11.42578125" style="62" customWidth="1"/>
  </cols>
  <sheetData>
    <row r="1" spans="1:2" x14ac:dyDescent="0.25">
      <c r="A1" t="s">
        <v>2</v>
      </c>
      <c r="B1" s="62" t="s">
        <v>128</v>
      </c>
    </row>
    <row r="2" spans="1:2" x14ac:dyDescent="0.25">
      <c r="A2">
        <v>1</v>
      </c>
      <c r="B2" s="62">
        <f>HLOOKUP(A2,Input!$D$144:$S$145,2,FALSE)</f>
        <v>0.6</v>
      </c>
    </row>
    <row r="3" spans="1:2" x14ac:dyDescent="0.25">
      <c r="A3">
        <v>2</v>
      </c>
      <c r="B3" s="62">
        <f>HLOOKUP(A3,Input!$D$144:$S$145,2,FALSE)</f>
        <v>0.78571428600000004</v>
      </c>
    </row>
    <row r="4" spans="1:2" x14ac:dyDescent="0.25">
      <c r="A4">
        <v>3</v>
      </c>
      <c r="B4" s="62">
        <f>HLOOKUP(A4,Input!$D$144:$S$145,2,FALSE)</f>
        <v>0.97142857100000002</v>
      </c>
    </row>
    <row r="5" spans="1:2" x14ac:dyDescent="0.25">
      <c r="A5">
        <v>4</v>
      </c>
      <c r="B5" s="62">
        <f>HLOOKUP(A5,Input!$D$144:$S$145,2,FALSE)</f>
        <v>1.157142857</v>
      </c>
    </row>
    <row r="6" spans="1:2" x14ac:dyDescent="0.25">
      <c r="A6">
        <v>5</v>
      </c>
      <c r="B6" s="62">
        <f>HLOOKUP(A6,Input!$D$144:$S$145,2,FALSE)</f>
        <v>1.342857143</v>
      </c>
    </row>
    <row r="7" spans="1:2" x14ac:dyDescent="0.25">
      <c r="A7">
        <v>6</v>
      </c>
      <c r="B7" s="62">
        <f>HLOOKUP(A7,Input!$D$144:$S$145,2,FALSE)</f>
        <v>1.5285714290000001</v>
      </c>
    </row>
    <row r="8" spans="1:2" x14ac:dyDescent="0.25">
      <c r="A8">
        <v>7</v>
      </c>
      <c r="B8" s="62">
        <f>HLOOKUP(A8,Input!$D$144:$S$145,2,FALSE)</f>
        <v>1.7142857140000001</v>
      </c>
    </row>
    <row r="9" spans="1:2" x14ac:dyDescent="0.25">
      <c r="A9">
        <v>8</v>
      </c>
      <c r="B9" s="62">
        <f>HLOOKUP(A9,Input!$D$144:$S$145,2,FALSE)</f>
        <v>1.9</v>
      </c>
    </row>
    <row r="10" spans="1:2" x14ac:dyDescent="0.25">
      <c r="A10">
        <v>9</v>
      </c>
      <c r="B10" s="62">
        <f>HLOOKUP(A10,Input!$D$144:$S$145,2,FALSE)</f>
        <v>2.085714286</v>
      </c>
    </row>
    <row r="11" spans="1:2" x14ac:dyDescent="0.25">
      <c r="A11">
        <v>10</v>
      </c>
      <c r="B11" s="62">
        <f>HLOOKUP(A11,Input!$D$144:$S$145,2,FALSE)</f>
        <v>2.271428571</v>
      </c>
    </row>
    <row r="12" spans="1:2" x14ac:dyDescent="0.25">
      <c r="A12">
        <v>11</v>
      </c>
      <c r="B12" s="62">
        <f>HLOOKUP(A12,Input!$D$144:$S$145,2,FALSE)</f>
        <v>2.457142857</v>
      </c>
    </row>
    <row r="13" spans="1:2" x14ac:dyDescent="0.25">
      <c r="A13">
        <v>12</v>
      </c>
      <c r="B13" s="62">
        <f>HLOOKUP(A13,Input!$D$144:$S$145,2,FALSE)</f>
        <v>2.6428571430000001</v>
      </c>
    </row>
    <row r="14" spans="1:2" x14ac:dyDescent="0.25">
      <c r="A14">
        <v>13</v>
      </c>
      <c r="B14" s="62">
        <f>HLOOKUP(A14,Input!$D$144:$S$145,2,FALSE)</f>
        <v>2.8285714290000001</v>
      </c>
    </row>
    <row r="15" spans="1:2" x14ac:dyDescent="0.25">
      <c r="A15">
        <v>14</v>
      </c>
      <c r="B15" s="62">
        <f>HLOOKUP(A15,Input!$D$144:$S$145,2,FALSE)</f>
        <v>3.0142857140000001</v>
      </c>
    </row>
    <row r="16" spans="1:2" x14ac:dyDescent="0.25">
      <c r="A16">
        <v>15</v>
      </c>
      <c r="B16" s="62">
        <f>HLOOKUP(A16,Input!$D$144:$S$145,2,FALSE)</f>
        <v>3.2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35687-5A4C-4FE1-89CE-E3ADECB5ADE0}">
  <sheetPr codeName="Hoja12"/>
  <dimension ref="A1:C65"/>
  <sheetViews>
    <sheetView topLeftCell="A34" workbookViewId="0">
      <selection activeCell="F10" sqref="F10"/>
    </sheetView>
  </sheetViews>
  <sheetFormatPr baseColWidth="10" defaultRowHeight="15" x14ac:dyDescent="0.25"/>
  <cols>
    <col min="2" max="2" width="11.42578125" style="59"/>
  </cols>
  <sheetData>
    <row r="1" spans="1:3" x14ac:dyDescent="0.25">
      <c r="A1" t="s">
        <v>0</v>
      </c>
      <c r="B1" s="59" t="s">
        <v>1</v>
      </c>
      <c r="C1" t="s">
        <v>29</v>
      </c>
    </row>
    <row r="2" spans="1:3" x14ac:dyDescent="0.25">
      <c r="A2" t="s">
        <v>6</v>
      </c>
      <c r="B2" s="59">
        <v>0</v>
      </c>
      <c r="C2">
        <f>INDEX(Input!$E$148:$H$163,MATCH(data_Maintenance_Price!B2,Input!$D$148:$D$163,0),MATCH(data_Maintenance_Price!A2,Input!$E$147:$H$147,0))</f>
        <v>11</v>
      </c>
    </row>
    <row r="3" spans="1:3" x14ac:dyDescent="0.25">
      <c r="A3" t="s">
        <v>6</v>
      </c>
      <c r="B3" s="59">
        <v>1</v>
      </c>
      <c r="C3">
        <f>INDEX(Input!$E$148:$H$163,MATCH(data_Maintenance_Price!B3,Input!$D$148:$D$163,0),MATCH(data_Maintenance_Price!A3,Input!$E$147:$H$147,0))</f>
        <v>11</v>
      </c>
    </row>
    <row r="4" spans="1:3" x14ac:dyDescent="0.25">
      <c r="A4" t="s">
        <v>6</v>
      </c>
      <c r="B4" s="59">
        <v>2</v>
      </c>
      <c r="C4">
        <f>INDEX(Input!$E$148:$H$163,MATCH(data_Maintenance_Price!B4,Input!$D$148:$D$163,0),MATCH(data_Maintenance_Price!A4,Input!$E$147:$H$147,0))</f>
        <v>11</v>
      </c>
    </row>
    <row r="5" spans="1:3" x14ac:dyDescent="0.25">
      <c r="A5" t="s">
        <v>6</v>
      </c>
      <c r="B5" s="59">
        <v>3</v>
      </c>
      <c r="C5">
        <f>INDEX(Input!$E$148:$H$163,MATCH(data_Maintenance_Price!B5,Input!$D$148:$D$163,0),MATCH(data_Maintenance_Price!A5,Input!$E$147:$H$147,0))</f>
        <v>15.77</v>
      </c>
    </row>
    <row r="6" spans="1:3" x14ac:dyDescent="0.25">
      <c r="A6" t="s">
        <v>6</v>
      </c>
      <c r="B6" s="59" t="s">
        <v>13</v>
      </c>
      <c r="C6">
        <f>INDEX(Input!$E$148:$H$163,MATCH(data_Maintenance_Price!B6,Input!$D$148:$D$163,0),MATCH(data_Maintenance_Price!A6,Input!$E$147:$H$147,0))</f>
        <v>15.77</v>
      </c>
    </row>
    <row r="7" spans="1:3" x14ac:dyDescent="0.25">
      <c r="A7" t="s">
        <v>6</v>
      </c>
      <c r="B7" s="59" t="s">
        <v>14</v>
      </c>
      <c r="C7">
        <f>INDEX(Input!$E$148:$H$163,MATCH(data_Maintenance_Price!B7,Input!$D$148:$D$163,0),MATCH(data_Maintenance_Price!A7,Input!$E$147:$H$147,0))</f>
        <v>15.77</v>
      </c>
    </row>
    <row r="8" spans="1:3" x14ac:dyDescent="0.25">
      <c r="A8" t="s">
        <v>6</v>
      </c>
      <c r="B8" s="59" t="s">
        <v>15</v>
      </c>
      <c r="C8">
        <f>INDEX(Input!$E$148:$H$163,MATCH(data_Maintenance_Price!B8,Input!$D$148:$D$163,0),MATCH(data_Maintenance_Price!A8,Input!$E$147:$H$147,0))</f>
        <v>15.77</v>
      </c>
    </row>
    <row r="9" spans="1:3" x14ac:dyDescent="0.25">
      <c r="A9" t="s">
        <v>6</v>
      </c>
      <c r="B9" s="59" t="s">
        <v>16</v>
      </c>
      <c r="C9">
        <f>INDEX(Input!$E$148:$H$163,MATCH(data_Maintenance_Price!B9,Input!$D$148:$D$163,0),MATCH(data_Maintenance_Price!A9,Input!$E$147:$H$147,0))</f>
        <v>18.5</v>
      </c>
    </row>
    <row r="10" spans="1:3" x14ac:dyDescent="0.25">
      <c r="A10" t="s">
        <v>6</v>
      </c>
      <c r="B10" s="59" t="s">
        <v>17</v>
      </c>
      <c r="C10">
        <f>INDEX(Input!$E$148:$H$163,MATCH(data_Maintenance_Price!B10,Input!$D$148:$D$163,0),MATCH(data_Maintenance_Price!A10,Input!$E$147:$H$147,0))</f>
        <v>18.5</v>
      </c>
    </row>
    <row r="11" spans="1:3" x14ac:dyDescent="0.25">
      <c r="A11" t="s">
        <v>6</v>
      </c>
      <c r="B11" s="59" t="s">
        <v>18</v>
      </c>
      <c r="C11">
        <f>INDEX(Input!$E$148:$H$163,MATCH(data_Maintenance_Price!B11,Input!$D$148:$D$163,0),MATCH(data_Maintenance_Price!A11,Input!$E$147:$H$147,0))</f>
        <v>15.77</v>
      </c>
    </row>
    <row r="12" spans="1:3" x14ac:dyDescent="0.25">
      <c r="A12" t="s">
        <v>6</v>
      </c>
      <c r="B12" s="59" t="s">
        <v>19</v>
      </c>
      <c r="C12">
        <f>INDEX(Input!$E$148:$H$163,MATCH(data_Maintenance_Price!B12,Input!$D$148:$D$163,0),MATCH(data_Maintenance_Price!A12,Input!$E$147:$H$147,0))</f>
        <v>15.77</v>
      </c>
    </row>
    <row r="13" spans="1:3" x14ac:dyDescent="0.25">
      <c r="A13" t="s">
        <v>6</v>
      </c>
      <c r="B13" s="59" t="s">
        <v>20</v>
      </c>
      <c r="C13">
        <f>INDEX(Input!$E$148:$H$163,MATCH(data_Maintenance_Price!B13,Input!$D$148:$D$163,0),MATCH(data_Maintenance_Price!A13,Input!$E$147:$H$147,0))</f>
        <v>18.5</v>
      </c>
    </row>
    <row r="14" spans="1:3" x14ac:dyDescent="0.25">
      <c r="A14" t="s">
        <v>6</v>
      </c>
      <c r="B14" s="59" t="s">
        <v>21</v>
      </c>
      <c r="C14">
        <f>INDEX(Input!$E$148:$H$163,MATCH(data_Maintenance_Price!B14,Input!$D$148:$D$163,0),MATCH(data_Maintenance_Price!A14,Input!$E$147:$H$147,0))</f>
        <v>18.5</v>
      </c>
    </row>
    <row r="15" spans="1:3" x14ac:dyDescent="0.25">
      <c r="A15" t="s">
        <v>6</v>
      </c>
      <c r="B15" s="59">
        <v>11</v>
      </c>
      <c r="C15">
        <f>INDEX(Input!$E$148:$H$163,MATCH(data_Maintenance_Price!B15,Input!$D$148:$D$163,0),MATCH(data_Maintenance_Price!A15,Input!$E$147:$H$147,0))</f>
        <v>15.77</v>
      </c>
    </row>
    <row r="16" spans="1:3" x14ac:dyDescent="0.25">
      <c r="A16" t="s">
        <v>6</v>
      </c>
      <c r="B16" s="59">
        <v>12</v>
      </c>
      <c r="C16">
        <f>INDEX(Input!$E$148:$H$163,MATCH(data_Maintenance_Price!B16,Input!$D$148:$D$163,0),MATCH(data_Maintenance_Price!A16,Input!$E$147:$H$147,0))</f>
        <v>18.5</v>
      </c>
    </row>
    <row r="17" spans="1:3" x14ac:dyDescent="0.25">
      <c r="A17" t="s">
        <v>6</v>
      </c>
      <c r="B17" s="59">
        <v>16</v>
      </c>
      <c r="C17">
        <f>INDEX(Input!$E$148:$H$163,MATCH(data_Maintenance_Price!B17,Input!$D$148:$D$163,0),MATCH(data_Maintenance_Price!A17,Input!$E$147:$H$147,0))</f>
        <v>11.14</v>
      </c>
    </row>
    <row r="18" spans="1:3" x14ac:dyDescent="0.25">
      <c r="A18" t="s">
        <v>25</v>
      </c>
      <c r="B18" s="59">
        <v>0</v>
      </c>
      <c r="C18">
        <f>INDEX(Input!$E$148:$H$163,MATCH(data_Maintenance_Price!B18,Input!$D$148:$D$163,0),MATCH(data_Maintenance_Price!A18,Input!$E$147:$H$147,0))</f>
        <v>12.1</v>
      </c>
    </row>
    <row r="19" spans="1:3" x14ac:dyDescent="0.25">
      <c r="A19" t="s">
        <v>25</v>
      </c>
      <c r="B19" s="59">
        <v>1</v>
      </c>
      <c r="C19">
        <f>INDEX(Input!$E$148:$H$163,MATCH(data_Maintenance_Price!B19,Input!$D$148:$D$163,0),MATCH(data_Maintenance_Price!A19,Input!$E$147:$H$147,0))</f>
        <v>12.1</v>
      </c>
    </row>
    <row r="20" spans="1:3" x14ac:dyDescent="0.25">
      <c r="A20" t="s">
        <v>25</v>
      </c>
      <c r="B20" s="59">
        <v>2</v>
      </c>
      <c r="C20">
        <f>INDEX(Input!$E$148:$H$163,MATCH(data_Maintenance_Price!B20,Input!$D$148:$D$163,0),MATCH(data_Maintenance_Price!A20,Input!$E$147:$H$147,0))</f>
        <v>12.1</v>
      </c>
    </row>
    <row r="21" spans="1:3" x14ac:dyDescent="0.25">
      <c r="A21" t="s">
        <v>25</v>
      </c>
      <c r="B21" s="59">
        <v>3</v>
      </c>
      <c r="C21">
        <f>INDEX(Input!$E$148:$H$163,MATCH(data_Maintenance_Price!B21,Input!$D$148:$D$163,0),MATCH(data_Maintenance_Price!A21,Input!$E$147:$H$147,0))</f>
        <v>17.350000000000001</v>
      </c>
    </row>
    <row r="22" spans="1:3" x14ac:dyDescent="0.25">
      <c r="A22" t="s">
        <v>25</v>
      </c>
      <c r="B22" s="59" t="s">
        <v>13</v>
      </c>
      <c r="C22">
        <f>INDEX(Input!$E$148:$H$163,MATCH(data_Maintenance_Price!B22,Input!$D$148:$D$163,0),MATCH(data_Maintenance_Price!A22,Input!$E$147:$H$147,0))</f>
        <v>17.350000000000001</v>
      </c>
    </row>
    <row r="23" spans="1:3" x14ac:dyDescent="0.25">
      <c r="A23" t="s">
        <v>25</v>
      </c>
      <c r="B23" s="59" t="s">
        <v>14</v>
      </c>
      <c r="C23">
        <f>INDEX(Input!$E$148:$H$163,MATCH(data_Maintenance_Price!B23,Input!$D$148:$D$163,0),MATCH(data_Maintenance_Price!A23,Input!$E$147:$H$147,0))</f>
        <v>17.350000000000001</v>
      </c>
    </row>
    <row r="24" spans="1:3" x14ac:dyDescent="0.25">
      <c r="A24" t="s">
        <v>25</v>
      </c>
      <c r="B24" s="59" t="s">
        <v>15</v>
      </c>
      <c r="C24">
        <f>INDEX(Input!$E$148:$H$163,MATCH(data_Maintenance_Price!B24,Input!$D$148:$D$163,0),MATCH(data_Maintenance_Price!A24,Input!$E$147:$H$147,0))</f>
        <v>17.350000000000001</v>
      </c>
    </row>
    <row r="25" spans="1:3" x14ac:dyDescent="0.25">
      <c r="A25" t="s">
        <v>25</v>
      </c>
      <c r="B25" s="59" t="s">
        <v>16</v>
      </c>
      <c r="C25">
        <f>INDEX(Input!$E$148:$H$163,MATCH(data_Maintenance_Price!B25,Input!$D$148:$D$163,0),MATCH(data_Maintenance_Price!A25,Input!$E$147:$H$147,0))</f>
        <v>19.43</v>
      </c>
    </row>
    <row r="26" spans="1:3" x14ac:dyDescent="0.25">
      <c r="A26" t="s">
        <v>25</v>
      </c>
      <c r="B26" s="59" t="s">
        <v>17</v>
      </c>
      <c r="C26">
        <f>INDEX(Input!$E$148:$H$163,MATCH(data_Maintenance_Price!B26,Input!$D$148:$D$163,0),MATCH(data_Maintenance_Price!A26,Input!$E$147:$H$147,0))</f>
        <v>19.43</v>
      </c>
    </row>
    <row r="27" spans="1:3" x14ac:dyDescent="0.25">
      <c r="A27" t="s">
        <v>25</v>
      </c>
      <c r="B27" s="59" t="s">
        <v>18</v>
      </c>
      <c r="C27">
        <f>INDEX(Input!$E$148:$H$163,MATCH(data_Maintenance_Price!B27,Input!$D$148:$D$163,0),MATCH(data_Maintenance_Price!A27,Input!$E$147:$H$147,0))</f>
        <v>17.350000000000001</v>
      </c>
    </row>
    <row r="28" spans="1:3" x14ac:dyDescent="0.25">
      <c r="A28" t="s">
        <v>25</v>
      </c>
      <c r="B28" s="59" t="s">
        <v>19</v>
      </c>
      <c r="C28">
        <f>INDEX(Input!$E$148:$H$163,MATCH(data_Maintenance_Price!B28,Input!$D$148:$D$163,0),MATCH(data_Maintenance_Price!A28,Input!$E$147:$H$147,0))</f>
        <v>17.350000000000001</v>
      </c>
    </row>
    <row r="29" spans="1:3" x14ac:dyDescent="0.25">
      <c r="A29" t="s">
        <v>25</v>
      </c>
      <c r="B29" s="59" t="s">
        <v>20</v>
      </c>
      <c r="C29">
        <f>INDEX(Input!$E$148:$H$163,MATCH(data_Maintenance_Price!B29,Input!$D$148:$D$163,0),MATCH(data_Maintenance_Price!A29,Input!$E$147:$H$147,0))</f>
        <v>19.43</v>
      </c>
    </row>
    <row r="30" spans="1:3" x14ac:dyDescent="0.25">
      <c r="A30" t="s">
        <v>25</v>
      </c>
      <c r="B30" s="59" t="s">
        <v>21</v>
      </c>
      <c r="C30">
        <f>INDEX(Input!$E$148:$H$163,MATCH(data_Maintenance_Price!B30,Input!$D$148:$D$163,0),MATCH(data_Maintenance_Price!A30,Input!$E$147:$H$147,0))</f>
        <v>19.43</v>
      </c>
    </row>
    <row r="31" spans="1:3" x14ac:dyDescent="0.25">
      <c r="A31" t="s">
        <v>25</v>
      </c>
      <c r="B31" s="59">
        <v>11</v>
      </c>
      <c r="C31">
        <f>INDEX(Input!$E$148:$H$163,MATCH(data_Maintenance_Price!B31,Input!$D$148:$D$163,0),MATCH(data_Maintenance_Price!A31,Input!$E$147:$H$147,0))</f>
        <v>17.350000000000001</v>
      </c>
    </row>
    <row r="32" spans="1:3" x14ac:dyDescent="0.25">
      <c r="A32" t="s">
        <v>25</v>
      </c>
      <c r="B32" s="59">
        <v>12</v>
      </c>
      <c r="C32">
        <f>INDEX(Input!$E$148:$H$163,MATCH(data_Maintenance_Price!B32,Input!$D$148:$D$163,0),MATCH(data_Maintenance_Price!A32,Input!$E$147:$H$147,0))</f>
        <v>19.43</v>
      </c>
    </row>
    <row r="33" spans="1:3" x14ac:dyDescent="0.25">
      <c r="A33" t="s">
        <v>25</v>
      </c>
      <c r="B33" s="59">
        <v>16</v>
      </c>
      <c r="C33">
        <f>INDEX(Input!$E$148:$H$163,MATCH(data_Maintenance_Price!B33,Input!$D$148:$D$163,0),MATCH(data_Maintenance_Price!A33,Input!$E$147:$H$147,0))</f>
        <v>11.93</v>
      </c>
    </row>
    <row r="34" spans="1:3" x14ac:dyDescent="0.25">
      <c r="A34" t="s">
        <v>38</v>
      </c>
      <c r="B34" s="59">
        <v>0</v>
      </c>
      <c r="C34">
        <f>INDEX(Input!$E$148:$H$163,MATCH(data_Maintenance_Price!B34,Input!$D$148:$D$163,0),MATCH(data_Maintenance_Price!A34,Input!$E$147:$H$147,0))</f>
        <v>7.5</v>
      </c>
    </row>
    <row r="35" spans="1:3" x14ac:dyDescent="0.25">
      <c r="A35" t="s">
        <v>38</v>
      </c>
      <c r="B35" s="59">
        <v>1</v>
      </c>
      <c r="C35">
        <f>INDEX(Input!$E$148:$H$163,MATCH(data_Maintenance_Price!B35,Input!$D$148:$D$163,0),MATCH(data_Maintenance_Price!A35,Input!$E$147:$H$147,0))</f>
        <v>7.5</v>
      </c>
    </row>
    <row r="36" spans="1:3" x14ac:dyDescent="0.25">
      <c r="A36" t="s">
        <v>38</v>
      </c>
      <c r="B36" s="59">
        <v>2</v>
      </c>
      <c r="C36">
        <f>INDEX(Input!$E$148:$H$163,MATCH(data_Maintenance_Price!B36,Input!$D$148:$D$163,0),MATCH(data_Maintenance_Price!A36,Input!$E$147:$H$147,0))</f>
        <v>7.5</v>
      </c>
    </row>
    <row r="37" spans="1:3" x14ac:dyDescent="0.25">
      <c r="A37" t="s">
        <v>38</v>
      </c>
      <c r="B37" s="59">
        <v>3</v>
      </c>
      <c r="C37">
        <f>INDEX(Input!$E$148:$H$163,MATCH(data_Maintenance_Price!B37,Input!$D$148:$D$163,0),MATCH(data_Maintenance_Price!A37,Input!$E$147:$H$147,0))</f>
        <v>10.51</v>
      </c>
    </row>
    <row r="38" spans="1:3" x14ac:dyDescent="0.25">
      <c r="A38" t="s">
        <v>38</v>
      </c>
      <c r="B38" s="59" t="s">
        <v>13</v>
      </c>
      <c r="C38">
        <f>INDEX(Input!$E$148:$H$163,MATCH(data_Maintenance_Price!B38,Input!$D$148:$D$163,0),MATCH(data_Maintenance_Price!A38,Input!$E$147:$H$147,0))</f>
        <v>10.51</v>
      </c>
    </row>
    <row r="39" spans="1:3" x14ac:dyDescent="0.25">
      <c r="A39" t="s">
        <v>38</v>
      </c>
      <c r="B39" s="59" t="s">
        <v>14</v>
      </c>
      <c r="C39">
        <f>INDEX(Input!$E$148:$H$163,MATCH(data_Maintenance_Price!B39,Input!$D$148:$D$163,0),MATCH(data_Maintenance_Price!A39,Input!$E$147:$H$147,0))</f>
        <v>10.51</v>
      </c>
    </row>
    <row r="40" spans="1:3" x14ac:dyDescent="0.25">
      <c r="A40" t="s">
        <v>38</v>
      </c>
      <c r="B40" s="59" t="s">
        <v>15</v>
      </c>
      <c r="C40">
        <f>INDEX(Input!$E$148:$H$163,MATCH(data_Maintenance_Price!B40,Input!$D$148:$D$163,0),MATCH(data_Maintenance_Price!A40,Input!$E$147:$H$147,0))</f>
        <v>10.51</v>
      </c>
    </row>
    <row r="41" spans="1:3" x14ac:dyDescent="0.25">
      <c r="A41" t="s">
        <v>38</v>
      </c>
      <c r="B41" s="59" t="s">
        <v>16</v>
      </c>
      <c r="C41">
        <f>INDEX(Input!$E$148:$H$163,MATCH(data_Maintenance_Price!B41,Input!$D$148:$D$163,0),MATCH(data_Maintenance_Price!A41,Input!$E$147:$H$147,0))</f>
        <v>13.24</v>
      </c>
    </row>
    <row r="42" spans="1:3" x14ac:dyDescent="0.25">
      <c r="A42" t="s">
        <v>38</v>
      </c>
      <c r="B42" s="59" t="s">
        <v>17</v>
      </c>
      <c r="C42">
        <f>INDEX(Input!$E$148:$H$163,MATCH(data_Maintenance_Price!B42,Input!$D$148:$D$163,0),MATCH(data_Maintenance_Price!A42,Input!$E$147:$H$147,0))</f>
        <v>13.24</v>
      </c>
    </row>
    <row r="43" spans="1:3" x14ac:dyDescent="0.25">
      <c r="A43" t="s">
        <v>38</v>
      </c>
      <c r="B43" s="59" t="s">
        <v>18</v>
      </c>
      <c r="C43">
        <f>INDEX(Input!$E$148:$H$163,MATCH(data_Maintenance_Price!B43,Input!$D$148:$D$163,0),MATCH(data_Maintenance_Price!A43,Input!$E$147:$H$147,0))</f>
        <v>10.51</v>
      </c>
    </row>
    <row r="44" spans="1:3" x14ac:dyDescent="0.25">
      <c r="A44" t="s">
        <v>38</v>
      </c>
      <c r="B44" s="59" t="s">
        <v>19</v>
      </c>
      <c r="C44">
        <f>INDEX(Input!$E$148:$H$163,MATCH(data_Maintenance_Price!B44,Input!$D$148:$D$163,0),MATCH(data_Maintenance_Price!A44,Input!$E$147:$H$147,0))</f>
        <v>10.51</v>
      </c>
    </row>
    <row r="45" spans="1:3" x14ac:dyDescent="0.25">
      <c r="A45" t="s">
        <v>38</v>
      </c>
      <c r="B45" s="59" t="s">
        <v>20</v>
      </c>
      <c r="C45">
        <f>INDEX(Input!$E$148:$H$163,MATCH(data_Maintenance_Price!B45,Input!$D$148:$D$163,0),MATCH(data_Maintenance_Price!A45,Input!$E$147:$H$147,0))</f>
        <v>13.24</v>
      </c>
    </row>
    <row r="46" spans="1:3" x14ac:dyDescent="0.25">
      <c r="A46" t="s">
        <v>38</v>
      </c>
      <c r="B46" s="59" t="s">
        <v>21</v>
      </c>
      <c r="C46">
        <f>INDEX(Input!$E$148:$H$163,MATCH(data_Maintenance_Price!B46,Input!$D$148:$D$163,0),MATCH(data_Maintenance_Price!A46,Input!$E$147:$H$147,0))</f>
        <v>13.24</v>
      </c>
    </row>
    <row r="47" spans="1:3" x14ac:dyDescent="0.25">
      <c r="A47" t="s">
        <v>38</v>
      </c>
      <c r="B47" s="59">
        <v>11</v>
      </c>
      <c r="C47">
        <f>INDEX(Input!$E$148:$H$163,MATCH(data_Maintenance_Price!B47,Input!$D$148:$D$163,0),MATCH(data_Maintenance_Price!A47,Input!$E$147:$H$147,0))</f>
        <v>10.51</v>
      </c>
    </row>
    <row r="48" spans="1:3" x14ac:dyDescent="0.25">
      <c r="A48" t="s">
        <v>38</v>
      </c>
      <c r="B48" s="59">
        <v>12</v>
      </c>
      <c r="C48">
        <f>INDEX(Input!$E$148:$H$163,MATCH(data_Maintenance_Price!B48,Input!$D$148:$D$163,0),MATCH(data_Maintenance_Price!A48,Input!$E$147:$H$147,0))</f>
        <v>13.24</v>
      </c>
    </row>
    <row r="49" spans="1:3" x14ac:dyDescent="0.25">
      <c r="A49" t="s">
        <v>38</v>
      </c>
      <c r="B49" s="59">
        <v>16</v>
      </c>
      <c r="C49">
        <f>INDEX(Input!$E$148:$H$163,MATCH(data_Maintenance_Price!B49,Input!$D$148:$D$163,0),MATCH(data_Maintenance_Price!A49,Input!$E$147:$H$147,0))</f>
        <v>7.73</v>
      </c>
    </row>
    <row r="50" spans="1:3" x14ac:dyDescent="0.25">
      <c r="A50" t="s">
        <v>39</v>
      </c>
      <c r="B50" s="59">
        <v>0</v>
      </c>
      <c r="C50">
        <f>INDEX(Input!$E$148:$H$163,MATCH(data_Maintenance_Price!B50,Input!$D$148:$D$163,0),MATCH(data_Maintenance_Price!A50,Input!$E$147:$H$147,0))</f>
        <v>7.89</v>
      </c>
    </row>
    <row r="51" spans="1:3" x14ac:dyDescent="0.25">
      <c r="A51" t="s">
        <v>39</v>
      </c>
      <c r="B51" s="59">
        <v>1</v>
      </c>
      <c r="C51">
        <f>INDEX(Input!$E$148:$H$163,MATCH(data_Maintenance_Price!B51,Input!$D$148:$D$163,0),MATCH(data_Maintenance_Price!A51,Input!$E$147:$H$147,0))</f>
        <v>7.89</v>
      </c>
    </row>
    <row r="52" spans="1:3" x14ac:dyDescent="0.25">
      <c r="A52" t="s">
        <v>39</v>
      </c>
      <c r="B52" s="59">
        <v>2</v>
      </c>
      <c r="C52">
        <f>INDEX(Input!$E$148:$H$163,MATCH(data_Maintenance_Price!B52,Input!$D$148:$D$163,0),MATCH(data_Maintenance_Price!A52,Input!$E$147:$H$147,0))</f>
        <v>7.89</v>
      </c>
    </row>
    <row r="53" spans="1:3" x14ac:dyDescent="0.25">
      <c r="A53" t="s">
        <v>39</v>
      </c>
      <c r="B53" s="59">
        <v>3</v>
      </c>
      <c r="C53">
        <f>INDEX(Input!$E$148:$H$163,MATCH(data_Maintenance_Price!B53,Input!$D$148:$D$163,0),MATCH(data_Maintenance_Price!A53,Input!$E$147:$H$147,0))</f>
        <v>11.05</v>
      </c>
    </row>
    <row r="54" spans="1:3" x14ac:dyDescent="0.25">
      <c r="A54" t="s">
        <v>39</v>
      </c>
      <c r="B54" s="59" t="s">
        <v>13</v>
      </c>
      <c r="C54">
        <f>INDEX(Input!$E$148:$H$163,MATCH(data_Maintenance_Price!B54,Input!$D$148:$D$163,0),MATCH(data_Maintenance_Price!A54,Input!$E$147:$H$147,0))</f>
        <v>11.05</v>
      </c>
    </row>
    <row r="55" spans="1:3" x14ac:dyDescent="0.25">
      <c r="A55" t="s">
        <v>39</v>
      </c>
      <c r="B55" s="59" t="s">
        <v>14</v>
      </c>
      <c r="C55">
        <f>INDEX(Input!$E$148:$H$163,MATCH(data_Maintenance_Price!B55,Input!$D$148:$D$163,0),MATCH(data_Maintenance_Price!A55,Input!$E$147:$H$147,0))</f>
        <v>11.05</v>
      </c>
    </row>
    <row r="56" spans="1:3" x14ac:dyDescent="0.25">
      <c r="A56" t="s">
        <v>39</v>
      </c>
      <c r="B56" s="59" t="s">
        <v>15</v>
      </c>
      <c r="C56">
        <f>INDEX(Input!$E$148:$H$163,MATCH(data_Maintenance_Price!B56,Input!$D$148:$D$163,0),MATCH(data_Maintenance_Price!A56,Input!$E$147:$H$147,0))</f>
        <v>11.05</v>
      </c>
    </row>
    <row r="57" spans="1:3" x14ac:dyDescent="0.25">
      <c r="A57" t="s">
        <v>39</v>
      </c>
      <c r="B57" s="59" t="s">
        <v>16</v>
      </c>
      <c r="C57">
        <f>INDEX(Input!$E$148:$H$163,MATCH(data_Maintenance_Price!B57,Input!$D$148:$D$163,0),MATCH(data_Maintenance_Price!A57,Input!$E$147:$H$147,0))</f>
        <v>13.78</v>
      </c>
    </row>
    <row r="58" spans="1:3" x14ac:dyDescent="0.25">
      <c r="A58" t="s">
        <v>39</v>
      </c>
      <c r="B58" s="59" t="s">
        <v>17</v>
      </c>
      <c r="C58">
        <f>INDEX(Input!$E$148:$H$163,MATCH(data_Maintenance_Price!B58,Input!$D$148:$D$163,0),MATCH(data_Maintenance_Price!A58,Input!$E$147:$H$147,0))</f>
        <v>13.78</v>
      </c>
    </row>
    <row r="59" spans="1:3" x14ac:dyDescent="0.25">
      <c r="A59" t="s">
        <v>39</v>
      </c>
      <c r="B59" s="59" t="s">
        <v>18</v>
      </c>
      <c r="C59">
        <f>INDEX(Input!$E$148:$H$163,MATCH(data_Maintenance_Price!B59,Input!$D$148:$D$163,0),MATCH(data_Maintenance_Price!A59,Input!$E$147:$H$147,0))</f>
        <v>11.05</v>
      </c>
    </row>
    <row r="60" spans="1:3" x14ac:dyDescent="0.25">
      <c r="A60" t="s">
        <v>39</v>
      </c>
      <c r="B60" s="59" t="s">
        <v>19</v>
      </c>
      <c r="C60">
        <f>INDEX(Input!$E$148:$H$163,MATCH(data_Maintenance_Price!B60,Input!$D$148:$D$163,0),MATCH(data_Maintenance_Price!A60,Input!$E$147:$H$147,0))</f>
        <v>11.05</v>
      </c>
    </row>
    <row r="61" spans="1:3" x14ac:dyDescent="0.25">
      <c r="A61" t="s">
        <v>39</v>
      </c>
      <c r="B61" s="59" t="s">
        <v>20</v>
      </c>
      <c r="C61">
        <f>INDEX(Input!$E$148:$H$163,MATCH(data_Maintenance_Price!B61,Input!$D$148:$D$163,0),MATCH(data_Maintenance_Price!A61,Input!$E$147:$H$147,0))</f>
        <v>13.78</v>
      </c>
    </row>
    <row r="62" spans="1:3" x14ac:dyDescent="0.25">
      <c r="A62" t="s">
        <v>39</v>
      </c>
      <c r="B62" s="59" t="s">
        <v>21</v>
      </c>
      <c r="C62">
        <f>INDEX(Input!$E$148:$H$163,MATCH(data_Maintenance_Price!B62,Input!$D$148:$D$163,0),MATCH(data_Maintenance_Price!A62,Input!$E$147:$H$147,0))</f>
        <v>13.78</v>
      </c>
    </row>
    <row r="63" spans="1:3" x14ac:dyDescent="0.25">
      <c r="A63" t="s">
        <v>39</v>
      </c>
      <c r="B63" s="59">
        <v>11</v>
      </c>
      <c r="C63">
        <f>INDEX(Input!$E$148:$H$163,MATCH(data_Maintenance_Price!B63,Input!$D$148:$D$163,0),MATCH(data_Maintenance_Price!A63,Input!$E$147:$H$147,0))</f>
        <v>11.05</v>
      </c>
    </row>
    <row r="64" spans="1:3" x14ac:dyDescent="0.25">
      <c r="A64" t="s">
        <v>39</v>
      </c>
      <c r="B64" s="59">
        <v>12</v>
      </c>
      <c r="C64">
        <f>INDEX(Input!$E$148:$H$163,MATCH(data_Maintenance_Price!B64,Input!$D$148:$D$163,0),MATCH(data_Maintenance_Price!A64,Input!$E$147:$H$147,0))</f>
        <v>13.78</v>
      </c>
    </row>
    <row r="65" spans="1:3" x14ac:dyDescent="0.25">
      <c r="A65" t="s">
        <v>39</v>
      </c>
      <c r="B65" s="59">
        <v>16</v>
      </c>
      <c r="C65">
        <f>INDEX(Input!$E$148:$H$163,MATCH(data_Maintenance_Price!B65,Input!$D$148:$D$163,0),MATCH(data_Maintenance_Price!A65,Input!$E$147:$H$147,0))</f>
        <v>7.73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684B6-0340-454F-ABAB-DE3974FFA1A6}">
  <sheetPr codeName="Hoja13"/>
  <dimension ref="A1:B8"/>
  <sheetViews>
    <sheetView workbookViewId="0">
      <selection activeCell="C9" sqref="C9"/>
    </sheetView>
  </sheetViews>
  <sheetFormatPr baseColWidth="10" defaultRowHeight="15" x14ac:dyDescent="0.25"/>
  <sheetData>
    <row r="1" spans="1:2" x14ac:dyDescent="0.25">
      <c r="A1" t="s">
        <v>0</v>
      </c>
      <c r="B1" s="3" t="s">
        <v>126</v>
      </c>
    </row>
    <row r="2" spans="1:2" x14ac:dyDescent="0.25">
      <c r="A2" t="s">
        <v>6</v>
      </c>
      <c r="B2" s="3">
        <f>Input!E315</f>
        <v>0.26530612199999998</v>
      </c>
    </row>
    <row r="3" spans="1:2" x14ac:dyDescent="0.25">
      <c r="A3" t="s">
        <v>25</v>
      </c>
      <c r="B3" s="3">
        <f>Input!E316</f>
        <v>0.17299999999999999</v>
      </c>
    </row>
    <row r="4" spans="1:2" x14ac:dyDescent="0.25">
      <c r="A4" t="s">
        <v>26</v>
      </c>
      <c r="B4" s="3">
        <f>Input!E317</f>
        <v>6.055E-2</v>
      </c>
    </row>
    <row r="5" spans="1:2" x14ac:dyDescent="0.25">
      <c r="A5" t="s">
        <v>38</v>
      </c>
      <c r="B5" s="3">
        <f>Input!E318</f>
        <v>0</v>
      </c>
    </row>
    <row r="6" spans="1:2" x14ac:dyDescent="0.25">
      <c r="A6" t="s">
        <v>39</v>
      </c>
      <c r="B6" s="3">
        <f>Input!E319</f>
        <v>0</v>
      </c>
    </row>
    <row r="7" spans="1:2" x14ac:dyDescent="0.25">
      <c r="A7" t="s">
        <v>127</v>
      </c>
      <c r="B7" s="3">
        <f>Input!E320</f>
        <v>0</v>
      </c>
    </row>
    <row r="8" spans="1:2" x14ac:dyDescent="0.25">
      <c r="A8" t="s">
        <v>68</v>
      </c>
      <c r="B8" s="3">
        <f>Input!E321</f>
        <v>2.6499999999999999E-2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07527-D963-42E7-A752-FA8E47CF4647}">
  <sheetPr codeName="Hoja14"/>
  <dimension ref="A1:C82"/>
  <sheetViews>
    <sheetView topLeftCell="A34" workbookViewId="0">
      <selection activeCell="L61" sqref="L61"/>
    </sheetView>
  </sheetViews>
  <sheetFormatPr baseColWidth="10" defaultRowHeight="15" x14ac:dyDescent="0.25"/>
  <cols>
    <col min="3" max="3" width="17.7109375" customWidth="1"/>
  </cols>
  <sheetData>
    <row r="1" spans="1:3" x14ac:dyDescent="0.25">
      <c r="A1" t="s">
        <v>3</v>
      </c>
      <c r="B1" t="s">
        <v>2</v>
      </c>
      <c r="C1" t="s">
        <v>124</v>
      </c>
    </row>
    <row r="2" spans="1:3" x14ac:dyDescent="0.25">
      <c r="A2" t="s">
        <v>66</v>
      </c>
      <c r="B2">
        <v>2024</v>
      </c>
      <c r="C2">
        <f>VLOOKUP(A2,Input!$D$308:$E$310,2,FALSE)</f>
        <v>0</v>
      </c>
    </row>
    <row r="3" spans="1:3" x14ac:dyDescent="0.25">
      <c r="A3" t="s">
        <v>66</v>
      </c>
      <c r="B3">
        <v>2025</v>
      </c>
      <c r="C3">
        <f>VLOOKUP(A3,Input!$D$308:$E$310,2,FALSE)</f>
        <v>0</v>
      </c>
    </row>
    <row r="4" spans="1:3" x14ac:dyDescent="0.25">
      <c r="A4" t="s">
        <v>66</v>
      </c>
      <c r="B4">
        <v>2026</v>
      </c>
      <c r="C4">
        <f>VLOOKUP(A4,Input!$D$308:$E$310,2,FALSE)</f>
        <v>0</v>
      </c>
    </row>
    <row r="5" spans="1:3" x14ac:dyDescent="0.25">
      <c r="A5" t="s">
        <v>66</v>
      </c>
      <c r="B5">
        <v>2027</v>
      </c>
      <c r="C5">
        <f>VLOOKUP(A5,Input!$D$308:$E$310,2,FALSE)</f>
        <v>0</v>
      </c>
    </row>
    <row r="6" spans="1:3" x14ac:dyDescent="0.25">
      <c r="A6" t="s">
        <v>66</v>
      </c>
      <c r="B6">
        <v>2028</v>
      </c>
      <c r="C6">
        <f>VLOOKUP(A6,Input!$D$308:$E$310,2,FALSE)</f>
        <v>0</v>
      </c>
    </row>
    <row r="7" spans="1:3" x14ac:dyDescent="0.25">
      <c r="A7" t="s">
        <v>66</v>
      </c>
      <c r="B7">
        <v>2029</v>
      </c>
      <c r="C7">
        <f>VLOOKUP(A7,Input!$D$308:$E$310,2,FALSE)</f>
        <v>0</v>
      </c>
    </row>
    <row r="8" spans="1:3" x14ac:dyDescent="0.25">
      <c r="A8" t="s">
        <v>66</v>
      </c>
      <c r="B8">
        <v>2030</v>
      </c>
      <c r="C8">
        <f>VLOOKUP(A8,Input!$D$308:$E$310,2,FALSE)</f>
        <v>0</v>
      </c>
    </row>
    <row r="9" spans="1:3" x14ac:dyDescent="0.25">
      <c r="A9" t="s">
        <v>66</v>
      </c>
      <c r="B9">
        <v>2031</v>
      </c>
      <c r="C9">
        <f>VLOOKUP(A9,Input!$D$308:$E$310,2,FALSE)</f>
        <v>0</v>
      </c>
    </row>
    <row r="10" spans="1:3" x14ac:dyDescent="0.25">
      <c r="A10" t="s">
        <v>66</v>
      </c>
      <c r="B10">
        <v>2032</v>
      </c>
      <c r="C10">
        <f>VLOOKUP(A10,Input!$D$308:$E$310,2,FALSE)</f>
        <v>0</v>
      </c>
    </row>
    <row r="11" spans="1:3" x14ac:dyDescent="0.25">
      <c r="A11" t="s">
        <v>66</v>
      </c>
      <c r="B11">
        <v>2033</v>
      </c>
      <c r="C11">
        <f>VLOOKUP(A11,Input!$D$308:$E$310,2,FALSE)</f>
        <v>0</v>
      </c>
    </row>
    <row r="12" spans="1:3" x14ac:dyDescent="0.25">
      <c r="A12" t="s">
        <v>66</v>
      </c>
      <c r="B12">
        <v>2034</v>
      </c>
      <c r="C12">
        <f>VLOOKUP(A12,Input!$D$308:$E$310,2,FALSE)</f>
        <v>0</v>
      </c>
    </row>
    <row r="13" spans="1:3" x14ac:dyDescent="0.25">
      <c r="A13" t="s">
        <v>66</v>
      </c>
      <c r="B13">
        <v>2035</v>
      </c>
      <c r="C13">
        <f>VLOOKUP(A13,Input!$D$308:$E$310,2,FALSE)</f>
        <v>0</v>
      </c>
    </row>
    <row r="14" spans="1:3" x14ac:dyDescent="0.25">
      <c r="A14" t="s">
        <v>66</v>
      </c>
      <c r="B14">
        <v>2036</v>
      </c>
      <c r="C14">
        <f>VLOOKUP(A14,Input!$D$308:$E$310,2,FALSE)</f>
        <v>0</v>
      </c>
    </row>
    <row r="15" spans="1:3" x14ac:dyDescent="0.25">
      <c r="A15" t="s">
        <v>66</v>
      </c>
      <c r="B15">
        <v>2037</v>
      </c>
      <c r="C15">
        <f>VLOOKUP(A15,Input!$D$308:$E$310,2,FALSE)</f>
        <v>0</v>
      </c>
    </row>
    <row r="16" spans="1:3" x14ac:dyDescent="0.25">
      <c r="A16" t="s">
        <v>66</v>
      </c>
      <c r="B16">
        <v>2038</v>
      </c>
      <c r="C16">
        <f>VLOOKUP(A16,Input!$D$308:$E$310,2,FALSE)</f>
        <v>0</v>
      </c>
    </row>
    <row r="17" spans="1:3" x14ac:dyDescent="0.25">
      <c r="A17" t="s">
        <v>66</v>
      </c>
      <c r="B17">
        <v>2039</v>
      </c>
      <c r="C17">
        <f>VLOOKUP(A17,Input!$D$308:$E$310,2,FALSE)</f>
        <v>0</v>
      </c>
    </row>
    <row r="18" spans="1:3" x14ac:dyDescent="0.25">
      <c r="A18" t="s">
        <v>66</v>
      </c>
      <c r="B18">
        <v>2040</v>
      </c>
      <c r="C18">
        <f>VLOOKUP(A18,Input!$D$308:$E$310,2,FALSE)</f>
        <v>0</v>
      </c>
    </row>
    <row r="19" spans="1:3" x14ac:dyDescent="0.25">
      <c r="A19" t="s">
        <v>66</v>
      </c>
      <c r="B19">
        <v>2041</v>
      </c>
      <c r="C19">
        <f>VLOOKUP(A19,Input!$D$308:$E$310,2,FALSE)</f>
        <v>0</v>
      </c>
    </row>
    <row r="20" spans="1:3" x14ac:dyDescent="0.25">
      <c r="A20" t="s">
        <v>66</v>
      </c>
      <c r="B20">
        <v>2042</v>
      </c>
      <c r="C20">
        <f>VLOOKUP(A20,Input!$D$308:$E$310,2,FALSE)</f>
        <v>0</v>
      </c>
    </row>
    <row r="21" spans="1:3" x14ac:dyDescent="0.25">
      <c r="A21" t="s">
        <v>66</v>
      </c>
      <c r="B21">
        <v>2043</v>
      </c>
      <c r="C21">
        <f>VLOOKUP(A21,Input!$D$308:$E$310,2,FALSE)</f>
        <v>0</v>
      </c>
    </row>
    <row r="22" spans="1:3" x14ac:dyDescent="0.25">
      <c r="A22" t="s">
        <v>66</v>
      </c>
      <c r="B22">
        <v>2044</v>
      </c>
      <c r="C22">
        <f>VLOOKUP(A22,Input!$D$308:$E$310,2,FALSE)</f>
        <v>0</v>
      </c>
    </row>
    <row r="23" spans="1:3" x14ac:dyDescent="0.25">
      <c r="A23" t="s">
        <v>66</v>
      </c>
      <c r="B23">
        <v>2045</v>
      </c>
      <c r="C23">
        <f>VLOOKUP(A23,Input!$D$308:$E$310,2,FALSE)</f>
        <v>0</v>
      </c>
    </row>
    <row r="24" spans="1:3" x14ac:dyDescent="0.25">
      <c r="A24" t="s">
        <v>66</v>
      </c>
      <c r="B24">
        <v>2046</v>
      </c>
      <c r="C24">
        <f>VLOOKUP(A24,Input!$D$308:$E$310,2,FALSE)</f>
        <v>0</v>
      </c>
    </row>
    <row r="25" spans="1:3" x14ac:dyDescent="0.25">
      <c r="A25" t="s">
        <v>66</v>
      </c>
      <c r="B25">
        <v>2047</v>
      </c>
      <c r="C25">
        <f>VLOOKUP(A25,Input!$D$308:$E$310,2,FALSE)</f>
        <v>0</v>
      </c>
    </row>
    <row r="26" spans="1:3" x14ac:dyDescent="0.25">
      <c r="A26" t="s">
        <v>66</v>
      </c>
      <c r="B26">
        <v>2048</v>
      </c>
      <c r="C26">
        <f>VLOOKUP(A26,Input!$D$308:$E$310,2,FALSE)</f>
        <v>0</v>
      </c>
    </row>
    <row r="27" spans="1:3" x14ac:dyDescent="0.25">
      <c r="A27" t="s">
        <v>66</v>
      </c>
      <c r="B27">
        <v>2049</v>
      </c>
      <c r="C27">
        <f>VLOOKUP(A27,Input!$D$308:$E$310,2,FALSE)</f>
        <v>0</v>
      </c>
    </row>
    <row r="28" spans="1:3" x14ac:dyDescent="0.25">
      <c r="A28" t="s">
        <v>66</v>
      </c>
      <c r="B28">
        <v>2050</v>
      </c>
      <c r="C28">
        <f>VLOOKUP(A28,Input!$D$308:$E$310,2,FALSE)</f>
        <v>0</v>
      </c>
    </row>
    <row r="29" spans="1:3" x14ac:dyDescent="0.25">
      <c r="A29" t="s">
        <v>8</v>
      </c>
      <c r="B29">
        <v>2024</v>
      </c>
      <c r="C29">
        <f>VLOOKUP(A29,Input!$D$308:$E$310,2,FALSE)</f>
        <v>45</v>
      </c>
    </row>
    <row r="30" spans="1:3" x14ac:dyDescent="0.25">
      <c r="A30" t="s">
        <v>8</v>
      </c>
      <c r="B30">
        <v>2025</v>
      </c>
      <c r="C30">
        <f>VLOOKUP(A30,Input!$D$308:$E$310,2,FALSE)</f>
        <v>45</v>
      </c>
    </row>
    <row r="31" spans="1:3" x14ac:dyDescent="0.25">
      <c r="A31" t="s">
        <v>8</v>
      </c>
      <c r="B31">
        <v>2026</v>
      </c>
      <c r="C31">
        <f>VLOOKUP(A31,Input!$D$308:$E$310,2,FALSE)</f>
        <v>45</v>
      </c>
    </row>
    <row r="32" spans="1:3" x14ac:dyDescent="0.25">
      <c r="A32" t="s">
        <v>8</v>
      </c>
      <c r="B32">
        <v>2027</v>
      </c>
      <c r="C32">
        <f>VLOOKUP(A32,Input!$D$308:$E$310,2,FALSE)</f>
        <v>45</v>
      </c>
    </row>
    <row r="33" spans="1:3" x14ac:dyDescent="0.25">
      <c r="A33" t="s">
        <v>8</v>
      </c>
      <c r="B33">
        <v>2028</v>
      </c>
      <c r="C33">
        <f>VLOOKUP(A33,Input!$D$308:$E$310,2,FALSE)</f>
        <v>45</v>
      </c>
    </row>
    <row r="34" spans="1:3" x14ac:dyDescent="0.25">
      <c r="A34" t="s">
        <v>8</v>
      </c>
      <c r="B34">
        <v>2029</v>
      </c>
      <c r="C34">
        <f>VLOOKUP(A34,Input!$D$308:$E$310,2,FALSE)</f>
        <v>45</v>
      </c>
    </row>
    <row r="35" spans="1:3" x14ac:dyDescent="0.25">
      <c r="A35" t="s">
        <v>8</v>
      </c>
      <c r="B35">
        <v>2030</v>
      </c>
      <c r="C35">
        <f>VLOOKUP(A35,Input!$D$308:$E$310,2,FALSE)</f>
        <v>45</v>
      </c>
    </row>
    <row r="36" spans="1:3" x14ac:dyDescent="0.25">
      <c r="A36" t="s">
        <v>8</v>
      </c>
      <c r="B36">
        <v>2031</v>
      </c>
      <c r="C36">
        <f>VLOOKUP(A36,Input!$D$308:$E$310,2,FALSE)</f>
        <v>45</v>
      </c>
    </row>
    <row r="37" spans="1:3" x14ac:dyDescent="0.25">
      <c r="A37" t="s">
        <v>8</v>
      </c>
      <c r="B37">
        <v>2032</v>
      </c>
      <c r="C37">
        <f>VLOOKUP(A37,Input!$D$308:$E$310,2,FALSE)</f>
        <v>45</v>
      </c>
    </row>
    <row r="38" spans="1:3" x14ac:dyDescent="0.25">
      <c r="A38" t="s">
        <v>8</v>
      </c>
      <c r="B38">
        <v>2033</v>
      </c>
      <c r="C38">
        <f>VLOOKUP(A38,Input!$D$308:$E$310,2,FALSE)</f>
        <v>45</v>
      </c>
    </row>
    <row r="39" spans="1:3" x14ac:dyDescent="0.25">
      <c r="A39" t="s">
        <v>8</v>
      </c>
      <c r="B39">
        <v>2034</v>
      </c>
      <c r="C39">
        <f>VLOOKUP(A39,Input!$D$308:$E$310,2,FALSE)</f>
        <v>45</v>
      </c>
    </row>
    <row r="40" spans="1:3" x14ac:dyDescent="0.25">
      <c r="A40" t="s">
        <v>8</v>
      </c>
      <c r="B40">
        <v>2035</v>
      </c>
      <c r="C40">
        <f>VLOOKUP(A40,Input!$D$308:$E$310,2,FALSE)</f>
        <v>45</v>
      </c>
    </row>
    <row r="41" spans="1:3" x14ac:dyDescent="0.25">
      <c r="A41" t="s">
        <v>8</v>
      </c>
      <c r="B41">
        <v>2036</v>
      </c>
      <c r="C41">
        <f>VLOOKUP(A41,Input!$D$308:$E$310,2,FALSE)</f>
        <v>45</v>
      </c>
    </row>
    <row r="42" spans="1:3" x14ac:dyDescent="0.25">
      <c r="A42" t="s">
        <v>8</v>
      </c>
      <c r="B42">
        <v>2037</v>
      </c>
      <c r="C42">
        <f>VLOOKUP(A42,Input!$D$308:$E$310,2,FALSE)</f>
        <v>45</v>
      </c>
    </row>
    <row r="43" spans="1:3" x14ac:dyDescent="0.25">
      <c r="A43" t="s">
        <v>8</v>
      </c>
      <c r="B43">
        <v>2038</v>
      </c>
      <c r="C43">
        <f>VLOOKUP(A43,Input!$D$308:$E$310,2,FALSE)</f>
        <v>45</v>
      </c>
    </row>
    <row r="44" spans="1:3" x14ac:dyDescent="0.25">
      <c r="A44" t="s">
        <v>8</v>
      </c>
      <c r="B44">
        <v>2039</v>
      </c>
      <c r="C44">
        <f>VLOOKUP(A44,Input!$D$308:$E$310,2,FALSE)</f>
        <v>45</v>
      </c>
    </row>
    <row r="45" spans="1:3" x14ac:dyDescent="0.25">
      <c r="A45" t="s">
        <v>8</v>
      </c>
      <c r="B45">
        <v>2040</v>
      </c>
      <c r="C45">
        <f>VLOOKUP(A45,Input!$D$308:$E$310,2,FALSE)</f>
        <v>45</v>
      </c>
    </row>
    <row r="46" spans="1:3" x14ac:dyDescent="0.25">
      <c r="A46" t="s">
        <v>8</v>
      </c>
      <c r="B46">
        <v>2041</v>
      </c>
      <c r="C46">
        <f>VLOOKUP(A46,Input!$D$308:$E$310,2,FALSE)</f>
        <v>45</v>
      </c>
    </row>
    <row r="47" spans="1:3" x14ac:dyDescent="0.25">
      <c r="A47" t="s">
        <v>8</v>
      </c>
      <c r="B47">
        <v>2042</v>
      </c>
      <c r="C47">
        <f>VLOOKUP(A47,Input!$D$308:$E$310,2,FALSE)</f>
        <v>45</v>
      </c>
    </row>
    <row r="48" spans="1:3" x14ac:dyDescent="0.25">
      <c r="A48" t="s">
        <v>8</v>
      </c>
      <c r="B48">
        <v>2043</v>
      </c>
      <c r="C48">
        <f>VLOOKUP(A48,Input!$D$308:$E$310,2,FALSE)</f>
        <v>45</v>
      </c>
    </row>
    <row r="49" spans="1:3" x14ac:dyDescent="0.25">
      <c r="A49" t="s">
        <v>8</v>
      </c>
      <c r="B49">
        <v>2044</v>
      </c>
      <c r="C49">
        <f>VLOOKUP(A49,Input!$D$308:$E$310,2,FALSE)</f>
        <v>45</v>
      </c>
    </row>
    <row r="50" spans="1:3" x14ac:dyDescent="0.25">
      <c r="A50" t="s">
        <v>8</v>
      </c>
      <c r="B50">
        <v>2045</v>
      </c>
      <c r="C50">
        <f>VLOOKUP(A50,Input!$D$308:$E$310,2,FALSE)</f>
        <v>45</v>
      </c>
    </row>
    <row r="51" spans="1:3" x14ac:dyDescent="0.25">
      <c r="A51" t="s">
        <v>8</v>
      </c>
      <c r="B51">
        <v>2046</v>
      </c>
      <c r="C51">
        <f>VLOOKUP(A51,Input!$D$308:$E$310,2,FALSE)</f>
        <v>45</v>
      </c>
    </row>
    <row r="52" spans="1:3" x14ac:dyDescent="0.25">
      <c r="A52" t="s">
        <v>8</v>
      </c>
      <c r="B52">
        <v>2047</v>
      </c>
      <c r="C52">
        <f>VLOOKUP(A52,Input!$D$308:$E$310,2,FALSE)</f>
        <v>45</v>
      </c>
    </row>
    <row r="53" spans="1:3" x14ac:dyDescent="0.25">
      <c r="A53" t="s">
        <v>8</v>
      </c>
      <c r="B53">
        <v>2048</v>
      </c>
      <c r="C53">
        <f>VLOOKUP(A53,Input!$D$308:$E$310,2,FALSE)</f>
        <v>45</v>
      </c>
    </row>
    <row r="54" spans="1:3" x14ac:dyDescent="0.25">
      <c r="A54" t="s">
        <v>8</v>
      </c>
      <c r="B54">
        <v>2049</v>
      </c>
      <c r="C54">
        <f>VLOOKUP(A54,Input!$D$308:$E$310,2,FALSE)</f>
        <v>45</v>
      </c>
    </row>
    <row r="55" spans="1:3" x14ac:dyDescent="0.25">
      <c r="A55" t="s">
        <v>8</v>
      </c>
      <c r="B55">
        <v>2050</v>
      </c>
      <c r="C55">
        <f>VLOOKUP(A55,Input!$D$308:$E$310,2,FALSE)</f>
        <v>45</v>
      </c>
    </row>
    <row r="56" spans="1:3" x14ac:dyDescent="0.25">
      <c r="A56" t="s">
        <v>65</v>
      </c>
      <c r="B56">
        <v>2024</v>
      </c>
      <c r="C56">
        <f>VLOOKUP(A56,Input!$D$308:$E$310,2,FALSE)</f>
        <v>90</v>
      </c>
    </row>
    <row r="57" spans="1:3" x14ac:dyDescent="0.25">
      <c r="A57" t="s">
        <v>65</v>
      </c>
      <c r="B57">
        <v>2025</v>
      </c>
      <c r="C57">
        <f>VLOOKUP(A57,Input!$D$308:$E$310,2,FALSE)</f>
        <v>90</v>
      </c>
    </row>
    <row r="58" spans="1:3" x14ac:dyDescent="0.25">
      <c r="A58" t="s">
        <v>65</v>
      </c>
      <c r="B58">
        <v>2026</v>
      </c>
      <c r="C58">
        <f>VLOOKUP(A58,Input!$D$308:$E$310,2,FALSE)</f>
        <v>90</v>
      </c>
    </row>
    <row r="59" spans="1:3" x14ac:dyDescent="0.25">
      <c r="A59" t="s">
        <v>65</v>
      </c>
      <c r="B59">
        <v>2027</v>
      </c>
      <c r="C59">
        <f>VLOOKUP(A59,Input!$D$308:$E$310,2,FALSE)</f>
        <v>90</v>
      </c>
    </row>
    <row r="60" spans="1:3" x14ac:dyDescent="0.25">
      <c r="A60" t="s">
        <v>65</v>
      </c>
      <c r="B60">
        <v>2028</v>
      </c>
      <c r="C60">
        <f>VLOOKUP(A60,Input!$D$308:$E$310,2,FALSE)</f>
        <v>90</v>
      </c>
    </row>
    <row r="61" spans="1:3" x14ac:dyDescent="0.25">
      <c r="A61" t="s">
        <v>65</v>
      </c>
      <c r="B61">
        <v>2029</v>
      </c>
      <c r="C61">
        <f>VLOOKUP(A61,Input!$D$308:$E$310,2,FALSE)</f>
        <v>90</v>
      </c>
    </row>
    <row r="62" spans="1:3" x14ac:dyDescent="0.25">
      <c r="A62" t="s">
        <v>65</v>
      </c>
      <c r="B62">
        <v>2030</v>
      </c>
      <c r="C62">
        <f>VLOOKUP(A62,Input!$D$308:$E$310,2,FALSE)</f>
        <v>90</v>
      </c>
    </row>
    <row r="63" spans="1:3" x14ac:dyDescent="0.25">
      <c r="A63" t="s">
        <v>65</v>
      </c>
      <c r="B63">
        <v>2031</v>
      </c>
      <c r="C63">
        <f>VLOOKUP(A63,Input!$D$308:$E$310,2,FALSE)</f>
        <v>90</v>
      </c>
    </row>
    <row r="64" spans="1:3" x14ac:dyDescent="0.25">
      <c r="A64" t="s">
        <v>65</v>
      </c>
      <c r="B64">
        <v>2032</v>
      </c>
      <c r="C64">
        <f>VLOOKUP(A64,Input!$D$308:$E$310,2,FALSE)</f>
        <v>90</v>
      </c>
    </row>
    <row r="65" spans="1:3" x14ac:dyDescent="0.25">
      <c r="A65" t="s">
        <v>65</v>
      </c>
      <c r="B65">
        <v>2033</v>
      </c>
      <c r="C65">
        <f>VLOOKUP(A65,Input!$D$308:$E$310,2,FALSE)</f>
        <v>90</v>
      </c>
    </row>
    <row r="66" spans="1:3" x14ac:dyDescent="0.25">
      <c r="A66" t="s">
        <v>65</v>
      </c>
      <c r="B66">
        <v>2034</v>
      </c>
      <c r="C66">
        <f>VLOOKUP(A66,Input!$D$308:$E$310,2,FALSE)</f>
        <v>90</v>
      </c>
    </row>
    <row r="67" spans="1:3" x14ac:dyDescent="0.25">
      <c r="A67" t="s">
        <v>65</v>
      </c>
      <c r="B67">
        <v>2035</v>
      </c>
      <c r="C67">
        <f>VLOOKUP(A67,Input!$D$308:$E$310,2,FALSE)</f>
        <v>90</v>
      </c>
    </row>
    <row r="68" spans="1:3" x14ac:dyDescent="0.25">
      <c r="A68" t="s">
        <v>65</v>
      </c>
      <c r="B68">
        <v>2036</v>
      </c>
      <c r="C68">
        <f>VLOOKUP(A68,Input!$D$308:$E$310,2,FALSE)</f>
        <v>90</v>
      </c>
    </row>
    <row r="69" spans="1:3" x14ac:dyDescent="0.25">
      <c r="A69" t="s">
        <v>65</v>
      </c>
      <c r="B69">
        <v>2037</v>
      </c>
      <c r="C69">
        <f>VLOOKUP(A69,Input!$D$308:$E$310,2,FALSE)</f>
        <v>90</v>
      </c>
    </row>
    <row r="70" spans="1:3" x14ac:dyDescent="0.25">
      <c r="A70" t="s">
        <v>65</v>
      </c>
      <c r="B70">
        <v>2038</v>
      </c>
      <c r="C70">
        <f>VLOOKUP(A70,Input!$D$308:$E$310,2,FALSE)</f>
        <v>90</v>
      </c>
    </row>
    <row r="71" spans="1:3" x14ac:dyDescent="0.25">
      <c r="A71" t="s">
        <v>65</v>
      </c>
      <c r="B71">
        <v>2039</v>
      </c>
      <c r="C71">
        <f>VLOOKUP(A71,Input!$D$308:$E$310,2,FALSE)</f>
        <v>90</v>
      </c>
    </row>
    <row r="72" spans="1:3" x14ac:dyDescent="0.25">
      <c r="A72" t="s">
        <v>65</v>
      </c>
      <c r="B72">
        <v>2040</v>
      </c>
      <c r="C72">
        <f>VLOOKUP(A72,Input!$D$308:$E$310,2,FALSE)</f>
        <v>90</v>
      </c>
    </row>
    <row r="73" spans="1:3" x14ac:dyDescent="0.25">
      <c r="A73" t="s">
        <v>65</v>
      </c>
      <c r="B73">
        <v>2041</v>
      </c>
      <c r="C73">
        <f>VLOOKUP(A73,Input!$D$308:$E$310,2,FALSE)</f>
        <v>90</v>
      </c>
    </row>
    <row r="74" spans="1:3" x14ac:dyDescent="0.25">
      <c r="A74" t="s">
        <v>65</v>
      </c>
      <c r="B74">
        <v>2042</v>
      </c>
      <c r="C74">
        <f>VLOOKUP(A74,Input!$D$308:$E$310,2,FALSE)</f>
        <v>90</v>
      </c>
    </row>
    <row r="75" spans="1:3" x14ac:dyDescent="0.25">
      <c r="A75" t="s">
        <v>65</v>
      </c>
      <c r="B75">
        <v>2043</v>
      </c>
      <c r="C75">
        <f>VLOOKUP(A75,Input!$D$308:$E$310,2,FALSE)</f>
        <v>90</v>
      </c>
    </row>
    <row r="76" spans="1:3" x14ac:dyDescent="0.25">
      <c r="A76" t="s">
        <v>65</v>
      </c>
      <c r="B76">
        <v>2044</v>
      </c>
      <c r="C76">
        <f>VLOOKUP(A76,Input!$D$308:$E$310,2,FALSE)</f>
        <v>90</v>
      </c>
    </row>
    <row r="77" spans="1:3" x14ac:dyDescent="0.25">
      <c r="A77" t="s">
        <v>65</v>
      </c>
      <c r="B77">
        <v>2045</v>
      </c>
      <c r="C77">
        <f>VLOOKUP(A77,Input!$D$308:$E$310,2,FALSE)</f>
        <v>90</v>
      </c>
    </row>
    <row r="78" spans="1:3" x14ac:dyDescent="0.25">
      <c r="A78" t="s">
        <v>65</v>
      </c>
      <c r="B78">
        <v>2046</v>
      </c>
      <c r="C78">
        <f>VLOOKUP(A78,Input!$D$308:$E$310,2,FALSE)</f>
        <v>90</v>
      </c>
    </row>
    <row r="79" spans="1:3" x14ac:dyDescent="0.25">
      <c r="A79" t="s">
        <v>65</v>
      </c>
      <c r="B79">
        <v>2047</v>
      </c>
      <c r="C79">
        <f>VLOOKUP(A79,Input!$D$308:$E$310,2,FALSE)</f>
        <v>90</v>
      </c>
    </row>
    <row r="80" spans="1:3" x14ac:dyDescent="0.25">
      <c r="A80" t="s">
        <v>65</v>
      </c>
      <c r="B80">
        <v>2048</v>
      </c>
      <c r="C80">
        <f>VLOOKUP(A80,Input!$D$308:$E$310,2,FALSE)</f>
        <v>90</v>
      </c>
    </row>
    <row r="81" spans="1:3" x14ac:dyDescent="0.25">
      <c r="A81" t="s">
        <v>65</v>
      </c>
      <c r="B81">
        <v>2049</v>
      </c>
      <c r="C81">
        <f>VLOOKUP(A81,Input!$D$308:$E$310,2,FALSE)</f>
        <v>90</v>
      </c>
    </row>
    <row r="82" spans="1:3" x14ac:dyDescent="0.25">
      <c r="A82" t="s">
        <v>65</v>
      </c>
      <c r="B82">
        <v>2050</v>
      </c>
      <c r="C82">
        <f>VLOOKUP(A82,Input!$D$308:$E$310,2,FALSE)</f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E41CE-22AC-494F-9F81-E6C29B948E8C}">
  <sheetPr codeName="Hoja15"/>
  <dimension ref="A1:C16"/>
  <sheetViews>
    <sheetView workbookViewId="0">
      <selection activeCell="H16" sqref="H16"/>
    </sheetView>
  </sheetViews>
  <sheetFormatPr baseColWidth="10" defaultRowHeight="15" x14ac:dyDescent="0.25"/>
  <cols>
    <col min="1" max="1" width="30.5703125" customWidth="1"/>
  </cols>
  <sheetData>
    <row r="1" spans="1:3" x14ac:dyDescent="0.25">
      <c r="A1" s="5" t="s">
        <v>4</v>
      </c>
      <c r="B1" s="6" t="s">
        <v>2</v>
      </c>
      <c r="C1" s="6" t="s">
        <v>117</v>
      </c>
    </row>
    <row r="2" spans="1:3" x14ac:dyDescent="0.25">
      <c r="A2" s="5" t="s">
        <v>118</v>
      </c>
      <c r="B2" s="5">
        <f>Input!E281</f>
        <v>2023</v>
      </c>
      <c r="C2" s="5">
        <f>Input!F281</f>
        <v>1</v>
      </c>
    </row>
    <row r="3" spans="1:3" x14ac:dyDescent="0.25">
      <c r="A3" s="5" t="s">
        <v>118</v>
      </c>
      <c r="B3" s="5">
        <f>Input!E282</f>
        <v>2030</v>
      </c>
      <c r="C3" s="5">
        <f>Input!F282</f>
        <v>0.61</v>
      </c>
    </row>
    <row r="4" spans="1:3" x14ac:dyDescent="0.25">
      <c r="A4" s="5" t="s">
        <v>118</v>
      </c>
      <c r="B4" s="5">
        <f>Input!E283</f>
        <v>2037</v>
      </c>
      <c r="C4" s="5">
        <f>Input!F283</f>
        <v>0.55000000000000004</v>
      </c>
    </row>
    <row r="5" spans="1:3" x14ac:dyDescent="0.25">
      <c r="A5" s="5" t="s">
        <v>119</v>
      </c>
      <c r="B5" s="5">
        <f>Input!E284</f>
        <v>2023</v>
      </c>
      <c r="C5" s="5">
        <f>Input!F284</f>
        <v>1</v>
      </c>
    </row>
    <row r="6" spans="1:3" x14ac:dyDescent="0.25">
      <c r="A6" s="5" t="s">
        <v>119</v>
      </c>
      <c r="B6" s="5">
        <f>Input!E285</f>
        <v>2030</v>
      </c>
      <c r="C6" s="5">
        <f>Input!F285</f>
        <v>0.47</v>
      </c>
    </row>
    <row r="7" spans="1:3" x14ac:dyDescent="0.25">
      <c r="A7" s="5" t="s">
        <v>119</v>
      </c>
      <c r="B7" s="5">
        <f>Input!E286</f>
        <v>2037</v>
      </c>
      <c r="C7" s="5">
        <f>Input!F286</f>
        <v>0.4</v>
      </c>
    </row>
    <row r="8" spans="1:3" x14ac:dyDescent="0.25">
      <c r="A8" s="5" t="s">
        <v>120</v>
      </c>
      <c r="B8" s="5">
        <f>Input!E287</f>
        <v>2023</v>
      </c>
      <c r="C8" s="5">
        <f>Input!F287</f>
        <v>1</v>
      </c>
    </row>
    <row r="9" spans="1:3" x14ac:dyDescent="0.25">
      <c r="A9" s="5" t="s">
        <v>120</v>
      </c>
      <c r="B9" s="5">
        <f>Input!E288</f>
        <v>2030</v>
      </c>
      <c r="C9" s="5">
        <f>Input!F288</f>
        <v>0.61</v>
      </c>
    </row>
    <row r="10" spans="1:3" x14ac:dyDescent="0.25">
      <c r="A10" s="5" t="s">
        <v>120</v>
      </c>
      <c r="B10" s="5">
        <f>Input!E289</f>
        <v>2037</v>
      </c>
      <c r="C10" s="5">
        <f>Input!F289</f>
        <v>0.55000000000000004</v>
      </c>
    </row>
    <row r="11" spans="1:3" x14ac:dyDescent="0.25">
      <c r="A11" s="5" t="s">
        <v>121</v>
      </c>
      <c r="B11" s="5">
        <f>Input!E290</f>
        <v>2023</v>
      </c>
      <c r="C11" s="5">
        <f>Input!F290</f>
        <v>1</v>
      </c>
    </row>
    <row r="12" spans="1:3" x14ac:dyDescent="0.25">
      <c r="A12" s="5" t="s">
        <v>121</v>
      </c>
      <c r="B12" s="5">
        <f>Input!E291</f>
        <v>2030</v>
      </c>
      <c r="C12" s="5">
        <f>Input!F291</f>
        <v>0.79</v>
      </c>
    </row>
    <row r="13" spans="1:3" x14ac:dyDescent="0.25">
      <c r="A13" s="5" t="s">
        <v>121</v>
      </c>
      <c r="B13" s="5">
        <f>Input!E292</f>
        <v>2037</v>
      </c>
      <c r="C13" s="5">
        <f>Input!F292</f>
        <v>0.75</v>
      </c>
    </row>
    <row r="14" spans="1:3" x14ac:dyDescent="0.25">
      <c r="A14" s="5" t="s">
        <v>122</v>
      </c>
      <c r="B14" s="5">
        <f>Input!E293</f>
        <v>2023</v>
      </c>
      <c r="C14" s="5">
        <f>Input!F293</f>
        <v>1</v>
      </c>
    </row>
    <row r="15" spans="1:3" x14ac:dyDescent="0.25">
      <c r="A15" s="5" t="s">
        <v>122</v>
      </c>
      <c r="B15" s="5">
        <f>Input!E294</f>
        <v>2030</v>
      </c>
      <c r="C15" s="5">
        <f>Input!F294</f>
        <v>0.47</v>
      </c>
    </row>
    <row r="16" spans="1:3" x14ac:dyDescent="0.25">
      <c r="A16" s="5" t="s">
        <v>122</v>
      </c>
      <c r="B16" s="5">
        <f>Input!E295</f>
        <v>2037</v>
      </c>
      <c r="C16" s="5">
        <f>Input!F295</f>
        <v>0.4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82D17-71C0-4417-9CF6-CA12ED71BF3D}">
  <sheetPr codeName="Hoja16"/>
  <dimension ref="A1:F4"/>
  <sheetViews>
    <sheetView workbookViewId="0">
      <selection activeCell="F5" sqref="F5"/>
    </sheetView>
  </sheetViews>
  <sheetFormatPr baseColWidth="10" defaultRowHeight="15" x14ac:dyDescent="0.25"/>
  <sheetData>
    <row r="1" spans="1:6" x14ac:dyDescent="0.25">
      <c r="A1" t="s">
        <v>2</v>
      </c>
      <c r="B1" t="s">
        <v>84</v>
      </c>
      <c r="C1" t="s">
        <v>85</v>
      </c>
      <c r="D1" t="s">
        <v>86</v>
      </c>
      <c r="E1" t="s">
        <v>87</v>
      </c>
      <c r="F1" t="s">
        <v>36</v>
      </c>
    </row>
    <row r="2" spans="1:6" x14ac:dyDescent="0.25">
      <c r="A2">
        <v>2023</v>
      </c>
      <c r="B2">
        <v>500</v>
      </c>
      <c r="C2">
        <v>950</v>
      </c>
      <c r="D2">
        <v>1400</v>
      </c>
      <c r="E2">
        <v>60000</v>
      </c>
      <c r="F2">
        <v>0.65</v>
      </c>
    </row>
    <row r="3" spans="1:6" x14ac:dyDescent="0.25">
      <c r="A3">
        <v>2030</v>
      </c>
      <c r="B3">
        <v>400</v>
      </c>
      <c r="C3">
        <v>625</v>
      </c>
      <c r="D3">
        <v>850</v>
      </c>
      <c r="E3">
        <v>90000</v>
      </c>
      <c r="F3">
        <v>0.68</v>
      </c>
    </row>
    <row r="4" spans="1:6" x14ac:dyDescent="0.25">
      <c r="A4">
        <v>2050</v>
      </c>
      <c r="B4">
        <v>200</v>
      </c>
      <c r="C4">
        <v>450</v>
      </c>
      <c r="D4">
        <v>700</v>
      </c>
      <c r="E4">
        <v>120000</v>
      </c>
      <c r="F4">
        <v>0.75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78AB3-46A1-4BE0-A555-8B3716E2C669}">
  <sheetPr codeName="Hoja2"/>
  <dimension ref="A1:E129"/>
  <sheetViews>
    <sheetView workbookViewId="0">
      <selection activeCell="G4" sqref="G4"/>
    </sheetView>
  </sheetViews>
  <sheetFormatPr baseColWidth="10" defaultRowHeight="15" x14ac:dyDescent="0.25"/>
  <cols>
    <col min="4" max="4" width="11.42578125" style="58"/>
    <col min="5" max="5" width="11.42578125" style="2"/>
  </cols>
  <sheetData>
    <row r="1" spans="1:5" x14ac:dyDescent="0.25">
      <c r="A1" t="s">
        <v>0</v>
      </c>
      <c r="B1" t="s">
        <v>1</v>
      </c>
      <c r="C1" t="s">
        <v>57</v>
      </c>
      <c r="D1" s="58" t="s">
        <v>2</v>
      </c>
      <c r="E1" s="2" t="s">
        <v>58</v>
      </c>
    </row>
    <row r="2" spans="1:5" x14ac:dyDescent="0.25">
      <c r="A2" t="s">
        <v>38</v>
      </c>
      <c r="B2" t="s">
        <v>7</v>
      </c>
      <c r="C2" t="s">
        <v>51</v>
      </c>
      <c r="D2" s="58">
        <v>2022</v>
      </c>
      <c r="E2" s="2">
        <f>Input!F87</f>
        <v>120</v>
      </c>
    </row>
    <row r="3" spans="1:5" x14ac:dyDescent="0.25">
      <c r="A3" t="s">
        <v>38</v>
      </c>
      <c r="B3" t="s">
        <v>10</v>
      </c>
      <c r="C3" t="s">
        <v>51</v>
      </c>
      <c r="D3" s="58">
        <v>2022</v>
      </c>
      <c r="E3" s="2">
        <f>Input!F88</f>
        <v>180</v>
      </c>
    </row>
    <row r="4" spans="1:5" x14ac:dyDescent="0.25">
      <c r="A4" t="s">
        <v>38</v>
      </c>
      <c r="B4" t="s">
        <v>11</v>
      </c>
      <c r="C4" t="s">
        <v>51</v>
      </c>
      <c r="D4" s="58">
        <v>2022</v>
      </c>
      <c r="E4" s="2">
        <f>Input!F89</f>
        <v>190</v>
      </c>
    </row>
    <row r="5" spans="1:5" x14ac:dyDescent="0.25">
      <c r="A5" t="s">
        <v>38</v>
      </c>
      <c r="B5" t="s">
        <v>12</v>
      </c>
      <c r="C5" t="s">
        <v>51</v>
      </c>
      <c r="D5" s="58">
        <v>2022</v>
      </c>
      <c r="E5" s="2">
        <f>Input!F90</f>
        <v>250</v>
      </c>
    </row>
    <row r="6" spans="1:5" x14ac:dyDescent="0.25">
      <c r="A6" t="s">
        <v>38</v>
      </c>
      <c r="B6" t="s">
        <v>13</v>
      </c>
      <c r="C6" t="s">
        <v>51</v>
      </c>
      <c r="D6" s="58">
        <v>2022</v>
      </c>
      <c r="E6" s="2">
        <f>Input!F91</f>
        <v>260</v>
      </c>
    </row>
    <row r="7" spans="1:5" x14ac:dyDescent="0.25">
      <c r="A7" t="s">
        <v>38</v>
      </c>
      <c r="B7" t="s">
        <v>14</v>
      </c>
      <c r="C7" t="s">
        <v>51</v>
      </c>
      <c r="D7" s="58">
        <v>2022</v>
      </c>
      <c r="E7" s="2">
        <f>Input!F92</f>
        <v>360</v>
      </c>
    </row>
    <row r="8" spans="1:5" x14ac:dyDescent="0.25">
      <c r="A8" t="s">
        <v>38</v>
      </c>
      <c r="B8" t="s">
        <v>15</v>
      </c>
      <c r="C8" t="s">
        <v>51</v>
      </c>
      <c r="D8" s="58">
        <v>2022</v>
      </c>
      <c r="E8" s="2">
        <f>Input!F93</f>
        <v>760</v>
      </c>
    </row>
    <row r="9" spans="1:5" x14ac:dyDescent="0.25">
      <c r="A9" t="s">
        <v>38</v>
      </c>
      <c r="B9" t="s">
        <v>16</v>
      </c>
      <c r="C9" t="s">
        <v>51</v>
      </c>
      <c r="D9" s="58">
        <v>2022</v>
      </c>
      <c r="E9" s="2">
        <f>Input!F94</f>
        <v>450</v>
      </c>
    </row>
    <row r="10" spans="1:5" x14ac:dyDescent="0.25">
      <c r="A10" t="s">
        <v>38</v>
      </c>
      <c r="B10" t="s">
        <v>17</v>
      </c>
      <c r="C10" t="s">
        <v>51</v>
      </c>
      <c r="D10" s="58">
        <v>2022</v>
      </c>
      <c r="E10" s="2">
        <f>Input!F95</f>
        <v>760</v>
      </c>
    </row>
    <row r="11" spans="1:5" x14ac:dyDescent="0.25">
      <c r="A11" t="s">
        <v>38</v>
      </c>
      <c r="B11" t="s">
        <v>18</v>
      </c>
      <c r="C11" t="s">
        <v>51</v>
      </c>
      <c r="D11" s="58">
        <v>2022</v>
      </c>
      <c r="E11" s="2">
        <f>Input!F96</f>
        <v>340</v>
      </c>
    </row>
    <row r="12" spans="1:5" x14ac:dyDescent="0.25">
      <c r="A12" t="s">
        <v>38</v>
      </c>
      <c r="B12" t="s">
        <v>19</v>
      </c>
      <c r="C12" t="s">
        <v>51</v>
      </c>
      <c r="D12" s="58">
        <v>2022</v>
      </c>
      <c r="E12" s="2">
        <f>Input!F97</f>
        <v>1380</v>
      </c>
    </row>
    <row r="13" spans="1:5" x14ac:dyDescent="0.25">
      <c r="A13" t="s">
        <v>38</v>
      </c>
      <c r="B13" t="s">
        <v>20</v>
      </c>
      <c r="C13" t="s">
        <v>51</v>
      </c>
      <c r="D13" s="58">
        <v>2022</v>
      </c>
      <c r="E13" s="2">
        <f>Input!F98</f>
        <v>400</v>
      </c>
    </row>
    <row r="14" spans="1:5" x14ac:dyDescent="0.25">
      <c r="A14" t="s">
        <v>38</v>
      </c>
      <c r="B14" t="s">
        <v>21</v>
      </c>
      <c r="C14" t="s">
        <v>51</v>
      </c>
      <c r="D14" s="58">
        <v>2022</v>
      </c>
      <c r="E14" s="2">
        <f>Input!F99</f>
        <v>1670</v>
      </c>
    </row>
    <row r="15" spans="1:5" x14ac:dyDescent="0.25">
      <c r="A15" t="s">
        <v>38</v>
      </c>
      <c r="B15" t="s">
        <v>22</v>
      </c>
      <c r="C15" t="s">
        <v>51</v>
      </c>
      <c r="D15" s="58">
        <v>2022</v>
      </c>
      <c r="E15" s="2">
        <f>Input!F100</f>
        <v>380</v>
      </c>
    </row>
    <row r="16" spans="1:5" x14ac:dyDescent="0.25">
      <c r="A16" t="s">
        <v>38</v>
      </c>
      <c r="B16" t="s">
        <v>23</v>
      </c>
      <c r="C16" t="s">
        <v>51</v>
      </c>
      <c r="D16" s="58">
        <v>2022</v>
      </c>
      <c r="E16" s="2">
        <f>Input!F101</f>
        <v>580</v>
      </c>
    </row>
    <row r="17" spans="1:5" x14ac:dyDescent="0.25">
      <c r="A17" t="s">
        <v>38</v>
      </c>
      <c r="B17" t="s">
        <v>24</v>
      </c>
      <c r="C17" t="s">
        <v>51</v>
      </c>
      <c r="D17" s="58">
        <v>2022</v>
      </c>
      <c r="E17" s="2">
        <f>Input!F102</f>
        <v>280</v>
      </c>
    </row>
    <row r="18" spans="1:5" x14ac:dyDescent="0.25">
      <c r="A18" t="s">
        <v>38</v>
      </c>
      <c r="B18" t="s">
        <v>7</v>
      </c>
      <c r="C18" t="s">
        <v>51</v>
      </c>
      <c r="D18" s="58">
        <v>2030</v>
      </c>
      <c r="E18" s="2">
        <f>Input!G87</f>
        <v>100</v>
      </c>
    </row>
    <row r="19" spans="1:5" x14ac:dyDescent="0.25">
      <c r="A19" t="s">
        <v>38</v>
      </c>
      <c r="B19" t="s">
        <v>10</v>
      </c>
      <c r="C19" t="s">
        <v>51</v>
      </c>
      <c r="D19" s="58">
        <v>2030</v>
      </c>
      <c r="E19" s="2">
        <f>Input!G88</f>
        <v>150</v>
      </c>
    </row>
    <row r="20" spans="1:5" x14ac:dyDescent="0.25">
      <c r="A20" t="s">
        <v>38</v>
      </c>
      <c r="B20" t="s">
        <v>11</v>
      </c>
      <c r="C20" t="s">
        <v>51</v>
      </c>
      <c r="D20" s="58">
        <v>2030</v>
      </c>
      <c r="E20" s="2">
        <f>Input!G89</f>
        <v>160</v>
      </c>
    </row>
    <row r="21" spans="1:5" x14ac:dyDescent="0.25">
      <c r="A21" t="s">
        <v>38</v>
      </c>
      <c r="B21" t="s">
        <v>12</v>
      </c>
      <c r="C21" t="s">
        <v>51</v>
      </c>
      <c r="D21" s="58">
        <v>2030</v>
      </c>
      <c r="E21" s="2">
        <f>Input!G90</f>
        <v>200</v>
      </c>
    </row>
    <row r="22" spans="1:5" x14ac:dyDescent="0.25">
      <c r="A22" t="s">
        <v>38</v>
      </c>
      <c r="B22" t="s">
        <v>13</v>
      </c>
      <c r="C22" t="s">
        <v>51</v>
      </c>
      <c r="D22" s="58">
        <v>2030</v>
      </c>
      <c r="E22" s="2">
        <f>Input!G91</f>
        <v>200</v>
      </c>
    </row>
    <row r="23" spans="1:5" x14ac:dyDescent="0.25">
      <c r="A23" t="s">
        <v>38</v>
      </c>
      <c r="B23" t="s">
        <v>14</v>
      </c>
      <c r="C23" t="s">
        <v>51</v>
      </c>
      <c r="D23" s="58">
        <v>2030</v>
      </c>
      <c r="E23" s="2">
        <f>Input!G92</f>
        <v>270</v>
      </c>
    </row>
    <row r="24" spans="1:5" x14ac:dyDescent="0.25">
      <c r="A24" t="s">
        <v>38</v>
      </c>
      <c r="B24" t="s">
        <v>15</v>
      </c>
      <c r="C24" t="s">
        <v>51</v>
      </c>
      <c r="D24" s="58">
        <v>2030</v>
      </c>
      <c r="E24" s="2">
        <f>Input!G93</f>
        <v>405</v>
      </c>
    </row>
    <row r="25" spans="1:5" x14ac:dyDescent="0.25">
      <c r="A25" t="s">
        <v>38</v>
      </c>
      <c r="B25" t="s">
        <v>16</v>
      </c>
      <c r="C25" t="s">
        <v>51</v>
      </c>
      <c r="D25" s="58">
        <v>2030</v>
      </c>
      <c r="E25" s="2">
        <f>Input!G94</f>
        <v>330</v>
      </c>
    </row>
    <row r="26" spans="1:5" x14ac:dyDescent="0.25">
      <c r="A26" t="s">
        <v>38</v>
      </c>
      <c r="B26" t="s">
        <v>17</v>
      </c>
      <c r="C26" t="s">
        <v>51</v>
      </c>
      <c r="D26" s="58">
        <v>2030</v>
      </c>
      <c r="E26" s="2">
        <f>Input!G95</f>
        <v>405</v>
      </c>
    </row>
    <row r="27" spans="1:5" x14ac:dyDescent="0.25">
      <c r="A27" t="s">
        <v>38</v>
      </c>
      <c r="B27" t="s">
        <v>18</v>
      </c>
      <c r="C27" t="s">
        <v>51</v>
      </c>
      <c r="D27" s="58">
        <v>2030</v>
      </c>
      <c r="E27" s="2">
        <f>Input!G96</f>
        <v>260</v>
      </c>
    </row>
    <row r="28" spans="1:5" x14ac:dyDescent="0.25">
      <c r="A28" t="s">
        <v>38</v>
      </c>
      <c r="B28" t="s">
        <v>19</v>
      </c>
      <c r="C28" t="s">
        <v>51</v>
      </c>
      <c r="D28" s="58">
        <v>2030</v>
      </c>
      <c r="E28" s="2">
        <f>Input!G97</f>
        <v>1040</v>
      </c>
    </row>
    <row r="29" spans="1:5" x14ac:dyDescent="0.25">
      <c r="A29" t="s">
        <v>38</v>
      </c>
      <c r="B29" t="s">
        <v>20</v>
      </c>
      <c r="C29" t="s">
        <v>51</v>
      </c>
      <c r="D29" s="58">
        <v>2030</v>
      </c>
      <c r="E29" s="2">
        <f>Input!G98</f>
        <v>310</v>
      </c>
    </row>
    <row r="30" spans="1:5" x14ac:dyDescent="0.25">
      <c r="A30" t="s">
        <v>38</v>
      </c>
      <c r="B30" t="s">
        <v>21</v>
      </c>
      <c r="C30" t="s">
        <v>51</v>
      </c>
      <c r="D30" s="58">
        <v>2030</v>
      </c>
      <c r="E30" s="2">
        <f>Input!G99</f>
        <v>1270</v>
      </c>
    </row>
    <row r="31" spans="1:5" x14ac:dyDescent="0.25">
      <c r="A31" t="s">
        <v>38</v>
      </c>
      <c r="B31" t="s">
        <v>22</v>
      </c>
      <c r="C31" t="s">
        <v>51</v>
      </c>
      <c r="D31" s="58">
        <v>2030</v>
      </c>
      <c r="E31" s="2">
        <f>Input!G100</f>
        <v>300</v>
      </c>
    </row>
    <row r="32" spans="1:5" x14ac:dyDescent="0.25">
      <c r="A32" t="s">
        <v>38</v>
      </c>
      <c r="B32" t="s">
        <v>23</v>
      </c>
      <c r="C32" t="s">
        <v>51</v>
      </c>
      <c r="D32" s="58">
        <v>2030</v>
      </c>
      <c r="E32" s="2">
        <f>Input!G101</f>
        <v>460</v>
      </c>
    </row>
    <row r="33" spans="1:5" x14ac:dyDescent="0.25">
      <c r="A33" t="s">
        <v>38</v>
      </c>
      <c r="B33" t="s">
        <v>24</v>
      </c>
      <c r="C33" t="s">
        <v>51</v>
      </c>
      <c r="D33" s="58">
        <v>2030</v>
      </c>
      <c r="E33" s="2">
        <f>Input!G102</f>
        <v>210</v>
      </c>
    </row>
    <row r="34" spans="1:5" x14ac:dyDescent="0.25">
      <c r="A34" t="s">
        <v>38</v>
      </c>
      <c r="B34" t="s">
        <v>7</v>
      </c>
      <c r="C34" t="s">
        <v>51</v>
      </c>
      <c r="D34" s="58">
        <v>2040</v>
      </c>
      <c r="E34" s="2">
        <f>Input!H87</f>
        <v>100</v>
      </c>
    </row>
    <row r="35" spans="1:5" x14ac:dyDescent="0.25">
      <c r="A35" t="s">
        <v>38</v>
      </c>
      <c r="B35" t="s">
        <v>10</v>
      </c>
      <c r="C35" t="s">
        <v>51</v>
      </c>
      <c r="D35" s="58">
        <v>2040</v>
      </c>
      <c r="E35" s="2">
        <f>Input!H88</f>
        <v>150</v>
      </c>
    </row>
    <row r="36" spans="1:5" x14ac:dyDescent="0.25">
      <c r="A36" t="s">
        <v>38</v>
      </c>
      <c r="B36" t="s">
        <v>11</v>
      </c>
      <c r="C36" t="s">
        <v>51</v>
      </c>
      <c r="D36" s="58">
        <v>2040</v>
      </c>
      <c r="E36" s="2">
        <f>Input!H89</f>
        <v>160</v>
      </c>
    </row>
    <row r="37" spans="1:5" x14ac:dyDescent="0.25">
      <c r="A37" t="s">
        <v>38</v>
      </c>
      <c r="B37" t="s">
        <v>12</v>
      </c>
      <c r="C37" t="s">
        <v>51</v>
      </c>
      <c r="D37" s="58">
        <v>2040</v>
      </c>
      <c r="E37" s="2">
        <f>Input!H90</f>
        <v>200</v>
      </c>
    </row>
    <row r="38" spans="1:5" x14ac:dyDescent="0.25">
      <c r="A38" t="s">
        <v>38</v>
      </c>
      <c r="B38" t="s">
        <v>13</v>
      </c>
      <c r="C38" t="s">
        <v>51</v>
      </c>
      <c r="D38" s="58">
        <v>2040</v>
      </c>
      <c r="E38" s="2">
        <f>Input!H91</f>
        <v>200</v>
      </c>
    </row>
    <row r="39" spans="1:5" x14ac:dyDescent="0.25">
      <c r="A39" t="s">
        <v>38</v>
      </c>
      <c r="B39" t="s">
        <v>14</v>
      </c>
      <c r="C39" t="s">
        <v>51</v>
      </c>
      <c r="D39" s="58">
        <v>2040</v>
      </c>
      <c r="E39" s="2">
        <f>Input!H92</f>
        <v>270</v>
      </c>
    </row>
    <row r="40" spans="1:5" x14ac:dyDescent="0.25">
      <c r="A40" t="s">
        <v>38</v>
      </c>
      <c r="B40" t="s">
        <v>15</v>
      </c>
      <c r="C40" t="s">
        <v>51</v>
      </c>
      <c r="D40" s="58">
        <v>2040</v>
      </c>
      <c r="E40" s="2">
        <f>Input!H93</f>
        <v>405</v>
      </c>
    </row>
    <row r="41" spans="1:5" x14ac:dyDescent="0.25">
      <c r="A41" t="s">
        <v>38</v>
      </c>
      <c r="B41" t="s">
        <v>16</v>
      </c>
      <c r="C41" t="s">
        <v>51</v>
      </c>
      <c r="D41" s="58">
        <v>2040</v>
      </c>
      <c r="E41" s="2">
        <f>Input!H94</f>
        <v>330</v>
      </c>
    </row>
    <row r="42" spans="1:5" x14ac:dyDescent="0.25">
      <c r="A42" t="s">
        <v>38</v>
      </c>
      <c r="B42" t="s">
        <v>17</v>
      </c>
      <c r="C42" t="s">
        <v>51</v>
      </c>
      <c r="D42" s="58">
        <v>2040</v>
      </c>
      <c r="E42" s="2">
        <f>Input!H95</f>
        <v>405</v>
      </c>
    </row>
    <row r="43" spans="1:5" x14ac:dyDescent="0.25">
      <c r="A43" t="s">
        <v>38</v>
      </c>
      <c r="B43" t="s">
        <v>18</v>
      </c>
      <c r="C43" t="s">
        <v>51</v>
      </c>
      <c r="D43" s="58">
        <v>2040</v>
      </c>
      <c r="E43" s="2">
        <f>Input!H96</f>
        <v>260</v>
      </c>
    </row>
    <row r="44" spans="1:5" x14ac:dyDescent="0.25">
      <c r="A44" t="s">
        <v>38</v>
      </c>
      <c r="B44" t="s">
        <v>19</v>
      </c>
      <c r="C44" t="s">
        <v>51</v>
      </c>
      <c r="D44" s="58">
        <v>2040</v>
      </c>
      <c r="E44" s="2">
        <f>Input!H97</f>
        <v>1040</v>
      </c>
    </row>
    <row r="45" spans="1:5" x14ac:dyDescent="0.25">
      <c r="A45" t="s">
        <v>38</v>
      </c>
      <c r="B45" t="s">
        <v>20</v>
      </c>
      <c r="C45" t="s">
        <v>51</v>
      </c>
      <c r="D45" s="58">
        <v>2040</v>
      </c>
      <c r="E45" s="2">
        <f>Input!H98</f>
        <v>310</v>
      </c>
    </row>
    <row r="46" spans="1:5" x14ac:dyDescent="0.25">
      <c r="A46" t="s">
        <v>38</v>
      </c>
      <c r="B46" t="s">
        <v>21</v>
      </c>
      <c r="C46" t="s">
        <v>51</v>
      </c>
      <c r="D46" s="58">
        <v>2040</v>
      </c>
      <c r="E46" s="2">
        <f>Input!H99</f>
        <v>1270</v>
      </c>
    </row>
    <row r="47" spans="1:5" x14ac:dyDescent="0.25">
      <c r="A47" t="s">
        <v>38</v>
      </c>
      <c r="B47" t="s">
        <v>22</v>
      </c>
      <c r="C47" t="s">
        <v>51</v>
      </c>
      <c r="D47" s="58">
        <v>2040</v>
      </c>
      <c r="E47" s="2">
        <f>Input!H100</f>
        <v>300</v>
      </c>
    </row>
    <row r="48" spans="1:5" x14ac:dyDescent="0.25">
      <c r="A48" t="s">
        <v>38</v>
      </c>
      <c r="B48" t="s">
        <v>23</v>
      </c>
      <c r="C48" t="s">
        <v>51</v>
      </c>
      <c r="D48" s="58">
        <v>2040</v>
      </c>
      <c r="E48" s="2">
        <f>Input!H101</f>
        <v>460</v>
      </c>
    </row>
    <row r="49" spans="1:5" x14ac:dyDescent="0.25">
      <c r="A49" t="s">
        <v>38</v>
      </c>
      <c r="B49" t="s">
        <v>24</v>
      </c>
      <c r="C49" t="s">
        <v>51</v>
      </c>
      <c r="D49" s="58">
        <v>2040</v>
      </c>
      <c r="E49" s="2">
        <f>Input!H102</f>
        <v>210</v>
      </c>
    </row>
    <row r="50" spans="1:5" x14ac:dyDescent="0.25">
      <c r="A50" t="s">
        <v>43</v>
      </c>
      <c r="B50" t="s">
        <v>7</v>
      </c>
      <c r="C50" t="s">
        <v>59</v>
      </c>
      <c r="D50" s="58">
        <v>2022</v>
      </c>
      <c r="E50" s="2">
        <f>Input!M87</f>
        <v>6</v>
      </c>
    </row>
    <row r="51" spans="1:5" x14ac:dyDescent="0.25">
      <c r="A51" t="s">
        <v>43</v>
      </c>
      <c r="B51" t="s">
        <v>10</v>
      </c>
      <c r="C51" t="s">
        <v>59</v>
      </c>
      <c r="D51" s="58">
        <v>2022</v>
      </c>
      <c r="E51" s="2">
        <f>Input!M88</f>
        <v>9</v>
      </c>
    </row>
    <row r="52" spans="1:5" x14ac:dyDescent="0.25">
      <c r="A52" t="s">
        <v>43</v>
      </c>
      <c r="B52" t="s">
        <v>11</v>
      </c>
      <c r="C52" t="s">
        <v>59</v>
      </c>
      <c r="D52" s="58">
        <v>2022</v>
      </c>
      <c r="E52" s="2">
        <f>Input!M89</f>
        <v>9</v>
      </c>
    </row>
    <row r="53" spans="1:5" x14ac:dyDescent="0.25">
      <c r="A53" t="s">
        <v>43</v>
      </c>
      <c r="B53" t="s">
        <v>12</v>
      </c>
      <c r="C53" t="s">
        <v>59</v>
      </c>
      <c r="D53" s="58">
        <v>2022</v>
      </c>
      <c r="E53" s="2">
        <f>Input!M90</f>
        <v>11</v>
      </c>
    </row>
    <row r="54" spans="1:5" x14ac:dyDescent="0.25">
      <c r="A54" t="s">
        <v>43</v>
      </c>
      <c r="B54" t="s">
        <v>13</v>
      </c>
      <c r="C54" t="s">
        <v>59</v>
      </c>
      <c r="D54" s="58">
        <v>2022</v>
      </c>
      <c r="E54" s="2">
        <f>Input!M91</f>
        <v>12</v>
      </c>
    </row>
    <row r="55" spans="1:5" x14ac:dyDescent="0.25">
      <c r="A55" t="s">
        <v>43</v>
      </c>
      <c r="B55" t="s">
        <v>14</v>
      </c>
      <c r="C55" t="s">
        <v>59</v>
      </c>
      <c r="D55" s="58">
        <v>2022</v>
      </c>
      <c r="E55" s="2">
        <f>Input!M92</f>
        <v>17</v>
      </c>
    </row>
    <row r="56" spans="1:5" x14ac:dyDescent="0.25">
      <c r="A56" t="s">
        <v>43</v>
      </c>
      <c r="B56" t="s">
        <v>15</v>
      </c>
      <c r="C56" t="s">
        <v>59</v>
      </c>
      <c r="D56" s="58">
        <v>2022</v>
      </c>
      <c r="E56" s="2">
        <f>Input!M93</f>
        <v>68</v>
      </c>
    </row>
    <row r="57" spans="1:5" x14ac:dyDescent="0.25">
      <c r="A57" t="s">
        <v>43</v>
      </c>
      <c r="B57" t="s">
        <v>16</v>
      </c>
      <c r="C57" t="s">
        <v>59</v>
      </c>
      <c r="D57" s="58">
        <v>2022</v>
      </c>
      <c r="E57" s="2">
        <f>Input!M94</f>
        <v>21</v>
      </c>
    </row>
    <row r="58" spans="1:5" x14ac:dyDescent="0.25">
      <c r="A58" t="s">
        <v>43</v>
      </c>
      <c r="B58" t="s">
        <v>17</v>
      </c>
      <c r="C58" t="s">
        <v>59</v>
      </c>
      <c r="D58" s="58">
        <v>2022</v>
      </c>
      <c r="E58" s="2">
        <f>Input!M95</f>
        <v>45</v>
      </c>
    </row>
    <row r="59" spans="1:5" x14ac:dyDescent="0.25">
      <c r="A59" t="s">
        <v>43</v>
      </c>
      <c r="B59" t="s">
        <v>18</v>
      </c>
      <c r="C59" t="s">
        <v>59</v>
      </c>
      <c r="D59" s="58">
        <v>2022</v>
      </c>
      <c r="E59" s="2">
        <f>Input!M96</f>
        <v>16</v>
      </c>
    </row>
    <row r="60" spans="1:5" x14ac:dyDescent="0.25">
      <c r="A60" t="s">
        <v>43</v>
      </c>
      <c r="B60" t="s">
        <v>19</v>
      </c>
      <c r="C60" t="s">
        <v>59</v>
      </c>
      <c r="D60" s="58">
        <v>2022</v>
      </c>
      <c r="E60" s="2">
        <f>Input!M97</f>
        <v>67</v>
      </c>
    </row>
    <row r="61" spans="1:5" x14ac:dyDescent="0.25">
      <c r="A61" t="s">
        <v>43</v>
      </c>
      <c r="B61" t="s">
        <v>20</v>
      </c>
      <c r="C61" t="s">
        <v>59</v>
      </c>
      <c r="D61" s="58">
        <v>2022</v>
      </c>
      <c r="E61" s="2">
        <f>Input!M98</f>
        <v>18</v>
      </c>
    </row>
    <row r="62" spans="1:5" x14ac:dyDescent="0.25">
      <c r="A62" t="s">
        <v>43</v>
      </c>
      <c r="B62" t="s">
        <v>21</v>
      </c>
      <c r="C62" t="s">
        <v>59</v>
      </c>
      <c r="D62" s="58">
        <v>2022</v>
      </c>
      <c r="E62" s="2">
        <f>Input!M99</f>
        <v>80</v>
      </c>
    </row>
    <row r="63" spans="1:5" x14ac:dyDescent="0.25">
      <c r="A63" t="s">
        <v>43</v>
      </c>
      <c r="B63" t="s">
        <v>22</v>
      </c>
      <c r="C63" t="s">
        <v>59</v>
      </c>
      <c r="D63" s="58">
        <v>2022</v>
      </c>
      <c r="E63" s="2">
        <f>Input!M100</f>
        <v>17</v>
      </c>
    </row>
    <row r="64" spans="1:5" x14ac:dyDescent="0.25">
      <c r="A64" t="s">
        <v>43</v>
      </c>
      <c r="B64" t="s">
        <v>23</v>
      </c>
      <c r="C64" t="s">
        <v>59</v>
      </c>
      <c r="D64" s="58">
        <v>2022</v>
      </c>
      <c r="E64" s="2">
        <f>Input!M101</f>
        <v>27</v>
      </c>
    </row>
    <row r="65" spans="1:5" x14ac:dyDescent="0.25">
      <c r="A65" t="s">
        <v>43</v>
      </c>
      <c r="B65" t="s">
        <v>24</v>
      </c>
      <c r="C65" t="s">
        <v>59</v>
      </c>
      <c r="D65" s="58">
        <v>2022</v>
      </c>
      <c r="E65" s="2">
        <f>Input!M102</f>
        <v>13</v>
      </c>
    </row>
    <row r="66" spans="1:5" x14ac:dyDescent="0.25">
      <c r="A66" t="s">
        <v>43</v>
      </c>
      <c r="B66" t="s">
        <v>7</v>
      </c>
      <c r="C66" t="s">
        <v>59</v>
      </c>
      <c r="D66" s="58">
        <v>2030</v>
      </c>
      <c r="E66" s="2">
        <f>Input!N87</f>
        <v>4</v>
      </c>
    </row>
    <row r="67" spans="1:5" x14ac:dyDescent="0.25">
      <c r="A67" t="s">
        <v>43</v>
      </c>
      <c r="B67" t="s">
        <v>10</v>
      </c>
      <c r="C67" t="s">
        <v>59</v>
      </c>
      <c r="D67" s="58">
        <v>2030</v>
      </c>
      <c r="E67" s="2">
        <f>Input!N88</f>
        <v>7</v>
      </c>
    </row>
    <row r="68" spans="1:5" x14ac:dyDescent="0.25">
      <c r="A68" t="s">
        <v>43</v>
      </c>
      <c r="B68" t="s">
        <v>11</v>
      </c>
      <c r="C68" t="s">
        <v>59</v>
      </c>
      <c r="D68" s="58">
        <v>2030</v>
      </c>
      <c r="E68" s="2">
        <f>Input!N89</f>
        <v>7</v>
      </c>
    </row>
    <row r="69" spans="1:5" x14ac:dyDescent="0.25">
      <c r="A69" t="s">
        <v>43</v>
      </c>
      <c r="B69" t="s">
        <v>12</v>
      </c>
      <c r="C69" t="s">
        <v>59</v>
      </c>
      <c r="D69" s="58">
        <v>2030</v>
      </c>
      <c r="E69" s="2">
        <f>Input!N90</f>
        <v>9</v>
      </c>
    </row>
    <row r="70" spans="1:5" x14ac:dyDescent="0.25">
      <c r="A70" t="s">
        <v>43</v>
      </c>
      <c r="B70" t="s">
        <v>13</v>
      </c>
      <c r="C70" t="s">
        <v>59</v>
      </c>
      <c r="D70" s="58">
        <v>2030</v>
      </c>
      <c r="E70" s="2">
        <f>Input!N91</f>
        <v>8</v>
      </c>
    </row>
    <row r="71" spans="1:5" x14ac:dyDescent="0.25">
      <c r="A71" t="s">
        <v>43</v>
      </c>
      <c r="B71" t="s">
        <v>14</v>
      </c>
      <c r="C71" t="s">
        <v>59</v>
      </c>
      <c r="D71" s="58">
        <v>2030</v>
      </c>
      <c r="E71" s="2">
        <f>Input!N92</f>
        <v>12</v>
      </c>
    </row>
    <row r="72" spans="1:5" x14ac:dyDescent="0.25">
      <c r="A72" t="s">
        <v>43</v>
      </c>
      <c r="B72" t="s">
        <v>15</v>
      </c>
      <c r="C72" t="s">
        <v>59</v>
      </c>
      <c r="D72" s="58">
        <v>2030</v>
      </c>
      <c r="E72" s="2">
        <f>Input!N93</f>
        <v>49</v>
      </c>
    </row>
    <row r="73" spans="1:5" x14ac:dyDescent="0.25">
      <c r="A73" t="s">
        <v>43</v>
      </c>
      <c r="B73" t="s">
        <v>16</v>
      </c>
      <c r="C73" t="s">
        <v>59</v>
      </c>
      <c r="D73" s="58">
        <v>2030</v>
      </c>
      <c r="E73" s="2">
        <f>Input!N94</f>
        <v>14</v>
      </c>
    </row>
    <row r="74" spans="1:5" x14ac:dyDescent="0.25">
      <c r="A74" t="s">
        <v>43</v>
      </c>
      <c r="B74" t="s">
        <v>17</v>
      </c>
      <c r="C74" t="s">
        <v>59</v>
      </c>
      <c r="D74" s="58">
        <v>2030</v>
      </c>
      <c r="E74" s="2">
        <f>Input!N95</f>
        <v>33</v>
      </c>
    </row>
    <row r="75" spans="1:5" x14ac:dyDescent="0.25">
      <c r="A75" t="s">
        <v>43</v>
      </c>
      <c r="B75" t="s">
        <v>18</v>
      </c>
      <c r="C75" t="s">
        <v>59</v>
      </c>
      <c r="D75" s="58">
        <v>2030</v>
      </c>
      <c r="E75" s="2">
        <f>Input!N96</f>
        <v>11</v>
      </c>
    </row>
    <row r="76" spans="1:5" x14ac:dyDescent="0.25">
      <c r="A76" t="s">
        <v>43</v>
      </c>
      <c r="B76" t="s">
        <v>19</v>
      </c>
      <c r="C76" t="s">
        <v>59</v>
      </c>
      <c r="D76" s="58">
        <v>2030</v>
      </c>
      <c r="E76" s="2">
        <f>Input!N97</f>
        <v>49</v>
      </c>
    </row>
    <row r="77" spans="1:5" x14ac:dyDescent="0.25">
      <c r="A77" t="s">
        <v>43</v>
      </c>
      <c r="B77" t="s">
        <v>20</v>
      </c>
      <c r="C77" t="s">
        <v>59</v>
      </c>
      <c r="D77" s="58">
        <v>2030</v>
      </c>
      <c r="E77" s="2">
        <f>Input!N98</f>
        <v>13</v>
      </c>
    </row>
    <row r="78" spans="1:5" x14ac:dyDescent="0.25">
      <c r="A78" t="s">
        <v>43</v>
      </c>
      <c r="B78" t="s">
        <v>21</v>
      </c>
      <c r="C78" t="s">
        <v>59</v>
      </c>
      <c r="D78" s="58">
        <v>2030</v>
      </c>
      <c r="E78" s="2">
        <f>Input!N99</f>
        <v>59</v>
      </c>
    </row>
    <row r="79" spans="1:5" x14ac:dyDescent="0.25">
      <c r="A79" t="s">
        <v>43</v>
      </c>
      <c r="B79" t="s">
        <v>22</v>
      </c>
      <c r="C79" t="s">
        <v>59</v>
      </c>
      <c r="D79" s="58">
        <v>2030</v>
      </c>
      <c r="E79" s="2">
        <f>Input!N100</f>
        <v>13</v>
      </c>
    </row>
    <row r="80" spans="1:5" x14ac:dyDescent="0.25">
      <c r="A80" t="s">
        <v>43</v>
      </c>
      <c r="B80" t="s">
        <v>23</v>
      </c>
      <c r="C80" t="s">
        <v>59</v>
      </c>
      <c r="D80" s="58">
        <v>2030</v>
      </c>
      <c r="E80" s="2">
        <f>Input!N101</f>
        <v>19</v>
      </c>
    </row>
    <row r="81" spans="1:5" x14ac:dyDescent="0.25">
      <c r="A81" t="s">
        <v>43</v>
      </c>
      <c r="B81" t="s">
        <v>24</v>
      </c>
      <c r="C81" t="s">
        <v>59</v>
      </c>
      <c r="D81" s="58">
        <v>2030</v>
      </c>
      <c r="E81" s="2">
        <f>Input!N102</f>
        <v>9</v>
      </c>
    </row>
    <row r="82" spans="1:5" x14ac:dyDescent="0.25">
      <c r="A82" t="s">
        <v>43</v>
      </c>
      <c r="B82" t="s">
        <v>7</v>
      </c>
      <c r="C82" t="s">
        <v>59</v>
      </c>
      <c r="D82" s="58">
        <v>2040</v>
      </c>
      <c r="E82" s="2">
        <f>Input!O87</f>
        <v>4</v>
      </c>
    </row>
    <row r="83" spans="1:5" x14ac:dyDescent="0.25">
      <c r="A83" t="s">
        <v>43</v>
      </c>
      <c r="B83" t="s">
        <v>10</v>
      </c>
      <c r="C83" t="s">
        <v>59</v>
      </c>
      <c r="D83" s="58">
        <v>2040</v>
      </c>
      <c r="E83" s="2">
        <f>Input!O88</f>
        <v>6</v>
      </c>
    </row>
    <row r="84" spans="1:5" x14ac:dyDescent="0.25">
      <c r="A84" t="s">
        <v>43</v>
      </c>
      <c r="B84" t="s">
        <v>11</v>
      </c>
      <c r="C84" t="s">
        <v>59</v>
      </c>
      <c r="D84" s="58">
        <v>2040</v>
      </c>
      <c r="E84" s="2">
        <f>Input!O89</f>
        <v>6</v>
      </c>
    </row>
    <row r="85" spans="1:5" x14ac:dyDescent="0.25">
      <c r="A85" t="s">
        <v>43</v>
      </c>
      <c r="B85" t="s">
        <v>12</v>
      </c>
      <c r="C85" t="s">
        <v>59</v>
      </c>
      <c r="D85" s="58">
        <v>2040</v>
      </c>
      <c r="E85" s="2">
        <f>Input!O90</f>
        <v>8</v>
      </c>
    </row>
    <row r="86" spans="1:5" x14ac:dyDescent="0.25">
      <c r="A86" t="s">
        <v>43</v>
      </c>
      <c r="B86" t="s">
        <v>13</v>
      </c>
      <c r="C86" t="s">
        <v>59</v>
      </c>
      <c r="D86" s="58">
        <v>2040</v>
      </c>
      <c r="E86" s="2">
        <f>Input!O91</f>
        <v>8</v>
      </c>
    </row>
    <row r="87" spans="1:5" x14ac:dyDescent="0.25">
      <c r="A87" t="s">
        <v>43</v>
      </c>
      <c r="B87" t="s">
        <v>14</v>
      </c>
      <c r="C87" t="s">
        <v>59</v>
      </c>
      <c r="D87" s="58">
        <v>2040</v>
      </c>
      <c r="E87" s="2">
        <f>Input!O92</f>
        <v>11</v>
      </c>
    </row>
    <row r="88" spans="1:5" x14ac:dyDescent="0.25">
      <c r="A88" t="s">
        <v>43</v>
      </c>
      <c r="B88" t="s">
        <v>15</v>
      </c>
      <c r="C88" t="s">
        <v>59</v>
      </c>
      <c r="D88" s="58">
        <v>2040</v>
      </c>
      <c r="E88" s="2">
        <f>Input!O93</f>
        <v>46</v>
      </c>
    </row>
    <row r="89" spans="1:5" x14ac:dyDescent="0.25">
      <c r="A89" t="s">
        <v>43</v>
      </c>
      <c r="B89" t="s">
        <v>16</v>
      </c>
      <c r="C89" t="s">
        <v>59</v>
      </c>
      <c r="D89" s="58">
        <v>2040</v>
      </c>
      <c r="E89" s="2">
        <f>Input!O94</f>
        <v>13</v>
      </c>
    </row>
    <row r="90" spans="1:5" x14ac:dyDescent="0.25">
      <c r="A90" t="s">
        <v>43</v>
      </c>
      <c r="B90" t="s">
        <v>17</v>
      </c>
      <c r="C90" t="s">
        <v>59</v>
      </c>
      <c r="D90" s="58">
        <v>2040</v>
      </c>
      <c r="E90" s="2">
        <f>Input!O95</f>
        <v>32</v>
      </c>
    </row>
    <row r="91" spans="1:5" x14ac:dyDescent="0.25">
      <c r="A91" t="s">
        <v>43</v>
      </c>
      <c r="B91" t="s">
        <v>18</v>
      </c>
      <c r="C91" t="s">
        <v>59</v>
      </c>
      <c r="D91" s="58">
        <v>2040</v>
      </c>
      <c r="E91" s="2">
        <f>Input!O96</f>
        <v>10</v>
      </c>
    </row>
    <row r="92" spans="1:5" x14ac:dyDescent="0.25">
      <c r="A92" t="s">
        <v>43</v>
      </c>
      <c r="B92" t="s">
        <v>19</v>
      </c>
      <c r="C92" t="s">
        <v>59</v>
      </c>
      <c r="D92" s="58">
        <v>2040</v>
      </c>
      <c r="E92" s="2">
        <f>Input!O97</f>
        <v>46</v>
      </c>
    </row>
    <row r="93" spans="1:5" x14ac:dyDescent="0.25">
      <c r="A93" t="s">
        <v>43</v>
      </c>
      <c r="B93" t="s">
        <v>20</v>
      </c>
      <c r="C93" t="s">
        <v>59</v>
      </c>
      <c r="D93" s="58">
        <v>2040</v>
      </c>
      <c r="E93" s="2">
        <f>Input!O98</f>
        <v>12</v>
      </c>
    </row>
    <row r="94" spans="1:5" x14ac:dyDescent="0.25">
      <c r="A94" t="s">
        <v>43</v>
      </c>
      <c r="B94" t="s">
        <v>21</v>
      </c>
      <c r="C94" t="s">
        <v>59</v>
      </c>
      <c r="D94" s="58">
        <v>2040</v>
      </c>
      <c r="E94" s="2">
        <f>Input!O99</f>
        <v>56</v>
      </c>
    </row>
    <row r="95" spans="1:5" x14ac:dyDescent="0.25">
      <c r="A95" t="s">
        <v>43</v>
      </c>
      <c r="B95" t="s">
        <v>22</v>
      </c>
      <c r="C95" t="s">
        <v>59</v>
      </c>
      <c r="D95" s="58">
        <v>2040</v>
      </c>
      <c r="E95" s="2">
        <f>Input!O100</f>
        <v>12</v>
      </c>
    </row>
    <row r="96" spans="1:5" x14ac:dyDescent="0.25">
      <c r="A96" t="s">
        <v>43</v>
      </c>
      <c r="B96" t="s">
        <v>23</v>
      </c>
      <c r="C96" t="s">
        <v>59</v>
      </c>
      <c r="D96" s="58">
        <v>2040</v>
      </c>
      <c r="E96" s="2">
        <f>Input!O101</f>
        <v>18</v>
      </c>
    </row>
    <row r="97" spans="1:5" x14ac:dyDescent="0.25">
      <c r="A97" t="s">
        <v>43</v>
      </c>
      <c r="B97" t="s">
        <v>24</v>
      </c>
      <c r="C97" t="s">
        <v>59</v>
      </c>
      <c r="D97" s="58">
        <v>2040</v>
      </c>
      <c r="E97" s="2">
        <f>Input!O102</f>
        <v>8</v>
      </c>
    </row>
    <row r="98" spans="1:5" x14ac:dyDescent="0.25">
      <c r="A98" t="s">
        <v>43</v>
      </c>
      <c r="B98" t="s">
        <v>7</v>
      </c>
      <c r="C98" t="s">
        <v>60</v>
      </c>
      <c r="D98" s="58">
        <v>2022</v>
      </c>
      <c r="E98" s="2">
        <f>Input!K87</f>
        <v>100</v>
      </c>
    </row>
    <row r="99" spans="1:5" x14ac:dyDescent="0.25">
      <c r="A99" t="s">
        <v>43</v>
      </c>
      <c r="B99" t="s">
        <v>10</v>
      </c>
      <c r="C99" t="s">
        <v>60</v>
      </c>
      <c r="D99" s="58">
        <v>2022</v>
      </c>
      <c r="E99" s="2">
        <f>Input!K88</f>
        <v>100</v>
      </c>
    </row>
    <row r="100" spans="1:5" x14ac:dyDescent="0.25">
      <c r="A100" t="s">
        <v>43</v>
      </c>
      <c r="B100" t="s">
        <v>11</v>
      </c>
      <c r="C100" t="s">
        <v>60</v>
      </c>
      <c r="D100" s="58">
        <v>2022</v>
      </c>
      <c r="E100" s="2">
        <f>Input!K89</f>
        <v>100</v>
      </c>
    </row>
    <row r="101" spans="1:5" x14ac:dyDescent="0.25">
      <c r="A101" t="s">
        <v>43</v>
      </c>
      <c r="B101" t="s">
        <v>12</v>
      </c>
      <c r="C101" t="s">
        <v>60</v>
      </c>
      <c r="D101" s="58">
        <v>2022</v>
      </c>
      <c r="E101" s="2">
        <f>Input!K90</f>
        <v>100</v>
      </c>
    </row>
    <row r="102" spans="1:5" x14ac:dyDescent="0.25">
      <c r="A102" t="s">
        <v>43</v>
      </c>
      <c r="B102" t="s">
        <v>13</v>
      </c>
      <c r="C102" t="s">
        <v>60</v>
      </c>
      <c r="D102" s="58">
        <v>2022</v>
      </c>
      <c r="E102" s="2">
        <f>Input!K91</f>
        <v>100</v>
      </c>
    </row>
    <row r="103" spans="1:5" x14ac:dyDescent="0.25">
      <c r="A103" t="s">
        <v>43</v>
      </c>
      <c r="B103" t="s">
        <v>14</v>
      </c>
      <c r="C103" t="s">
        <v>60</v>
      </c>
      <c r="D103" s="58">
        <v>2022</v>
      </c>
      <c r="E103" s="2">
        <f>Input!K92</f>
        <v>200</v>
      </c>
    </row>
    <row r="104" spans="1:5" x14ac:dyDescent="0.25">
      <c r="A104" t="s">
        <v>43</v>
      </c>
      <c r="B104" t="s">
        <v>15</v>
      </c>
      <c r="C104" t="s">
        <v>60</v>
      </c>
      <c r="D104" s="58">
        <v>2022</v>
      </c>
      <c r="E104" s="2">
        <f>Input!K93</f>
        <v>200</v>
      </c>
    </row>
    <row r="105" spans="1:5" x14ac:dyDescent="0.25">
      <c r="A105" t="s">
        <v>43</v>
      </c>
      <c r="B105" t="s">
        <v>16</v>
      </c>
      <c r="C105" t="s">
        <v>60</v>
      </c>
      <c r="D105" s="58">
        <v>2022</v>
      </c>
      <c r="E105" s="2">
        <f>Input!K94</f>
        <v>200</v>
      </c>
    </row>
    <row r="106" spans="1:5" x14ac:dyDescent="0.25">
      <c r="A106" t="s">
        <v>43</v>
      </c>
      <c r="B106" t="s">
        <v>17</v>
      </c>
      <c r="C106" t="s">
        <v>60</v>
      </c>
      <c r="D106" s="58">
        <v>2022</v>
      </c>
      <c r="E106" s="2">
        <f>Input!K95</f>
        <v>200</v>
      </c>
    </row>
    <row r="107" spans="1:5" x14ac:dyDescent="0.25">
      <c r="A107" t="s">
        <v>43</v>
      </c>
      <c r="B107" t="s">
        <v>18</v>
      </c>
      <c r="C107" t="s">
        <v>60</v>
      </c>
      <c r="D107" s="58">
        <v>2022</v>
      </c>
      <c r="E107" s="2">
        <f>Input!K96</f>
        <v>200</v>
      </c>
    </row>
    <row r="108" spans="1:5" x14ac:dyDescent="0.25">
      <c r="A108" t="s">
        <v>43</v>
      </c>
      <c r="B108" t="s">
        <v>19</v>
      </c>
      <c r="C108" t="s">
        <v>60</v>
      </c>
      <c r="D108" s="58">
        <v>2022</v>
      </c>
      <c r="E108" s="2">
        <f>Input!K97</f>
        <v>200</v>
      </c>
    </row>
    <row r="109" spans="1:5" x14ac:dyDescent="0.25">
      <c r="A109" t="s">
        <v>43</v>
      </c>
      <c r="B109" t="s">
        <v>20</v>
      </c>
      <c r="C109" t="s">
        <v>60</v>
      </c>
      <c r="D109" s="58">
        <v>2022</v>
      </c>
      <c r="E109" s="2">
        <f>Input!K98</f>
        <v>200</v>
      </c>
    </row>
    <row r="110" spans="1:5" x14ac:dyDescent="0.25">
      <c r="A110" t="s">
        <v>43</v>
      </c>
      <c r="B110" t="s">
        <v>21</v>
      </c>
      <c r="C110" t="s">
        <v>60</v>
      </c>
      <c r="D110" s="58">
        <v>2022</v>
      </c>
      <c r="E110" s="2">
        <f>Input!K99</f>
        <v>200</v>
      </c>
    </row>
    <row r="111" spans="1:5" x14ac:dyDescent="0.25">
      <c r="A111" t="s">
        <v>43</v>
      </c>
      <c r="B111" t="s">
        <v>22</v>
      </c>
      <c r="C111" t="s">
        <v>60</v>
      </c>
      <c r="D111" s="58">
        <v>2022</v>
      </c>
      <c r="E111" s="2">
        <f>Input!K100</f>
        <v>200</v>
      </c>
    </row>
    <row r="112" spans="1:5" x14ac:dyDescent="0.25">
      <c r="A112" t="s">
        <v>43</v>
      </c>
      <c r="B112" t="s">
        <v>23</v>
      </c>
      <c r="C112" t="s">
        <v>60</v>
      </c>
      <c r="D112" s="58">
        <v>2022</v>
      </c>
      <c r="E112" s="2">
        <f>Input!K101</f>
        <v>200</v>
      </c>
    </row>
    <row r="113" spans="1:5" x14ac:dyDescent="0.25">
      <c r="A113" t="s">
        <v>43</v>
      </c>
      <c r="B113" t="s">
        <v>24</v>
      </c>
      <c r="C113" t="s">
        <v>60</v>
      </c>
      <c r="D113" s="58">
        <v>2022</v>
      </c>
      <c r="E113" s="2">
        <f>Input!K102</f>
        <v>200</v>
      </c>
    </row>
    <row r="114" spans="1:5" x14ac:dyDescent="0.25">
      <c r="A114" t="s">
        <v>43</v>
      </c>
      <c r="B114" t="s">
        <v>7</v>
      </c>
      <c r="C114" t="s">
        <v>61</v>
      </c>
      <c r="D114" s="58">
        <v>2022</v>
      </c>
      <c r="E114" s="2">
        <f>Input!L87</f>
        <v>100</v>
      </c>
    </row>
    <row r="115" spans="1:5" x14ac:dyDescent="0.25">
      <c r="A115" t="s">
        <v>43</v>
      </c>
      <c r="B115" t="s">
        <v>10</v>
      </c>
      <c r="C115" t="s">
        <v>61</v>
      </c>
      <c r="D115" s="58">
        <v>2022</v>
      </c>
      <c r="E115" s="2">
        <f>Input!L88</f>
        <v>100</v>
      </c>
    </row>
    <row r="116" spans="1:5" x14ac:dyDescent="0.25">
      <c r="A116" t="s">
        <v>43</v>
      </c>
      <c r="B116" t="s">
        <v>11</v>
      </c>
      <c r="C116" t="s">
        <v>61</v>
      </c>
      <c r="D116" s="58">
        <v>2022</v>
      </c>
      <c r="E116" s="2">
        <f>Input!L89</f>
        <v>100</v>
      </c>
    </row>
    <row r="117" spans="1:5" x14ac:dyDescent="0.25">
      <c r="A117" t="s">
        <v>43</v>
      </c>
      <c r="B117" t="s">
        <v>12</v>
      </c>
      <c r="C117" t="s">
        <v>61</v>
      </c>
      <c r="D117" s="58">
        <v>2022</v>
      </c>
      <c r="E117" s="2">
        <f>Input!L90</f>
        <v>100</v>
      </c>
    </row>
    <row r="118" spans="1:5" x14ac:dyDescent="0.25">
      <c r="A118" t="s">
        <v>43</v>
      </c>
      <c r="B118" t="s">
        <v>13</v>
      </c>
      <c r="C118" t="s">
        <v>61</v>
      </c>
      <c r="D118" s="58">
        <v>2022</v>
      </c>
      <c r="E118" s="2">
        <f>Input!L91</f>
        <v>100</v>
      </c>
    </row>
    <row r="119" spans="1:5" x14ac:dyDescent="0.25">
      <c r="A119" t="s">
        <v>43</v>
      </c>
      <c r="B119" t="s">
        <v>14</v>
      </c>
      <c r="C119" t="s">
        <v>61</v>
      </c>
      <c r="D119" s="58">
        <v>2022</v>
      </c>
      <c r="E119" s="2">
        <f>Input!L92</f>
        <v>100</v>
      </c>
    </row>
    <row r="120" spans="1:5" x14ac:dyDescent="0.25">
      <c r="A120" t="s">
        <v>43</v>
      </c>
      <c r="B120" t="s">
        <v>15</v>
      </c>
      <c r="C120" t="s">
        <v>61</v>
      </c>
      <c r="D120" s="58">
        <v>2022</v>
      </c>
      <c r="E120" s="2">
        <f>Input!L93</f>
        <v>100</v>
      </c>
    </row>
    <row r="121" spans="1:5" x14ac:dyDescent="0.25">
      <c r="A121" t="s">
        <v>43</v>
      </c>
      <c r="B121" t="s">
        <v>16</v>
      </c>
      <c r="C121" t="s">
        <v>61</v>
      </c>
      <c r="D121" s="58">
        <v>2022</v>
      </c>
      <c r="E121" s="2">
        <f>Input!L94</f>
        <v>100</v>
      </c>
    </row>
    <row r="122" spans="1:5" x14ac:dyDescent="0.25">
      <c r="A122" t="s">
        <v>43</v>
      </c>
      <c r="B122" t="s">
        <v>17</v>
      </c>
      <c r="C122" t="s">
        <v>61</v>
      </c>
      <c r="D122" s="58">
        <v>2022</v>
      </c>
      <c r="E122" s="2">
        <f>Input!L95</f>
        <v>100</v>
      </c>
    </row>
    <row r="123" spans="1:5" x14ac:dyDescent="0.25">
      <c r="A123" t="s">
        <v>43</v>
      </c>
      <c r="B123" t="s">
        <v>18</v>
      </c>
      <c r="C123" t="s">
        <v>61</v>
      </c>
      <c r="D123" s="58">
        <v>2022</v>
      </c>
      <c r="E123" s="2">
        <f>Input!L96</f>
        <v>100</v>
      </c>
    </row>
    <row r="124" spans="1:5" x14ac:dyDescent="0.25">
      <c r="A124" t="s">
        <v>43</v>
      </c>
      <c r="B124" t="s">
        <v>19</v>
      </c>
      <c r="C124" t="s">
        <v>61</v>
      </c>
      <c r="D124" s="58">
        <v>2022</v>
      </c>
      <c r="E124" s="2">
        <f>Input!L97</f>
        <v>100</v>
      </c>
    </row>
    <row r="125" spans="1:5" x14ac:dyDescent="0.25">
      <c r="A125" t="s">
        <v>43</v>
      </c>
      <c r="B125" t="s">
        <v>20</v>
      </c>
      <c r="C125" t="s">
        <v>61</v>
      </c>
      <c r="D125" s="58">
        <v>2022</v>
      </c>
      <c r="E125" s="2">
        <f>Input!L98</f>
        <v>100</v>
      </c>
    </row>
    <row r="126" spans="1:5" x14ac:dyDescent="0.25">
      <c r="A126" t="s">
        <v>43</v>
      </c>
      <c r="B126" t="s">
        <v>21</v>
      </c>
      <c r="C126" t="s">
        <v>61</v>
      </c>
      <c r="D126" s="58">
        <v>2022</v>
      </c>
      <c r="E126" s="2">
        <f>Input!L99</f>
        <v>100</v>
      </c>
    </row>
    <row r="127" spans="1:5" x14ac:dyDescent="0.25">
      <c r="A127" t="s">
        <v>43</v>
      </c>
      <c r="B127" t="s">
        <v>22</v>
      </c>
      <c r="C127" t="s">
        <v>61</v>
      </c>
      <c r="D127" s="58">
        <v>2022</v>
      </c>
      <c r="E127" s="2">
        <f>Input!L100</f>
        <v>100</v>
      </c>
    </row>
    <row r="128" spans="1:5" x14ac:dyDescent="0.25">
      <c r="A128" t="s">
        <v>43</v>
      </c>
      <c r="B128" t="s">
        <v>23</v>
      </c>
      <c r="C128" t="s">
        <v>61</v>
      </c>
      <c r="D128" s="58">
        <v>2022</v>
      </c>
      <c r="E128" s="2">
        <f>Input!L101</f>
        <v>100</v>
      </c>
    </row>
    <row r="129" spans="1:5" x14ac:dyDescent="0.25">
      <c r="A129" t="s">
        <v>43</v>
      </c>
      <c r="B129" t="s">
        <v>24</v>
      </c>
      <c r="C129" t="s">
        <v>61</v>
      </c>
      <c r="D129" s="58">
        <v>2022</v>
      </c>
      <c r="E129" s="2">
        <f>Input!L102</f>
        <v>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DE16B-91F1-4847-A7D7-B720DF33A9E0}">
  <sheetPr codeName="Hoja3"/>
  <dimension ref="A1:D241"/>
  <sheetViews>
    <sheetView topLeftCell="A22" workbookViewId="0">
      <selection activeCell="G13" sqref="G13"/>
    </sheetView>
  </sheetViews>
  <sheetFormatPr baseColWidth="10" defaultRowHeight="15" x14ac:dyDescent="0.25"/>
  <cols>
    <col min="4" max="4" width="11.42578125" style="2"/>
  </cols>
  <sheetData>
    <row r="1" spans="1:4" x14ac:dyDescent="0.25">
      <c r="A1" t="s">
        <v>0</v>
      </c>
      <c r="B1" t="s">
        <v>1</v>
      </c>
      <c r="C1" t="s">
        <v>2</v>
      </c>
      <c r="D1" s="2" t="s">
        <v>36</v>
      </c>
    </row>
    <row r="2" spans="1:4" x14ac:dyDescent="0.25">
      <c r="A2" t="s">
        <v>6</v>
      </c>
      <c r="B2" t="s">
        <v>7</v>
      </c>
      <c r="C2">
        <v>2022</v>
      </c>
      <c r="D2" s="2">
        <f>Input!H168</f>
        <v>21.17</v>
      </c>
    </row>
    <row r="3" spans="1:4" x14ac:dyDescent="0.25">
      <c r="A3" t="s">
        <v>6</v>
      </c>
      <c r="B3" t="s">
        <v>10</v>
      </c>
      <c r="C3">
        <v>2022</v>
      </c>
      <c r="D3" s="2">
        <f>Input!H169</f>
        <v>21.93</v>
      </c>
    </row>
    <row r="4" spans="1:4" x14ac:dyDescent="0.25">
      <c r="A4" t="s">
        <v>6</v>
      </c>
      <c r="B4" t="s">
        <v>11</v>
      </c>
      <c r="C4">
        <v>2022</v>
      </c>
      <c r="D4" s="2">
        <f>Input!H170</f>
        <v>22.69</v>
      </c>
    </row>
    <row r="5" spans="1:4" x14ac:dyDescent="0.25">
      <c r="A5" t="s">
        <v>6</v>
      </c>
      <c r="B5" t="s">
        <v>12</v>
      </c>
      <c r="C5">
        <v>2022</v>
      </c>
      <c r="D5" s="2">
        <f>Input!H171</f>
        <v>24.43</v>
      </c>
    </row>
    <row r="6" spans="1:4" x14ac:dyDescent="0.25">
      <c r="A6" t="s">
        <v>6</v>
      </c>
      <c r="B6" t="s">
        <v>13</v>
      </c>
      <c r="C6">
        <v>2022</v>
      </c>
      <c r="D6" s="2">
        <f>Input!H172</f>
        <v>24.63</v>
      </c>
    </row>
    <row r="7" spans="1:4" x14ac:dyDescent="0.25">
      <c r="A7" t="s">
        <v>6</v>
      </c>
      <c r="B7" t="s">
        <v>14</v>
      </c>
      <c r="C7">
        <v>2022</v>
      </c>
      <c r="D7" s="2">
        <f>Input!H173</f>
        <v>25.15</v>
      </c>
    </row>
    <row r="8" spans="1:4" x14ac:dyDescent="0.25">
      <c r="A8" t="s">
        <v>6</v>
      </c>
      <c r="B8" t="s">
        <v>15</v>
      </c>
      <c r="C8">
        <v>2022</v>
      </c>
      <c r="D8" s="2">
        <f>Input!H174</f>
        <v>24.58</v>
      </c>
    </row>
    <row r="9" spans="1:4" x14ac:dyDescent="0.25">
      <c r="A9" t="s">
        <v>6</v>
      </c>
      <c r="B9" t="s">
        <v>16</v>
      </c>
      <c r="C9">
        <v>2022</v>
      </c>
      <c r="D9" s="2">
        <f>Input!H175</f>
        <v>29.83</v>
      </c>
    </row>
    <row r="10" spans="1:4" x14ac:dyDescent="0.25">
      <c r="A10" t="s">
        <v>6</v>
      </c>
      <c r="B10" t="s">
        <v>17</v>
      </c>
      <c r="C10">
        <v>2022</v>
      </c>
      <c r="D10" s="2">
        <f>Input!H176</f>
        <v>34.6</v>
      </c>
    </row>
    <row r="11" spans="1:4" x14ac:dyDescent="0.25">
      <c r="A11" t="s">
        <v>6</v>
      </c>
      <c r="B11" t="s">
        <v>18</v>
      </c>
      <c r="C11">
        <v>2022</v>
      </c>
      <c r="D11" s="2">
        <f>Input!H177</f>
        <v>26.26</v>
      </c>
    </row>
    <row r="12" spans="1:4" x14ac:dyDescent="0.25">
      <c r="A12" t="s">
        <v>6</v>
      </c>
      <c r="B12" t="s">
        <v>19</v>
      </c>
      <c r="C12">
        <v>2022</v>
      </c>
      <c r="D12" s="2">
        <f>Input!H178</f>
        <v>26.26</v>
      </c>
    </row>
    <row r="13" spans="1:4" x14ac:dyDescent="0.25">
      <c r="A13" t="s">
        <v>6</v>
      </c>
      <c r="B13" t="s">
        <v>20</v>
      </c>
      <c r="C13">
        <v>2022</v>
      </c>
      <c r="D13" s="2">
        <f>Input!H179</f>
        <v>34.07</v>
      </c>
    </row>
    <row r="14" spans="1:4" x14ac:dyDescent="0.25">
      <c r="A14" t="s">
        <v>6</v>
      </c>
      <c r="B14" t="s">
        <v>21</v>
      </c>
      <c r="C14">
        <v>2022</v>
      </c>
      <c r="D14" s="2">
        <f>Input!H180</f>
        <v>34.07</v>
      </c>
    </row>
    <row r="15" spans="1:4" x14ac:dyDescent="0.25">
      <c r="A15" t="s">
        <v>6</v>
      </c>
      <c r="B15" t="s">
        <v>22</v>
      </c>
      <c r="C15">
        <v>2022</v>
      </c>
      <c r="D15" s="2">
        <f>Input!H181</f>
        <v>26.42</v>
      </c>
    </row>
    <row r="16" spans="1:4" x14ac:dyDescent="0.25">
      <c r="A16" t="s">
        <v>6</v>
      </c>
      <c r="B16" t="s">
        <v>23</v>
      </c>
      <c r="C16">
        <v>2022</v>
      </c>
      <c r="D16" s="2">
        <f>Input!H182</f>
        <v>34.28</v>
      </c>
    </row>
    <row r="17" spans="1:4" x14ac:dyDescent="0.25">
      <c r="A17" t="s">
        <v>6</v>
      </c>
      <c r="B17" t="s">
        <v>24</v>
      </c>
      <c r="C17">
        <v>2022</v>
      </c>
      <c r="D17" s="2" t="str">
        <f>Input!H183</f>
        <v>-</v>
      </c>
    </row>
    <row r="18" spans="1:4" x14ac:dyDescent="0.25">
      <c r="A18" t="s">
        <v>6</v>
      </c>
      <c r="B18" t="s">
        <v>7</v>
      </c>
      <c r="C18">
        <v>2030</v>
      </c>
      <c r="D18" s="2">
        <f>Input!I168</f>
        <v>21.17</v>
      </c>
    </row>
    <row r="19" spans="1:4" x14ac:dyDescent="0.25">
      <c r="A19" t="s">
        <v>6</v>
      </c>
      <c r="B19" t="s">
        <v>10</v>
      </c>
      <c r="C19">
        <v>2030</v>
      </c>
      <c r="D19" s="2">
        <f>Input!I169</f>
        <v>21.93</v>
      </c>
    </row>
    <row r="20" spans="1:4" x14ac:dyDescent="0.25">
      <c r="A20" t="s">
        <v>6</v>
      </c>
      <c r="B20" t="s">
        <v>11</v>
      </c>
      <c r="C20">
        <v>2030</v>
      </c>
      <c r="D20" s="2">
        <f>Input!I170</f>
        <v>22.69</v>
      </c>
    </row>
    <row r="21" spans="1:4" x14ac:dyDescent="0.25">
      <c r="A21" t="s">
        <v>6</v>
      </c>
      <c r="B21" t="s">
        <v>12</v>
      </c>
      <c r="C21">
        <v>2030</v>
      </c>
      <c r="D21" s="2">
        <f>Input!I171</f>
        <v>24.43</v>
      </c>
    </row>
    <row r="22" spans="1:4" x14ac:dyDescent="0.25">
      <c r="A22" t="s">
        <v>6</v>
      </c>
      <c r="B22" t="s">
        <v>13</v>
      </c>
      <c r="C22">
        <v>2030</v>
      </c>
      <c r="D22" s="2">
        <f>Input!I172</f>
        <v>24.63</v>
      </c>
    </row>
    <row r="23" spans="1:4" x14ac:dyDescent="0.25">
      <c r="A23" t="s">
        <v>6</v>
      </c>
      <c r="B23" t="s">
        <v>14</v>
      </c>
      <c r="C23">
        <v>2030</v>
      </c>
      <c r="D23" s="2">
        <f>Input!I173</f>
        <v>25.15</v>
      </c>
    </row>
    <row r="24" spans="1:4" x14ac:dyDescent="0.25">
      <c r="A24" t="s">
        <v>6</v>
      </c>
      <c r="B24" t="s">
        <v>15</v>
      </c>
      <c r="C24">
        <v>2030</v>
      </c>
      <c r="D24" s="2">
        <f>Input!I174</f>
        <v>24.58</v>
      </c>
    </row>
    <row r="25" spans="1:4" x14ac:dyDescent="0.25">
      <c r="A25" t="s">
        <v>6</v>
      </c>
      <c r="B25" t="s">
        <v>16</v>
      </c>
      <c r="C25">
        <v>2030</v>
      </c>
      <c r="D25" s="2">
        <f>Input!I175</f>
        <v>29.83</v>
      </c>
    </row>
    <row r="26" spans="1:4" x14ac:dyDescent="0.25">
      <c r="A26" t="s">
        <v>6</v>
      </c>
      <c r="B26" t="s">
        <v>17</v>
      </c>
      <c r="C26">
        <v>2030</v>
      </c>
      <c r="D26" s="2">
        <f>Input!I176</f>
        <v>34.6</v>
      </c>
    </row>
    <row r="27" spans="1:4" x14ac:dyDescent="0.25">
      <c r="A27" t="s">
        <v>6</v>
      </c>
      <c r="B27" t="s">
        <v>18</v>
      </c>
      <c r="C27">
        <v>2030</v>
      </c>
      <c r="D27" s="2">
        <f>Input!I177</f>
        <v>26.26</v>
      </c>
    </row>
    <row r="28" spans="1:4" x14ac:dyDescent="0.25">
      <c r="A28" t="s">
        <v>6</v>
      </c>
      <c r="B28" t="s">
        <v>19</v>
      </c>
      <c r="C28">
        <v>2030</v>
      </c>
      <c r="D28" s="2">
        <f>Input!I178</f>
        <v>26.26</v>
      </c>
    </row>
    <row r="29" spans="1:4" x14ac:dyDescent="0.25">
      <c r="A29" t="s">
        <v>6</v>
      </c>
      <c r="B29" t="s">
        <v>20</v>
      </c>
      <c r="C29">
        <v>2030</v>
      </c>
      <c r="D29" s="2">
        <f>Input!I179</f>
        <v>34.07</v>
      </c>
    </row>
    <row r="30" spans="1:4" x14ac:dyDescent="0.25">
      <c r="A30" t="s">
        <v>6</v>
      </c>
      <c r="B30" t="s">
        <v>21</v>
      </c>
      <c r="C30">
        <v>2030</v>
      </c>
      <c r="D30" s="2">
        <f>Input!I180</f>
        <v>34.07</v>
      </c>
    </row>
    <row r="31" spans="1:4" x14ac:dyDescent="0.25">
      <c r="A31" t="s">
        <v>6</v>
      </c>
      <c r="B31" t="s">
        <v>22</v>
      </c>
      <c r="C31">
        <v>2030</v>
      </c>
      <c r="D31" s="2">
        <f>Input!I181</f>
        <v>26.42</v>
      </c>
    </row>
    <row r="32" spans="1:4" x14ac:dyDescent="0.25">
      <c r="A32" t="s">
        <v>6</v>
      </c>
      <c r="B32" t="s">
        <v>23</v>
      </c>
      <c r="C32">
        <v>2030</v>
      </c>
      <c r="D32" s="2">
        <f>Input!I182</f>
        <v>34.28</v>
      </c>
    </row>
    <row r="33" spans="1:4" x14ac:dyDescent="0.25">
      <c r="A33" t="s">
        <v>6</v>
      </c>
      <c r="B33" t="s">
        <v>24</v>
      </c>
      <c r="C33">
        <v>2030</v>
      </c>
      <c r="D33" s="2" t="str">
        <f>Input!I183</f>
        <v>-</v>
      </c>
    </row>
    <row r="34" spans="1:4" x14ac:dyDescent="0.25">
      <c r="A34" t="s">
        <v>6</v>
      </c>
      <c r="B34" t="s">
        <v>7</v>
      </c>
      <c r="C34">
        <v>2040</v>
      </c>
      <c r="D34" s="2">
        <f>Input!J168</f>
        <v>21.17</v>
      </c>
    </row>
    <row r="35" spans="1:4" x14ac:dyDescent="0.25">
      <c r="A35" t="s">
        <v>6</v>
      </c>
      <c r="B35" t="s">
        <v>10</v>
      </c>
      <c r="C35">
        <v>2040</v>
      </c>
      <c r="D35" s="2">
        <f>Input!J169</f>
        <v>21.93</v>
      </c>
    </row>
    <row r="36" spans="1:4" x14ac:dyDescent="0.25">
      <c r="A36" t="s">
        <v>6</v>
      </c>
      <c r="B36" t="s">
        <v>11</v>
      </c>
      <c r="C36">
        <v>2040</v>
      </c>
      <c r="D36" s="2">
        <f>Input!J170</f>
        <v>22.69</v>
      </c>
    </row>
    <row r="37" spans="1:4" x14ac:dyDescent="0.25">
      <c r="A37" t="s">
        <v>6</v>
      </c>
      <c r="B37" t="s">
        <v>12</v>
      </c>
      <c r="C37">
        <v>2040</v>
      </c>
      <c r="D37" s="2">
        <f>Input!J171</f>
        <v>24.43</v>
      </c>
    </row>
    <row r="38" spans="1:4" x14ac:dyDescent="0.25">
      <c r="A38" t="s">
        <v>6</v>
      </c>
      <c r="B38" t="s">
        <v>13</v>
      </c>
      <c r="C38">
        <v>2040</v>
      </c>
      <c r="D38" s="2">
        <f>Input!J172</f>
        <v>24.63</v>
      </c>
    </row>
    <row r="39" spans="1:4" x14ac:dyDescent="0.25">
      <c r="A39" t="s">
        <v>6</v>
      </c>
      <c r="B39" t="s">
        <v>14</v>
      </c>
      <c r="C39">
        <v>2040</v>
      </c>
      <c r="D39" s="2">
        <f>Input!J173</f>
        <v>25.15</v>
      </c>
    </row>
    <row r="40" spans="1:4" x14ac:dyDescent="0.25">
      <c r="A40" t="s">
        <v>6</v>
      </c>
      <c r="B40" t="s">
        <v>15</v>
      </c>
      <c r="C40">
        <v>2040</v>
      </c>
      <c r="D40" s="2">
        <f>Input!J174</f>
        <v>24.58</v>
      </c>
    </row>
    <row r="41" spans="1:4" x14ac:dyDescent="0.25">
      <c r="A41" t="s">
        <v>6</v>
      </c>
      <c r="B41" t="s">
        <v>16</v>
      </c>
      <c r="C41">
        <v>2040</v>
      </c>
      <c r="D41" s="2">
        <f>Input!J175</f>
        <v>29.83</v>
      </c>
    </row>
    <row r="42" spans="1:4" x14ac:dyDescent="0.25">
      <c r="A42" t="s">
        <v>6</v>
      </c>
      <c r="B42" t="s">
        <v>17</v>
      </c>
      <c r="C42">
        <v>2040</v>
      </c>
      <c r="D42" s="2">
        <f>Input!J176</f>
        <v>34.6</v>
      </c>
    </row>
    <row r="43" spans="1:4" x14ac:dyDescent="0.25">
      <c r="A43" t="s">
        <v>6</v>
      </c>
      <c r="B43" t="s">
        <v>18</v>
      </c>
      <c r="C43">
        <v>2040</v>
      </c>
      <c r="D43" s="2">
        <f>Input!J177</f>
        <v>26.26</v>
      </c>
    </row>
    <row r="44" spans="1:4" x14ac:dyDescent="0.25">
      <c r="A44" t="s">
        <v>6</v>
      </c>
      <c r="B44" t="s">
        <v>19</v>
      </c>
      <c r="C44">
        <v>2040</v>
      </c>
      <c r="D44" s="2">
        <f>Input!J178</f>
        <v>26.26</v>
      </c>
    </row>
    <row r="45" spans="1:4" x14ac:dyDescent="0.25">
      <c r="A45" t="s">
        <v>6</v>
      </c>
      <c r="B45" t="s">
        <v>20</v>
      </c>
      <c r="C45">
        <v>2040</v>
      </c>
      <c r="D45" s="2">
        <f>Input!J179</f>
        <v>34.07</v>
      </c>
    </row>
    <row r="46" spans="1:4" x14ac:dyDescent="0.25">
      <c r="A46" t="s">
        <v>6</v>
      </c>
      <c r="B46" t="s">
        <v>21</v>
      </c>
      <c r="C46">
        <v>2040</v>
      </c>
      <c r="D46" s="2">
        <f>Input!J180</f>
        <v>34.07</v>
      </c>
    </row>
    <row r="47" spans="1:4" x14ac:dyDescent="0.25">
      <c r="A47" t="s">
        <v>6</v>
      </c>
      <c r="B47" t="s">
        <v>22</v>
      </c>
      <c r="C47">
        <v>2040</v>
      </c>
      <c r="D47" s="2">
        <f>Input!J181</f>
        <v>26.42</v>
      </c>
    </row>
    <row r="48" spans="1:4" x14ac:dyDescent="0.25">
      <c r="A48" t="s">
        <v>6</v>
      </c>
      <c r="B48" t="s">
        <v>23</v>
      </c>
      <c r="C48">
        <v>2040</v>
      </c>
      <c r="D48" s="2">
        <f>Input!J182</f>
        <v>34.28</v>
      </c>
    </row>
    <row r="49" spans="1:4" x14ac:dyDescent="0.25">
      <c r="A49" t="s">
        <v>6</v>
      </c>
      <c r="B49" t="s">
        <v>24</v>
      </c>
      <c r="C49">
        <v>2040</v>
      </c>
      <c r="D49" s="2" t="str">
        <f>Input!J183</f>
        <v>-</v>
      </c>
    </row>
    <row r="50" spans="1:4" x14ac:dyDescent="0.25">
      <c r="A50" t="s">
        <v>25</v>
      </c>
      <c r="B50" t="s">
        <v>7</v>
      </c>
      <c r="C50">
        <v>2022</v>
      </c>
      <c r="D50" s="2">
        <f>Input!O168</f>
        <v>17.641666666666669</v>
      </c>
    </row>
    <row r="51" spans="1:4" x14ac:dyDescent="0.25">
      <c r="A51" t="s">
        <v>25</v>
      </c>
      <c r="B51" t="s">
        <v>10</v>
      </c>
      <c r="C51">
        <v>2022</v>
      </c>
      <c r="D51" s="2">
        <f>Input!O169</f>
        <v>18.275000000000002</v>
      </c>
    </row>
    <row r="52" spans="1:4" x14ac:dyDescent="0.25">
      <c r="A52" t="s">
        <v>25</v>
      </c>
      <c r="B52" t="s">
        <v>11</v>
      </c>
      <c r="C52">
        <v>2022</v>
      </c>
      <c r="D52" s="2">
        <f>Input!O170</f>
        <v>18.908333333333335</v>
      </c>
    </row>
    <row r="53" spans="1:4" x14ac:dyDescent="0.25">
      <c r="A53" t="s">
        <v>25</v>
      </c>
      <c r="B53" t="s">
        <v>12</v>
      </c>
      <c r="C53">
        <v>2022</v>
      </c>
      <c r="D53" s="2">
        <f>Input!O171</f>
        <v>20.358333333333334</v>
      </c>
    </row>
    <row r="54" spans="1:4" x14ac:dyDescent="0.25">
      <c r="A54" t="s">
        <v>25</v>
      </c>
      <c r="B54" t="s">
        <v>13</v>
      </c>
      <c r="C54">
        <v>2022</v>
      </c>
      <c r="D54" s="2">
        <f>Input!O172</f>
        <v>20.524999999999999</v>
      </c>
    </row>
    <row r="55" spans="1:4" x14ac:dyDescent="0.25">
      <c r="A55" t="s">
        <v>25</v>
      </c>
      <c r="B55" t="s">
        <v>14</v>
      </c>
      <c r="C55">
        <v>2022</v>
      </c>
      <c r="D55" s="2">
        <f>Input!O173</f>
        <v>20.958333333333332</v>
      </c>
    </row>
    <row r="56" spans="1:4" x14ac:dyDescent="0.25">
      <c r="A56" t="s">
        <v>25</v>
      </c>
      <c r="B56" t="s">
        <v>15</v>
      </c>
      <c r="C56">
        <v>2022</v>
      </c>
      <c r="D56" s="2">
        <f>Input!O174</f>
        <v>20.483333333333334</v>
      </c>
    </row>
    <row r="57" spans="1:4" x14ac:dyDescent="0.25">
      <c r="A57" t="s">
        <v>25</v>
      </c>
      <c r="B57" t="s">
        <v>16</v>
      </c>
      <c r="C57">
        <v>2022</v>
      </c>
      <c r="D57" s="2">
        <f>Input!O175</f>
        <v>24.858333333333334</v>
      </c>
    </row>
    <row r="58" spans="1:4" x14ac:dyDescent="0.25">
      <c r="A58" t="s">
        <v>25</v>
      </c>
      <c r="B58" t="s">
        <v>17</v>
      </c>
      <c r="C58">
        <v>2022</v>
      </c>
      <c r="D58" s="2">
        <f>Input!O176</f>
        <v>28.833333333333336</v>
      </c>
    </row>
    <row r="59" spans="1:4" x14ac:dyDescent="0.25">
      <c r="A59" t="s">
        <v>25</v>
      </c>
      <c r="B59" t="s">
        <v>18</v>
      </c>
      <c r="C59">
        <v>2022</v>
      </c>
      <c r="D59" s="2">
        <f>Input!O177</f>
        <v>21.883333333333336</v>
      </c>
    </row>
    <row r="60" spans="1:4" x14ac:dyDescent="0.25">
      <c r="A60" t="s">
        <v>25</v>
      </c>
      <c r="B60" t="s">
        <v>19</v>
      </c>
      <c r="C60">
        <v>2022</v>
      </c>
      <c r="D60" s="2">
        <f>Input!O178</f>
        <v>21.883333333333336</v>
      </c>
    </row>
    <row r="61" spans="1:4" x14ac:dyDescent="0.25">
      <c r="A61" t="s">
        <v>25</v>
      </c>
      <c r="B61" t="s">
        <v>20</v>
      </c>
      <c r="C61">
        <v>2022</v>
      </c>
      <c r="D61" s="2">
        <f>Input!O179</f>
        <v>28.391666666666669</v>
      </c>
    </row>
    <row r="62" spans="1:4" x14ac:dyDescent="0.25">
      <c r="A62" t="s">
        <v>25</v>
      </c>
      <c r="B62" t="s">
        <v>21</v>
      </c>
      <c r="C62">
        <v>2022</v>
      </c>
      <c r="D62" s="2">
        <f>Input!O180</f>
        <v>28.391666666666669</v>
      </c>
    </row>
    <row r="63" spans="1:4" x14ac:dyDescent="0.25">
      <c r="A63" t="s">
        <v>25</v>
      </c>
      <c r="B63" t="s">
        <v>22</v>
      </c>
      <c r="C63">
        <v>2022</v>
      </c>
      <c r="D63" s="2">
        <f>Input!O181</f>
        <v>22.016666666666669</v>
      </c>
    </row>
    <row r="64" spans="1:4" x14ac:dyDescent="0.25">
      <c r="A64" t="s">
        <v>25</v>
      </c>
      <c r="B64" t="s">
        <v>23</v>
      </c>
      <c r="C64">
        <v>2022</v>
      </c>
      <c r="D64" s="2">
        <f>Input!O182</f>
        <v>28.56666666666667</v>
      </c>
    </row>
    <row r="65" spans="1:4" x14ac:dyDescent="0.25">
      <c r="A65" t="s">
        <v>25</v>
      </c>
      <c r="B65" t="s">
        <v>24</v>
      </c>
      <c r="C65">
        <v>2022</v>
      </c>
      <c r="D65" s="2">
        <f>Input!O183</f>
        <v>0</v>
      </c>
    </row>
    <row r="66" spans="1:4" x14ac:dyDescent="0.25">
      <c r="A66" t="s">
        <v>25</v>
      </c>
      <c r="B66" t="s">
        <v>7</v>
      </c>
      <c r="C66">
        <v>2030</v>
      </c>
      <c r="D66" s="2">
        <f>Input!P168</f>
        <v>17.641666666666669</v>
      </c>
    </row>
    <row r="67" spans="1:4" x14ac:dyDescent="0.25">
      <c r="A67" t="s">
        <v>25</v>
      </c>
      <c r="B67" t="s">
        <v>10</v>
      </c>
      <c r="C67">
        <v>2030</v>
      </c>
      <c r="D67" s="2">
        <f>Input!P169</f>
        <v>18.275000000000002</v>
      </c>
    </row>
    <row r="68" spans="1:4" x14ac:dyDescent="0.25">
      <c r="A68" t="s">
        <v>25</v>
      </c>
      <c r="B68" t="s">
        <v>11</v>
      </c>
      <c r="C68">
        <v>2030</v>
      </c>
      <c r="D68" s="2">
        <f>Input!P170</f>
        <v>18.908333333333335</v>
      </c>
    </row>
    <row r="69" spans="1:4" x14ac:dyDescent="0.25">
      <c r="A69" t="s">
        <v>25</v>
      </c>
      <c r="B69" t="s">
        <v>12</v>
      </c>
      <c r="C69">
        <v>2030</v>
      </c>
      <c r="D69" s="2">
        <f>Input!P171</f>
        <v>20.358333333333334</v>
      </c>
    </row>
    <row r="70" spans="1:4" x14ac:dyDescent="0.25">
      <c r="A70" t="s">
        <v>25</v>
      </c>
      <c r="B70" t="s">
        <v>13</v>
      </c>
      <c r="C70">
        <v>2030</v>
      </c>
      <c r="D70" s="2">
        <f>Input!P172</f>
        <v>20.524999999999999</v>
      </c>
    </row>
    <row r="71" spans="1:4" x14ac:dyDescent="0.25">
      <c r="A71" t="s">
        <v>25</v>
      </c>
      <c r="B71" t="s">
        <v>14</v>
      </c>
      <c r="C71">
        <v>2030</v>
      </c>
      <c r="D71" s="2">
        <f>Input!P173</f>
        <v>20.958333333333332</v>
      </c>
    </row>
    <row r="72" spans="1:4" x14ac:dyDescent="0.25">
      <c r="A72" t="s">
        <v>25</v>
      </c>
      <c r="B72" t="s">
        <v>15</v>
      </c>
      <c r="C72">
        <v>2030</v>
      </c>
      <c r="D72" s="2">
        <f>Input!P174</f>
        <v>20.483333333333334</v>
      </c>
    </row>
    <row r="73" spans="1:4" x14ac:dyDescent="0.25">
      <c r="A73" t="s">
        <v>25</v>
      </c>
      <c r="B73" t="s">
        <v>16</v>
      </c>
      <c r="C73">
        <v>2030</v>
      </c>
      <c r="D73" s="2">
        <f>Input!P175</f>
        <v>24.858333333333334</v>
      </c>
    </row>
    <row r="74" spans="1:4" x14ac:dyDescent="0.25">
      <c r="A74" t="s">
        <v>25</v>
      </c>
      <c r="B74" t="s">
        <v>17</v>
      </c>
      <c r="C74">
        <v>2030</v>
      </c>
      <c r="D74" s="2">
        <f>Input!P176</f>
        <v>28.833333333333336</v>
      </c>
    </row>
    <row r="75" spans="1:4" x14ac:dyDescent="0.25">
      <c r="A75" t="s">
        <v>25</v>
      </c>
      <c r="B75" t="s">
        <v>18</v>
      </c>
      <c r="C75">
        <v>2030</v>
      </c>
      <c r="D75" s="2">
        <f>Input!P177</f>
        <v>21.883333333333336</v>
      </c>
    </row>
    <row r="76" spans="1:4" x14ac:dyDescent="0.25">
      <c r="A76" t="s">
        <v>25</v>
      </c>
      <c r="B76" t="s">
        <v>19</v>
      </c>
      <c r="C76">
        <v>2030</v>
      </c>
      <c r="D76" s="2">
        <f>Input!P178</f>
        <v>21.883333333333336</v>
      </c>
    </row>
    <row r="77" spans="1:4" x14ac:dyDescent="0.25">
      <c r="A77" t="s">
        <v>25</v>
      </c>
      <c r="B77" t="s">
        <v>20</v>
      </c>
      <c r="C77">
        <v>2030</v>
      </c>
      <c r="D77" s="2">
        <f>Input!P179</f>
        <v>28.391666666666669</v>
      </c>
    </row>
    <row r="78" spans="1:4" x14ac:dyDescent="0.25">
      <c r="A78" t="s">
        <v>25</v>
      </c>
      <c r="B78" t="s">
        <v>21</v>
      </c>
      <c r="C78">
        <v>2030</v>
      </c>
      <c r="D78" s="2">
        <f>Input!P180</f>
        <v>28.391666666666669</v>
      </c>
    </row>
    <row r="79" spans="1:4" x14ac:dyDescent="0.25">
      <c r="A79" t="s">
        <v>25</v>
      </c>
      <c r="B79" t="s">
        <v>22</v>
      </c>
      <c r="C79">
        <v>2030</v>
      </c>
      <c r="D79" s="2">
        <f>Input!P181</f>
        <v>22.016666666666669</v>
      </c>
    </row>
    <row r="80" spans="1:4" x14ac:dyDescent="0.25">
      <c r="A80" t="s">
        <v>25</v>
      </c>
      <c r="B80" t="s">
        <v>23</v>
      </c>
      <c r="C80">
        <v>2030</v>
      </c>
      <c r="D80" s="2">
        <f>Input!P182</f>
        <v>28.56666666666667</v>
      </c>
    </row>
    <row r="81" spans="1:4" x14ac:dyDescent="0.25">
      <c r="A81" t="s">
        <v>25</v>
      </c>
      <c r="B81" t="s">
        <v>24</v>
      </c>
      <c r="C81">
        <v>2030</v>
      </c>
      <c r="D81" s="2">
        <f>Input!P183</f>
        <v>0</v>
      </c>
    </row>
    <row r="82" spans="1:4" x14ac:dyDescent="0.25">
      <c r="A82" t="s">
        <v>25</v>
      </c>
      <c r="B82" t="s">
        <v>7</v>
      </c>
      <c r="C82">
        <v>2040</v>
      </c>
      <c r="D82" s="2">
        <f>Input!Q168</f>
        <v>17.641666666666669</v>
      </c>
    </row>
    <row r="83" spans="1:4" x14ac:dyDescent="0.25">
      <c r="A83" t="s">
        <v>25</v>
      </c>
      <c r="B83" t="s">
        <v>10</v>
      </c>
      <c r="C83">
        <v>2040</v>
      </c>
      <c r="D83" s="2">
        <f>Input!Q169</f>
        <v>18.275000000000002</v>
      </c>
    </row>
    <row r="84" spans="1:4" x14ac:dyDescent="0.25">
      <c r="A84" t="s">
        <v>25</v>
      </c>
      <c r="B84" t="s">
        <v>11</v>
      </c>
      <c r="C84">
        <v>2040</v>
      </c>
      <c r="D84" s="2">
        <f>Input!Q170</f>
        <v>18.908333333333335</v>
      </c>
    </row>
    <row r="85" spans="1:4" x14ac:dyDescent="0.25">
      <c r="A85" t="s">
        <v>25</v>
      </c>
      <c r="B85" t="s">
        <v>12</v>
      </c>
      <c r="C85">
        <v>2040</v>
      </c>
      <c r="D85" s="2">
        <f>Input!Q171</f>
        <v>20.358333333333334</v>
      </c>
    </row>
    <row r="86" spans="1:4" x14ac:dyDescent="0.25">
      <c r="A86" t="s">
        <v>25</v>
      </c>
      <c r="B86" t="s">
        <v>13</v>
      </c>
      <c r="C86">
        <v>2040</v>
      </c>
      <c r="D86" s="2">
        <f>Input!Q172</f>
        <v>20.524999999999999</v>
      </c>
    </row>
    <row r="87" spans="1:4" x14ac:dyDescent="0.25">
      <c r="A87" t="s">
        <v>25</v>
      </c>
      <c r="B87" t="s">
        <v>14</v>
      </c>
      <c r="C87">
        <v>2040</v>
      </c>
      <c r="D87" s="2">
        <f>Input!Q173</f>
        <v>20.958333333333332</v>
      </c>
    </row>
    <row r="88" spans="1:4" x14ac:dyDescent="0.25">
      <c r="A88" t="s">
        <v>25</v>
      </c>
      <c r="B88" t="s">
        <v>15</v>
      </c>
      <c r="C88">
        <v>2040</v>
      </c>
      <c r="D88" s="2">
        <f>Input!Q174</f>
        <v>20.483333333333334</v>
      </c>
    </row>
    <row r="89" spans="1:4" x14ac:dyDescent="0.25">
      <c r="A89" t="s">
        <v>25</v>
      </c>
      <c r="B89" t="s">
        <v>16</v>
      </c>
      <c r="C89">
        <v>2040</v>
      </c>
      <c r="D89" s="2">
        <f>Input!Q175</f>
        <v>24.858333333333334</v>
      </c>
    </row>
    <row r="90" spans="1:4" x14ac:dyDescent="0.25">
      <c r="A90" t="s">
        <v>25</v>
      </c>
      <c r="B90" t="s">
        <v>17</v>
      </c>
      <c r="C90">
        <v>2040</v>
      </c>
      <c r="D90" s="2">
        <f>Input!Q176</f>
        <v>28.833333333333336</v>
      </c>
    </row>
    <row r="91" spans="1:4" x14ac:dyDescent="0.25">
      <c r="A91" t="s">
        <v>25</v>
      </c>
      <c r="B91" t="s">
        <v>18</v>
      </c>
      <c r="C91">
        <v>2040</v>
      </c>
      <c r="D91" s="2">
        <f>Input!Q177</f>
        <v>21.883333333333336</v>
      </c>
    </row>
    <row r="92" spans="1:4" x14ac:dyDescent="0.25">
      <c r="A92" t="s">
        <v>25</v>
      </c>
      <c r="B92" t="s">
        <v>19</v>
      </c>
      <c r="C92">
        <v>2040</v>
      </c>
      <c r="D92" s="2">
        <f>Input!Q178</f>
        <v>21.883333333333336</v>
      </c>
    </row>
    <row r="93" spans="1:4" x14ac:dyDescent="0.25">
      <c r="A93" t="s">
        <v>25</v>
      </c>
      <c r="B93" t="s">
        <v>20</v>
      </c>
      <c r="C93">
        <v>2040</v>
      </c>
      <c r="D93" s="2">
        <f>Input!Q179</f>
        <v>28.391666666666669</v>
      </c>
    </row>
    <row r="94" spans="1:4" x14ac:dyDescent="0.25">
      <c r="A94" t="s">
        <v>25</v>
      </c>
      <c r="B94" t="s">
        <v>21</v>
      </c>
      <c r="C94">
        <v>2040</v>
      </c>
      <c r="D94" s="2">
        <f>Input!Q180</f>
        <v>28.391666666666669</v>
      </c>
    </row>
    <row r="95" spans="1:4" x14ac:dyDescent="0.25">
      <c r="A95" t="s">
        <v>25</v>
      </c>
      <c r="B95" t="s">
        <v>22</v>
      </c>
      <c r="C95">
        <v>2040</v>
      </c>
      <c r="D95" s="2">
        <f>Input!Q181</f>
        <v>22.016666666666669</v>
      </c>
    </row>
    <row r="96" spans="1:4" x14ac:dyDescent="0.25">
      <c r="A96" t="s">
        <v>25</v>
      </c>
      <c r="B96" t="s">
        <v>23</v>
      </c>
      <c r="C96">
        <v>2040</v>
      </c>
      <c r="D96" s="2">
        <f>Input!Q182</f>
        <v>28.56666666666667</v>
      </c>
    </row>
    <row r="97" spans="1:4" x14ac:dyDescent="0.25">
      <c r="A97" t="s">
        <v>25</v>
      </c>
      <c r="B97" t="s">
        <v>24</v>
      </c>
      <c r="C97">
        <v>2040</v>
      </c>
      <c r="D97" s="2">
        <f>Input!Q183</f>
        <v>0</v>
      </c>
    </row>
    <row r="98" spans="1:4" x14ac:dyDescent="0.25">
      <c r="A98" t="s">
        <v>38</v>
      </c>
      <c r="B98" t="s">
        <v>7</v>
      </c>
      <c r="C98">
        <v>2022</v>
      </c>
      <c r="D98" s="2">
        <f>Input!V168</f>
        <v>0.57999999999999996</v>
      </c>
    </row>
    <row r="99" spans="1:4" x14ac:dyDescent="0.25">
      <c r="A99" t="s">
        <v>38</v>
      </c>
      <c r="B99" t="s">
        <v>10</v>
      </c>
      <c r="C99">
        <v>2022</v>
      </c>
      <c r="D99" s="2">
        <f>Input!V169</f>
        <v>0.6</v>
      </c>
    </row>
    <row r="100" spans="1:4" x14ac:dyDescent="0.25">
      <c r="A100" t="s">
        <v>38</v>
      </c>
      <c r="B100" t="s">
        <v>11</v>
      </c>
      <c r="C100">
        <v>2022</v>
      </c>
      <c r="D100" s="2">
        <f>Input!V170</f>
        <v>0.62</v>
      </c>
    </row>
    <row r="101" spans="1:4" x14ac:dyDescent="0.25">
      <c r="A101" t="s">
        <v>38</v>
      </c>
      <c r="B101" t="s">
        <v>12</v>
      </c>
      <c r="C101">
        <v>2022</v>
      </c>
      <c r="D101" s="2">
        <f>Input!V171</f>
        <v>0.8</v>
      </c>
    </row>
    <row r="102" spans="1:4" x14ac:dyDescent="0.25">
      <c r="A102" t="s">
        <v>38</v>
      </c>
      <c r="B102" t="s">
        <v>13</v>
      </c>
      <c r="C102">
        <v>2022</v>
      </c>
      <c r="D102" s="2">
        <f>Input!V172</f>
        <v>0.88</v>
      </c>
    </row>
    <row r="103" spans="1:4" x14ac:dyDescent="0.25">
      <c r="A103" t="s">
        <v>38</v>
      </c>
      <c r="B103" t="s">
        <v>14</v>
      </c>
      <c r="C103">
        <v>2022</v>
      </c>
      <c r="D103" s="2">
        <f>Input!V173</f>
        <v>0.95</v>
      </c>
    </row>
    <row r="104" spans="1:4" x14ac:dyDescent="0.25">
      <c r="A104" t="s">
        <v>38</v>
      </c>
      <c r="B104" t="s">
        <v>15</v>
      </c>
      <c r="C104">
        <v>2022</v>
      </c>
      <c r="D104" s="2">
        <f>Input!V174</f>
        <v>1.06</v>
      </c>
    </row>
    <row r="105" spans="1:4" x14ac:dyDescent="0.25">
      <c r="A105" t="s">
        <v>38</v>
      </c>
      <c r="B105" t="s">
        <v>16</v>
      </c>
      <c r="C105">
        <v>2022</v>
      </c>
      <c r="D105" s="2">
        <f>Input!V175</f>
        <v>1.18</v>
      </c>
    </row>
    <row r="106" spans="1:4" x14ac:dyDescent="0.25">
      <c r="A106" t="s">
        <v>38</v>
      </c>
      <c r="B106" t="s">
        <v>17</v>
      </c>
      <c r="C106">
        <v>2022</v>
      </c>
      <c r="D106" s="2">
        <f>Input!V176</f>
        <v>1.24</v>
      </c>
    </row>
    <row r="107" spans="1:4" x14ac:dyDescent="0.25">
      <c r="A107" t="s">
        <v>38</v>
      </c>
      <c r="B107" t="s">
        <v>18</v>
      </c>
      <c r="C107">
        <v>2022</v>
      </c>
      <c r="D107" s="2">
        <f>Input!V177</f>
        <v>0.96</v>
      </c>
    </row>
    <row r="108" spans="1:4" x14ac:dyDescent="0.25">
      <c r="A108" t="s">
        <v>38</v>
      </c>
      <c r="B108" t="s">
        <v>19</v>
      </c>
      <c r="C108">
        <v>2022</v>
      </c>
      <c r="D108" s="2">
        <f>Input!V178</f>
        <v>1.06</v>
      </c>
    </row>
    <row r="109" spans="1:4" x14ac:dyDescent="0.25">
      <c r="A109" t="s">
        <v>38</v>
      </c>
      <c r="B109" t="s">
        <v>20</v>
      </c>
      <c r="C109">
        <v>2022</v>
      </c>
      <c r="D109" s="2">
        <f>Input!V179</f>
        <v>1.2</v>
      </c>
    </row>
    <row r="110" spans="1:4" x14ac:dyDescent="0.25">
      <c r="A110" t="s">
        <v>38</v>
      </c>
      <c r="B110" t="s">
        <v>21</v>
      </c>
      <c r="C110">
        <v>2022</v>
      </c>
      <c r="D110" s="2">
        <f>Input!V180</f>
        <v>1.26</v>
      </c>
    </row>
    <row r="111" spans="1:4" x14ac:dyDescent="0.25">
      <c r="A111" t="s">
        <v>38</v>
      </c>
      <c r="B111" t="s">
        <v>22</v>
      </c>
      <c r="C111">
        <v>2022</v>
      </c>
      <c r="D111" s="2">
        <f>Input!V181</f>
        <v>1.03</v>
      </c>
    </row>
    <row r="112" spans="1:4" x14ac:dyDescent="0.25">
      <c r="A112" t="s">
        <v>38</v>
      </c>
      <c r="B112" t="s">
        <v>23</v>
      </c>
      <c r="C112">
        <v>2022</v>
      </c>
      <c r="D112" s="2">
        <f>Input!V182</f>
        <v>1.1399999999999999</v>
      </c>
    </row>
    <row r="113" spans="1:4" x14ac:dyDescent="0.25">
      <c r="A113" t="s">
        <v>38</v>
      </c>
      <c r="B113" t="s">
        <v>24</v>
      </c>
      <c r="C113">
        <v>2022</v>
      </c>
      <c r="D113" s="2">
        <f>Input!V183</f>
        <v>0.95</v>
      </c>
    </row>
    <row r="114" spans="1:4" x14ac:dyDescent="0.25">
      <c r="A114" t="s">
        <v>38</v>
      </c>
      <c r="B114" t="s">
        <v>7</v>
      </c>
      <c r="C114">
        <v>2030</v>
      </c>
      <c r="D114" s="2">
        <f>Input!W168</f>
        <v>0.48</v>
      </c>
    </row>
    <row r="115" spans="1:4" x14ac:dyDescent="0.25">
      <c r="A115" t="s">
        <v>38</v>
      </c>
      <c r="B115" t="s">
        <v>10</v>
      </c>
      <c r="C115">
        <v>2030</v>
      </c>
      <c r="D115" s="2">
        <f>Input!W169</f>
        <v>0.5</v>
      </c>
    </row>
    <row r="116" spans="1:4" x14ac:dyDescent="0.25">
      <c r="A116" t="s">
        <v>38</v>
      </c>
      <c r="B116" t="s">
        <v>11</v>
      </c>
      <c r="C116">
        <v>2030</v>
      </c>
      <c r="D116" s="2">
        <f>Input!W170</f>
        <v>0.51</v>
      </c>
    </row>
    <row r="117" spans="1:4" x14ac:dyDescent="0.25">
      <c r="A117" t="s">
        <v>38</v>
      </c>
      <c r="B117" t="s">
        <v>12</v>
      </c>
      <c r="C117">
        <v>2030</v>
      </c>
      <c r="D117" s="2">
        <f>Input!W171</f>
        <v>0.65</v>
      </c>
    </row>
    <row r="118" spans="1:4" x14ac:dyDescent="0.25">
      <c r="A118" t="s">
        <v>38</v>
      </c>
      <c r="B118" t="s">
        <v>13</v>
      </c>
      <c r="C118">
        <v>2030</v>
      </c>
      <c r="D118" s="2">
        <f>Input!W172</f>
        <v>0.66</v>
      </c>
    </row>
    <row r="119" spans="1:4" x14ac:dyDescent="0.25">
      <c r="A119" t="s">
        <v>38</v>
      </c>
      <c r="B119" t="s">
        <v>14</v>
      </c>
      <c r="C119">
        <v>2030</v>
      </c>
      <c r="D119" s="2">
        <f>Input!W173</f>
        <v>0.72</v>
      </c>
    </row>
    <row r="120" spans="1:4" x14ac:dyDescent="0.25">
      <c r="A120" t="s">
        <v>38</v>
      </c>
      <c r="B120" t="s">
        <v>15</v>
      </c>
      <c r="C120">
        <v>2030</v>
      </c>
      <c r="D120" s="2">
        <f>Input!W174</f>
        <v>0.81</v>
      </c>
    </row>
    <row r="121" spans="1:4" x14ac:dyDescent="0.25">
      <c r="A121" t="s">
        <v>38</v>
      </c>
      <c r="B121" t="s">
        <v>16</v>
      </c>
      <c r="C121">
        <v>2030</v>
      </c>
      <c r="D121" s="2">
        <f>Input!W175</f>
        <v>0.87</v>
      </c>
    </row>
    <row r="122" spans="1:4" x14ac:dyDescent="0.25">
      <c r="A122" t="s">
        <v>38</v>
      </c>
      <c r="B122" t="s">
        <v>17</v>
      </c>
      <c r="C122">
        <v>2030</v>
      </c>
      <c r="D122" s="2">
        <f>Input!W176</f>
        <v>0.91</v>
      </c>
    </row>
    <row r="123" spans="1:4" x14ac:dyDescent="0.25">
      <c r="A123" t="s">
        <v>38</v>
      </c>
      <c r="B123" t="s">
        <v>18</v>
      </c>
      <c r="C123">
        <v>2030</v>
      </c>
      <c r="D123" s="2">
        <f>Input!W177</f>
        <v>0.73</v>
      </c>
    </row>
    <row r="124" spans="1:4" x14ac:dyDescent="0.25">
      <c r="A124" t="s">
        <v>38</v>
      </c>
      <c r="B124" t="s">
        <v>19</v>
      </c>
      <c r="C124">
        <v>2030</v>
      </c>
      <c r="D124" s="2">
        <f>Input!W178</f>
        <v>0.8</v>
      </c>
    </row>
    <row r="125" spans="1:4" x14ac:dyDescent="0.25">
      <c r="A125" t="s">
        <v>38</v>
      </c>
      <c r="B125" t="s">
        <v>20</v>
      </c>
      <c r="C125">
        <v>2030</v>
      </c>
      <c r="D125" s="2">
        <f>Input!W179</f>
        <v>0.93</v>
      </c>
    </row>
    <row r="126" spans="1:4" x14ac:dyDescent="0.25">
      <c r="A126" t="s">
        <v>38</v>
      </c>
      <c r="B126" t="s">
        <v>21</v>
      </c>
      <c r="C126">
        <v>2030</v>
      </c>
      <c r="D126" s="2">
        <f>Input!W180</f>
        <v>0.97</v>
      </c>
    </row>
    <row r="127" spans="1:4" x14ac:dyDescent="0.25">
      <c r="A127" t="s">
        <v>38</v>
      </c>
      <c r="B127" t="s">
        <v>22</v>
      </c>
      <c r="C127">
        <v>2030</v>
      </c>
      <c r="D127" s="2">
        <f>Input!W181</f>
        <v>0.81</v>
      </c>
    </row>
    <row r="128" spans="1:4" x14ac:dyDescent="0.25">
      <c r="A128" t="s">
        <v>38</v>
      </c>
      <c r="B128" t="s">
        <v>23</v>
      </c>
      <c r="C128">
        <v>2030</v>
      </c>
      <c r="D128" s="2">
        <f>Input!W182</f>
        <v>0.9</v>
      </c>
    </row>
    <row r="129" spans="1:4" x14ac:dyDescent="0.25">
      <c r="A129" t="s">
        <v>38</v>
      </c>
      <c r="B129" t="s">
        <v>24</v>
      </c>
      <c r="C129">
        <v>2030</v>
      </c>
      <c r="D129" s="2">
        <f>Input!W183</f>
        <v>0.72</v>
      </c>
    </row>
    <row r="130" spans="1:4" x14ac:dyDescent="0.25">
      <c r="A130" t="s">
        <v>38</v>
      </c>
      <c r="B130" t="s">
        <v>7</v>
      </c>
      <c r="C130">
        <v>2040</v>
      </c>
      <c r="D130" s="2">
        <f>Input!X168</f>
        <v>0.48</v>
      </c>
    </row>
    <row r="131" spans="1:4" x14ac:dyDescent="0.25">
      <c r="A131" t="s">
        <v>38</v>
      </c>
      <c r="B131" t="s">
        <v>10</v>
      </c>
      <c r="C131">
        <v>2040</v>
      </c>
      <c r="D131" s="2">
        <f>Input!X169</f>
        <v>0.5</v>
      </c>
    </row>
    <row r="132" spans="1:4" x14ac:dyDescent="0.25">
      <c r="A132" t="s">
        <v>38</v>
      </c>
      <c r="B132" t="s">
        <v>11</v>
      </c>
      <c r="C132">
        <v>2040</v>
      </c>
      <c r="D132" s="2">
        <f>Input!X170</f>
        <v>0.51</v>
      </c>
    </row>
    <row r="133" spans="1:4" x14ac:dyDescent="0.25">
      <c r="A133" t="s">
        <v>38</v>
      </c>
      <c r="B133" t="s">
        <v>12</v>
      </c>
      <c r="C133">
        <v>2040</v>
      </c>
      <c r="D133" s="2">
        <f>Input!X171</f>
        <v>0.65</v>
      </c>
    </row>
    <row r="134" spans="1:4" x14ac:dyDescent="0.25">
      <c r="A134" t="s">
        <v>38</v>
      </c>
      <c r="B134" t="s">
        <v>13</v>
      </c>
      <c r="C134">
        <v>2040</v>
      </c>
      <c r="D134" s="2">
        <f>Input!X172</f>
        <v>0.66</v>
      </c>
    </row>
    <row r="135" spans="1:4" x14ac:dyDescent="0.25">
      <c r="A135" t="s">
        <v>38</v>
      </c>
      <c r="B135" t="s">
        <v>14</v>
      </c>
      <c r="C135">
        <v>2040</v>
      </c>
      <c r="D135" s="2">
        <f>Input!X173</f>
        <v>0.72</v>
      </c>
    </row>
    <row r="136" spans="1:4" x14ac:dyDescent="0.25">
      <c r="A136" t="s">
        <v>38</v>
      </c>
      <c r="B136" t="s">
        <v>15</v>
      </c>
      <c r="C136">
        <v>2040</v>
      </c>
      <c r="D136" s="2">
        <f>Input!X174</f>
        <v>0.81</v>
      </c>
    </row>
    <row r="137" spans="1:4" x14ac:dyDescent="0.25">
      <c r="A137" t="s">
        <v>38</v>
      </c>
      <c r="B137" t="s">
        <v>16</v>
      </c>
      <c r="C137">
        <v>2040</v>
      </c>
      <c r="D137" s="2">
        <f>Input!X175</f>
        <v>0.87</v>
      </c>
    </row>
    <row r="138" spans="1:4" x14ac:dyDescent="0.25">
      <c r="A138" t="s">
        <v>38</v>
      </c>
      <c r="B138" t="s">
        <v>17</v>
      </c>
      <c r="C138">
        <v>2040</v>
      </c>
      <c r="D138" s="2">
        <f>Input!X176</f>
        <v>0.91</v>
      </c>
    </row>
    <row r="139" spans="1:4" x14ac:dyDescent="0.25">
      <c r="A139" t="s">
        <v>38</v>
      </c>
      <c r="B139" t="s">
        <v>18</v>
      </c>
      <c r="C139">
        <v>2040</v>
      </c>
      <c r="D139" s="2">
        <f>Input!X177</f>
        <v>0.73</v>
      </c>
    </row>
    <row r="140" spans="1:4" x14ac:dyDescent="0.25">
      <c r="A140" t="s">
        <v>38</v>
      </c>
      <c r="B140" t="s">
        <v>19</v>
      </c>
      <c r="C140">
        <v>2040</v>
      </c>
      <c r="D140" s="2">
        <f>Input!X178</f>
        <v>0.8</v>
      </c>
    </row>
    <row r="141" spans="1:4" x14ac:dyDescent="0.25">
      <c r="A141" t="s">
        <v>38</v>
      </c>
      <c r="B141" t="s">
        <v>20</v>
      </c>
      <c r="C141">
        <v>2040</v>
      </c>
      <c r="D141" s="2">
        <f>Input!X179</f>
        <v>0.93</v>
      </c>
    </row>
    <row r="142" spans="1:4" x14ac:dyDescent="0.25">
      <c r="A142" t="s">
        <v>38</v>
      </c>
      <c r="B142" t="s">
        <v>21</v>
      </c>
      <c r="C142">
        <v>2040</v>
      </c>
      <c r="D142" s="2">
        <f>Input!X180</f>
        <v>0.97</v>
      </c>
    </row>
    <row r="143" spans="1:4" x14ac:dyDescent="0.25">
      <c r="A143" t="s">
        <v>38</v>
      </c>
      <c r="B143" t="s">
        <v>22</v>
      </c>
      <c r="C143">
        <v>2040</v>
      </c>
      <c r="D143" s="2">
        <f>Input!X181</f>
        <v>0.81</v>
      </c>
    </row>
    <row r="144" spans="1:4" x14ac:dyDescent="0.25">
      <c r="A144" t="s">
        <v>38</v>
      </c>
      <c r="B144" t="s">
        <v>23</v>
      </c>
      <c r="C144">
        <v>2040</v>
      </c>
      <c r="D144" s="2">
        <f>Input!X182</f>
        <v>0.9</v>
      </c>
    </row>
    <row r="145" spans="1:4" x14ac:dyDescent="0.25">
      <c r="A145" t="s">
        <v>38</v>
      </c>
      <c r="B145" t="s">
        <v>24</v>
      </c>
      <c r="C145">
        <v>2040</v>
      </c>
      <c r="D145" s="2">
        <f>Input!X183</f>
        <v>0.72</v>
      </c>
    </row>
    <row r="146" spans="1:4" x14ac:dyDescent="0.25">
      <c r="A146" t="s">
        <v>39</v>
      </c>
      <c r="B146" t="s">
        <v>7</v>
      </c>
      <c r="C146">
        <v>2022</v>
      </c>
      <c r="D146" s="2">
        <f>Input!AC168</f>
        <v>3.33</v>
      </c>
    </row>
    <row r="147" spans="1:4" x14ac:dyDescent="0.25">
      <c r="A147" t="s">
        <v>39</v>
      </c>
      <c r="B147" t="s">
        <v>10</v>
      </c>
      <c r="C147">
        <v>2022</v>
      </c>
      <c r="D147" s="2">
        <f>Input!AC169</f>
        <v>3.45</v>
      </c>
    </row>
    <row r="148" spans="1:4" x14ac:dyDescent="0.25">
      <c r="A148" t="s">
        <v>39</v>
      </c>
      <c r="B148" t="s">
        <v>11</v>
      </c>
      <c r="C148">
        <v>2022</v>
      </c>
      <c r="D148" s="2">
        <f>Input!AC170</f>
        <v>3.56</v>
      </c>
    </row>
    <row r="149" spans="1:4" x14ac:dyDescent="0.25">
      <c r="A149" t="s">
        <v>39</v>
      </c>
      <c r="B149" t="s">
        <v>12</v>
      </c>
      <c r="C149">
        <v>2022</v>
      </c>
      <c r="D149" s="2">
        <f>Input!AC171</f>
        <v>4.59</v>
      </c>
    </row>
    <row r="150" spans="1:4" x14ac:dyDescent="0.25">
      <c r="A150" t="s">
        <v>39</v>
      </c>
      <c r="B150" t="s">
        <v>13</v>
      </c>
      <c r="C150">
        <v>2022</v>
      </c>
      <c r="D150" s="2">
        <f>Input!AC172</f>
        <v>5.01</v>
      </c>
    </row>
    <row r="151" spans="1:4" x14ac:dyDescent="0.25">
      <c r="A151" t="s">
        <v>39</v>
      </c>
      <c r="B151" t="s">
        <v>14</v>
      </c>
      <c r="C151">
        <v>2022</v>
      </c>
      <c r="D151" s="2">
        <f>Input!AC173</f>
        <v>5.4</v>
      </c>
    </row>
    <row r="152" spans="1:4" x14ac:dyDescent="0.25">
      <c r="A152" t="s">
        <v>39</v>
      </c>
      <c r="B152" t="s">
        <v>15</v>
      </c>
      <c r="C152">
        <v>2022</v>
      </c>
      <c r="D152" s="2">
        <f>Input!AC174</f>
        <v>6.73</v>
      </c>
    </row>
    <row r="153" spans="1:4" x14ac:dyDescent="0.25">
      <c r="A153" t="s">
        <v>39</v>
      </c>
      <c r="B153" t="s">
        <v>16</v>
      </c>
      <c r="C153">
        <v>2022</v>
      </c>
      <c r="D153" s="2">
        <f>Input!AC175</f>
        <v>6.73</v>
      </c>
    </row>
    <row r="154" spans="1:4" x14ac:dyDescent="0.25">
      <c r="A154" t="s">
        <v>39</v>
      </c>
      <c r="B154" t="s">
        <v>17</v>
      </c>
      <c r="C154">
        <v>2022</v>
      </c>
      <c r="D154" s="2">
        <f>Input!AC176</f>
        <v>7.87</v>
      </c>
    </row>
    <row r="155" spans="1:4" x14ac:dyDescent="0.25">
      <c r="A155" t="s">
        <v>39</v>
      </c>
      <c r="B155" t="s">
        <v>18</v>
      </c>
      <c r="C155">
        <v>2022</v>
      </c>
      <c r="D155" s="2">
        <f>Input!AC177</f>
        <v>5.46</v>
      </c>
    </row>
    <row r="156" spans="1:4" x14ac:dyDescent="0.25">
      <c r="A156" t="s">
        <v>39</v>
      </c>
      <c r="B156" t="s">
        <v>19</v>
      </c>
      <c r="C156">
        <v>2022</v>
      </c>
      <c r="D156" s="2">
        <f>Input!AC178</f>
        <v>6.69</v>
      </c>
    </row>
    <row r="157" spans="1:4" x14ac:dyDescent="0.25">
      <c r="A157" t="s">
        <v>39</v>
      </c>
      <c r="B157" t="s">
        <v>20</v>
      </c>
      <c r="C157">
        <v>2022</v>
      </c>
      <c r="D157" s="2">
        <f>Input!AC179</f>
        <v>6.84</v>
      </c>
    </row>
    <row r="158" spans="1:4" x14ac:dyDescent="0.25">
      <c r="A158" t="s">
        <v>39</v>
      </c>
      <c r="B158" t="s">
        <v>21</v>
      </c>
      <c r="C158">
        <v>2022</v>
      </c>
      <c r="D158" s="2">
        <f>Input!AC180</f>
        <v>7.98</v>
      </c>
    </row>
    <row r="159" spans="1:4" x14ac:dyDescent="0.25">
      <c r="A159" t="s">
        <v>39</v>
      </c>
      <c r="B159" t="s">
        <v>22</v>
      </c>
      <c r="C159">
        <v>2022</v>
      </c>
      <c r="D159" s="2">
        <f>Input!AC181</f>
        <v>5.89</v>
      </c>
    </row>
    <row r="160" spans="1:4" x14ac:dyDescent="0.25">
      <c r="A160" t="s">
        <v>39</v>
      </c>
      <c r="B160" t="s">
        <v>23</v>
      </c>
      <c r="C160">
        <v>2022</v>
      </c>
      <c r="D160" s="2">
        <f>Input!AC182</f>
        <v>6.53</v>
      </c>
    </row>
    <row r="161" spans="1:4" x14ac:dyDescent="0.25">
      <c r="A161" t="s">
        <v>39</v>
      </c>
      <c r="B161" t="s">
        <v>24</v>
      </c>
      <c r="C161">
        <v>2022</v>
      </c>
      <c r="D161" s="2">
        <f>Input!AC183</f>
        <v>5.41</v>
      </c>
    </row>
    <row r="162" spans="1:4" x14ac:dyDescent="0.25">
      <c r="A162" t="s">
        <v>39</v>
      </c>
      <c r="B162" t="s">
        <v>7</v>
      </c>
      <c r="C162">
        <v>2030</v>
      </c>
      <c r="D162" s="2">
        <f>Input!AD168</f>
        <v>2.48</v>
      </c>
    </row>
    <row r="163" spans="1:4" x14ac:dyDescent="0.25">
      <c r="A163" t="s">
        <v>39</v>
      </c>
      <c r="B163" t="s">
        <v>10</v>
      </c>
      <c r="C163">
        <v>2030</v>
      </c>
      <c r="D163" s="2">
        <f>Input!AD169</f>
        <v>2.57</v>
      </c>
    </row>
    <row r="164" spans="1:4" x14ac:dyDescent="0.25">
      <c r="A164" t="s">
        <v>39</v>
      </c>
      <c r="B164" t="s">
        <v>11</v>
      </c>
      <c r="C164">
        <v>2030</v>
      </c>
      <c r="D164" s="2">
        <f>Input!AD170</f>
        <v>2.64</v>
      </c>
    </row>
    <row r="165" spans="1:4" x14ac:dyDescent="0.25">
      <c r="A165" t="s">
        <v>39</v>
      </c>
      <c r="B165" t="s">
        <v>12</v>
      </c>
      <c r="C165">
        <v>2030</v>
      </c>
      <c r="D165" s="2">
        <f>Input!AD171</f>
        <v>3.37</v>
      </c>
    </row>
    <row r="166" spans="1:4" x14ac:dyDescent="0.25">
      <c r="A166" t="s">
        <v>39</v>
      </c>
      <c r="B166" t="s">
        <v>13</v>
      </c>
      <c r="C166">
        <v>2030</v>
      </c>
      <c r="D166" s="2">
        <f>Input!AD172</f>
        <v>3.45</v>
      </c>
    </row>
    <row r="167" spans="1:4" x14ac:dyDescent="0.25">
      <c r="A167" t="s">
        <v>39</v>
      </c>
      <c r="B167" t="s">
        <v>14</v>
      </c>
      <c r="C167">
        <v>2030</v>
      </c>
      <c r="D167" s="2">
        <f>Input!AD173</f>
        <v>3.72</v>
      </c>
    </row>
    <row r="168" spans="1:4" x14ac:dyDescent="0.25">
      <c r="A168" t="s">
        <v>39</v>
      </c>
      <c r="B168" t="s">
        <v>15</v>
      </c>
      <c r="C168">
        <v>2030</v>
      </c>
      <c r="D168" s="2">
        <f>Input!AD174</f>
        <v>4.8899999999999997</v>
      </c>
    </row>
    <row r="169" spans="1:4" x14ac:dyDescent="0.25">
      <c r="A169" t="s">
        <v>39</v>
      </c>
      <c r="B169" t="s">
        <v>16</v>
      </c>
      <c r="C169">
        <v>2030</v>
      </c>
      <c r="D169" s="2">
        <f>Input!AD175</f>
        <v>4.51</v>
      </c>
    </row>
    <row r="170" spans="1:4" x14ac:dyDescent="0.25">
      <c r="A170" t="s">
        <v>39</v>
      </c>
      <c r="B170" t="s">
        <v>17</v>
      </c>
      <c r="C170">
        <v>2030</v>
      </c>
      <c r="D170" s="2">
        <f>Input!AD176</f>
        <v>5.54</v>
      </c>
    </row>
    <row r="171" spans="1:4" x14ac:dyDescent="0.25">
      <c r="A171" t="s">
        <v>39</v>
      </c>
      <c r="B171" t="s">
        <v>18</v>
      </c>
      <c r="C171">
        <v>2030</v>
      </c>
      <c r="D171" s="2">
        <f>Input!AD177</f>
        <v>3.81</v>
      </c>
    </row>
    <row r="172" spans="1:4" x14ac:dyDescent="0.25">
      <c r="A172" t="s">
        <v>39</v>
      </c>
      <c r="B172" t="s">
        <v>19</v>
      </c>
      <c r="C172">
        <v>2030</v>
      </c>
      <c r="D172" s="2">
        <f>Input!AD178</f>
        <v>4.8899999999999997</v>
      </c>
    </row>
    <row r="173" spans="1:4" x14ac:dyDescent="0.25">
      <c r="A173" t="s">
        <v>39</v>
      </c>
      <c r="B173" t="s">
        <v>20</v>
      </c>
      <c r="C173">
        <v>2030</v>
      </c>
      <c r="D173" s="2">
        <f>Input!AD179</f>
        <v>4.8099999999999996</v>
      </c>
    </row>
    <row r="174" spans="1:4" x14ac:dyDescent="0.25">
      <c r="A174" t="s">
        <v>39</v>
      </c>
      <c r="B174" t="s">
        <v>21</v>
      </c>
      <c r="C174">
        <v>2030</v>
      </c>
      <c r="D174" s="2">
        <f>Input!AD180</f>
        <v>5.9</v>
      </c>
    </row>
    <row r="175" spans="1:4" x14ac:dyDescent="0.25">
      <c r="A175" t="s">
        <v>39</v>
      </c>
      <c r="B175" t="s">
        <v>22</v>
      </c>
      <c r="C175">
        <v>2030</v>
      </c>
      <c r="D175" s="2">
        <f>Input!AD181</f>
        <v>4.2</v>
      </c>
    </row>
    <row r="176" spans="1:4" x14ac:dyDescent="0.25">
      <c r="A176" t="s">
        <v>39</v>
      </c>
      <c r="B176" t="s">
        <v>23</v>
      </c>
      <c r="C176">
        <v>2030</v>
      </c>
      <c r="D176" s="2">
        <f>Input!AD182</f>
        <v>4.67</v>
      </c>
    </row>
    <row r="177" spans="1:4" x14ac:dyDescent="0.25">
      <c r="A177" t="s">
        <v>39</v>
      </c>
      <c r="B177" t="s">
        <v>24</v>
      </c>
      <c r="C177">
        <v>2030</v>
      </c>
      <c r="D177" s="2">
        <f>Input!AD183</f>
        <v>3.76</v>
      </c>
    </row>
    <row r="178" spans="1:4" x14ac:dyDescent="0.25">
      <c r="A178" t="s">
        <v>39</v>
      </c>
      <c r="B178" t="s">
        <v>7</v>
      </c>
      <c r="C178">
        <v>2040</v>
      </c>
      <c r="D178" s="2">
        <f>Input!AE168</f>
        <v>2.27</v>
      </c>
    </row>
    <row r="179" spans="1:4" x14ac:dyDescent="0.25">
      <c r="A179" t="s">
        <v>39</v>
      </c>
      <c r="B179" t="s">
        <v>10</v>
      </c>
      <c r="C179">
        <v>2040</v>
      </c>
      <c r="D179" s="2">
        <f>Input!AE169</f>
        <v>2.35</v>
      </c>
    </row>
    <row r="180" spans="1:4" x14ac:dyDescent="0.25">
      <c r="A180" t="s">
        <v>39</v>
      </c>
      <c r="B180" t="s">
        <v>11</v>
      </c>
      <c r="C180">
        <v>2040</v>
      </c>
      <c r="D180" s="2">
        <f>Input!AE170</f>
        <v>2.42</v>
      </c>
    </row>
    <row r="181" spans="1:4" x14ac:dyDescent="0.25">
      <c r="A181" t="s">
        <v>39</v>
      </c>
      <c r="B181" t="s">
        <v>12</v>
      </c>
      <c r="C181">
        <v>2040</v>
      </c>
      <c r="D181" s="2">
        <f>Input!AE171</f>
        <v>3.09</v>
      </c>
    </row>
    <row r="182" spans="1:4" x14ac:dyDescent="0.25">
      <c r="A182" t="s">
        <v>39</v>
      </c>
      <c r="B182" t="s">
        <v>13</v>
      </c>
      <c r="C182">
        <v>2040</v>
      </c>
      <c r="D182" s="2">
        <f>Input!AE172</f>
        <v>3.16</v>
      </c>
    </row>
    <row r="183" spans="1:4" x14ac:dyDescent="0.25">
      <c r="A183" t="s">
        <v>39</v>
      </c>
      <c r="B183" t="s">
        <v>14</v>
      </c>
      <c r="C183">
        <v>2040</v>
      </c>
      <c r="D183" s="2">
        <f>Input!AE173</f>
        <v>3.41</v>
      </c>
    </row>
    <row r="184" spans="1:4" x14ac:dyDescent="0.25">
      <c r="A184" t="s">
        <v>39</v>
      </c>
      <c r="B184" t="s">
        <v>15</v>
      </c>
      <c r="C184">
        <v>2040</v>
      </c>
      <c r="D184" s="2">
        <f>Input!AE174</f>
        <v>4.59</v>
      </c>
    </row>
    <row r="185" spans="1:4" x14ac:dyDescent="0.25">
      <c r="A185" t="s">
        <v>39</v>
      </c>
      <c r="B185" t="s">
        <v>16</v>
      </c>
      <c r="C185">
        <v>2040</v>
      </c>
      <c r="D185" s="2">
        <f>Input!AE175</f>
        <v>4.1399999999999997</v>
      </c>
    </row>
    <row r="186" spans="1:4" x14ac:dyDescent="0.25">
      <c r="A186" t="s">
        <v>39</v>
      </c>
      <c r="B186" t="s">
        <v>17</v>
      </c>
      <c r="C186">
        <v>2040</v>
      </c>
      <c r="D186" s="2">
        <f>Input!AE176</f>
        <v>5.21</v>
      </c>
    </row>
    <row r="187" spans="1:4" x14ac:dyDescent="0.25">
      <c r="A187" t="s">
        <v>39</v>
      </c>
      <c r="B187" t="s">
        <v>18</v>
      </c>
      <c r="C187">
        <v>2040</v>
      </c>
      <c r="D187" s="2">
        <f>Input!AE177</f>
        <v>3.49</v>
      </c>
    </row>
    <row r="188" spans="1:4" x14ac:dyDescent="0.25">
      <c r="A188" t="s">
        <v>39</v>
      </c>
      <c r="B188" t="s">
        <v>19</v>
      </c>
      <c r="C188">
        <v>2040</v>
      </c>
      <c r="D188" s="2">
        <f>Input!AE178</f>
        <v>4.59</v>
      </c>
    </row>
    <row r="189" spans="1:4" x14ac:dyDescent="0.25">
      <c r="A189" t="s">
        <v>39</v>
      </c>
      <c r="B189" t="s">
        <v>20</v>
      </c>
      <c r="C189">
        <v>2040</v>
      </c>
      <c r="D189" s="2">
        <f>Input!AE179</f>
        <v>4.41</v>
      </c>
    </row>
    <row r="190" spans="1:4" x14ac:dyDescent="0.25">
      <c r="A190" t="s">
        <v>39</v>
      </c>
      <c r="B190" t="s">
        <v>21</v>
      </c>
      <c r="C190">
        <v>2040</v>
      </c>
      <c r="D190" s="2">
        <f>Input!AE180</f>
        <v>5.54</v>
      </c>
    </row>
    <row r="191" spans="1:4" x14ac:dyDescent="0.25">
      <c r="A191" t="s">
        <v>39</v>
      </c>
      <c r="B191" t="s">
        <v>22</v>
      </c>
      <c r="C191">
        <v>2040</v>
      </c>
      <c r="D191" s="2">
        <f>Input!AE181</f>
        <v>3.85</v>
      </c>
    </row>
    <row r="192" spans="1:4" x14ac:dyDescent="0.25">
      <c r="A192" t="s">
        <v>39</v>
      </c>
      <c r="B192" t="s">
        <v>23</v>
      </c>
      <c r="C192">
        <v>2040</v>
      </c>
      <c r="D192" s="2">
        <f>Input!AE182</f>
        <v>4.28</v>
      </c>
    </row>
    <row r="193" spans="1:4" x14ac:dyDescent="0.25">
      <c r="A193" t="s">
        <v>39</v>
      </c>
      <c r="B193" t="s">
        <v>24</v>
      </c>
      <c r="C193">
        <v>2040</v>
      </c>
      <c r="D193" s="2">
        <f>Input!AE183</f>
        <v>3.45</v>
      </c>
    </row>
    <row r="194" spans="1:4" x14ac:dyDescent="0.25">
      <c r="A194" t="s">
        <v>68</v>
      </c>
      <c r="B194" t="s">
        <v>7</v>
      </c>
      <c r="C194">
        <v>2022</v>
      </c>
      <c r="D194" s="2">
        <f>D2</f>
        <v>21.17</v>
      </c>
    </row>
    <row r="195" spans="1:4" x14ac:dyDescent="0.25">
      <c r="A195" t="s">
        <v>68</v>
      </c>
      <c r="B195" t="s">
        <v>10</v>
      </c>
      <c r="C195">
        <v>2022</v>
      </c>
      <c r="D195" s="2">
        <f t="shared" ref="D195:D241" si="0">D3</f>
        <v>21.93</v>
      </c>
    </row>
    <row r="196" spans="1:4" x14ac:dyDescent="0.25">
      <c r="A196" t="s">
        <v>68</v>
      </c>
      <c r="B196" t="s">
        <v>11</v>
      </c>
      <c r="C196">
        <v>2022</v>
      </c>
      <c r="D196" s="2">
        <f t="shared" si="0"/>
        <v>22.69</v>
      </c>
    </row>
    <row r="197" spans="1:4" x14ac:dyDescent="0.25">
      <c r="A197" t="s">
        <v>68</v>
      </c>
      <c r="B197" t="s">
        <v>12</v>
      </c>
      <c r="C197">
        <v>2022</v>
      </c>
      <c r="D197" s="2">
        <f t="shared" si="0"/>
        <v>24.43</v>
      </c>
    </row>
    <row r="198" spans="1:4" x14ac:dyDescent="0.25">
      <c r="A198" t="s">
        <v>68</v>
      </c>
      <c r="B198" t="s">
        <v>13</v>
      </c>
      <c r="C198">
        <v>2022</v>
      </c>
      <c r="D198" s="2">
        <f t="shared" si="0"/>
        <v>24.63</v>
      </c>
    </row>
    <row r="199" spans="1:4" x14ac:dyDescent="0.25">
      <c r="A199" t="s">
        <v>68</v>
      </c>
      <c r="B199" t="s">
        <v>14</v>
      </c>
      <c r="C199">
        <v>2022</v>
      </c>
      <c r="D199" s="2">
        <f t="shared" si="0"/>
        <v>25.15</v>
      </c>
    </row>
    <row r="200" spans="1:4" x14ac:dyDescent="0.25">
      <c r="A200" t="s">
        <v>68</v>
      </c>
      <c r="B200" t="s">
        <v>15</v>
      </c>
      <c r="C200">
        <v>2022</v>
      </c>
      <c r="D200" s="2">
        <f t="shared" si="0"/>
        <v>24.58</v>
      </c>
    </row>
    <row r="201" spans="1:4" x14ac:dyDescent="0.25">
      <c r="A201" t="s">
        <v>68</v>
      </c>
      <c r="B201" t="s">
        <v>16</v>
      </c>
      <c r="C201">
        <v>2022</v>
      </c>
      <c r="D201" s="2">
        <f t="shared" si="0"/>
        <v>29.83</v>
      </c>
    </row>
    <row r="202" spans="1:4" x14ac:dyDescent="0.25">
      <c r="A202" t="s">
        <v>68</v>
      </c>
      <c r="B202" t="s">
        <v>17</v>
      </c>
      <c r="C202">
        <v>2022</v>
      </c>
      <c r="D202" s="2">
        <f t="shared" si="0"/>
        <v>34.6</v>
      </c>
    </row>
    <row r="203" spans="1:4" x14ac:dyDescent="0.25">
      <c r="A203" t="s">
        <v>68</v>
      </c>
      <c r="B203" t="s">
        <v>18</v>
      </c>
      <c r="C203">
        <v>2022</v>
      </c>
      <c r="D203" s="2">
        <f t="shared" si="0"/>
        <v>26.26</v>
      </c>
    </row>
    <row r="204" spans="1:4" x14ac:dyDescent="0.25">
      <c r="A204" t="s">
        <v>68</v>
      </c>
      <c r="B204" t="s">
        <v>19</v>
      </c>
      <c r="C204">
        <v>2022</v>
      </c>
      <c r="D204" s="2">
        <f t="shared" si="0"/>
        <v>26.26</v>
      </c>
    </row>
    <row r="205" spans="1:4" x14ac:dyDescent="0.25">
      <c r="A205" t="s">
        <v>68</v>
      </c>
      <c r="B205" t="s">
        <v>20</v>
      </c>
      <c r="C205">
        <v>2022</v>
      </c>
      <c r="D205" s="2">
        <f t="shared" si="0"/>
        <v>34.07</v>
      </c>
    </row>
    <row r="206" spans="1:4" x14ac:dyDescent="0.25">
      <c r="A206" t="s">
        <v>68</v>
      </c>
      <c r="B206" t="s">
        <v>21</v>
      </c>
      <c r="C206">
        <v>2022</v>
      </c>
      <c r="D206" s="2">
        <f t="shared" si="0"/>
        <v>34.07</v>
      </c>
    </row>
    <row r="207" spans="1:4" x14ac:dyDescent="0.25">
      <c r="A207" t="s">
        <v>68</v>
      </c>
      <c r="B207" t="s">
        <v>22</v>
      </c>
      <c r="C207">
        <v>2022</v>
      </c>
      <c r="D207" s="2">
        <f t="shared" si="0"/>
        <v>26.42</v>
      </c>
    </row>
    <row r="208" spans="1:4" x14ac:dyDescent="0.25">
      <c r="A208" t="s">
        <v>68</v>
      </c>
      <c r="B208" t="s">
        <v>23</v>
      </c>
      <c r="C208">
        <v>2022</v>
      </c>
      <c r="D208" s="2">
        <f t="shared" si="0"/>
        <v>34.28</v>
      </c>
    </row>
    <row r="209" spans="1:4" x14ac:dyDescent="0.25">
      <c r="A209" t="s">
        <v>68</v>
      </c>
      <c r="B209" t="s">
        <v>24</v>
      </c>
      <c r="C209">
        <v>2022</v>
      </c>
      <c r="D209" s="2" t="str">
        <f t="shared" si="0"/>
        <v>-</v>
      </c>
    </row>
    <row r="210" spans="1:4" x14ac:dyDescent="0.25">
      <c r="A210" t="s">
        <v>68</v>
      </c>
      <c r="B210" t="s">
        <v>7</v>
      </c>
      <c r="C210">
        <v>2030</v>
      </c>
      <c r="D210" s="2">
        <f t="shared" si="0"/>
        <v>21.17</v>
      </c>
    </row>
    <row r="211" spans="1:4" x14ac:dyDescent="0.25">
      <c r="A211" t="s">
        <v>68</v>
      </c>
      <c r="B211" t="s">
        <v>10</v>
      </c>
      <c r="C211">
        <v>2030</v>
      </c>
      <c r="D211" s="2">
        <f t="shared" si="0"/>
        <v>21.93</v>
      </c>
    </row>
    <row r="212" spans="1:4" x14ac:dyDescent="0.25">
      <c r="A212" t="s">
        <v>68</v>
      </c>
      <c r="B212" t="s">
        <v>11</v>
      </c>
      <c r="C212">
        <v>2030</v>
      </c>
      <c r="D212" s="2">
        <f t="shared" si="0"/>
        <v>22.69</v>
      </c>
    </row>
    <row r="213" spans="1:4" x14ac:dyDescent="0.25">
      <c r="A213" t="s">
        <v>68</v>
      </c>
      <c r="B213" t="s">
        <v>12</v>
      </c>
      <c r="C213">
        <v>2030</v>
      </c>
      <c r="D213" s="2">
        <f t="shared" si="0"/>
        <v>24.43</v>
      </c>
    </row>
    <row r="214" spans="1:4" x14ac:dyDescent="0.25">
      <c r="A214" t="s">
        <v>68</v>
      </c>
      <c r="B214" t="s">
        <v>13</v>
      </c>
      <c r="C214">
        <v>2030</v>
      </c>
      <c r="D214" s="2">
        <f t="shared" si="0"/>
        <v>24.63</v>
      </c>
    </row>
    <row r="215" spans="1:4" x14ac:dyDescent="0.25">
      <c r="A215" t="s">
        <v>68</v>
      </c>
      <c r="B215" t="s">
        <v>14</v>
      </c>
      <c r="C215">
        <v>2030</v>
      </c>
      <c r="D215" s="2">
        <f t="shared" si="0"/>
        <v>25.15</v>
      </c>
    </row>
    <row r="216" spans="1:4" x14ac:dyDescent="0.25">
      <c r="A216" t="s">
        <v>68</v>
      </c>
      <c r="B216" t="s">
        <v>15</v>
      </c>
      <c r="C216">
        <v>2030</v>
      </c>
      <c r="D216" s="2">
        <f t="shared" si="0"/>
        <v>24.58</v>
      </c>
    </row>
    <row r="217" spans="1:4" x14ac:dyDescent="0.25">
      <c r="A217" t="s">
        <v>68</v>
      </c>
      <c r="B217" t="s">
        <v>16</v>
      </c>
      <c r="C217">
        <v>2030</v>
      </c>
      <c r="D217" s="2">
        <f t="shared" si="0"/>
        <v>29.83</v>
      </c>
    </row>
    <row r="218" spans="1:4" x14ac:dyDescent="0.25">
      <c r="A218" t="s">
        <v>68</v>
      </c>
      <c r="B218" t="s">
        <v>17</v>
      </c>
      <c r="C218">
        <v>2030</v>
      </c>
      <c r="D218" s="2">
        <f t="shared" si="0"/>
        <v>34.6</v>
      </c>
    </row>
    <row r="219" spans="1:4" x14ac:dyDescent="0.25">
      <c r="A219" t="s">
        <v>68</v>
      </c>
      <c r="B219" t="s">
        <v>18</v>
      </c>
      <c r="C219">
        <v>2030</v>
      </c>
      <c r="D219" s="2">
        <f t="shared" si="0"/>
        <v>26.26</v>
      </c>
    </row>
    <row r="220" spans="1:4" x14ac:dyDescent="0.25">
      <c r="A220" t="s">
        <v>68</v>
      </c>
      <c r="B220" t="s">
        <v>19</v>
      </c>
      <c r="C220">
        <v>2030</v>
      </c>
      <c r="D220" s="2">
        <f t="shared" si="0"/>
        <v>26.26</v>
      </c>
    </row>
    <row r="221" spans="1:4" x14ac:dyDescent="0.25">
      <c r="A221" t="s">
        <v>68</v>
      </c>
      <c r="B221" t="s">
        <v>20</v>
      </c>
      <c r="C221">
        <v>2030</v>
      </c>
      <c r="D221" s="2">
        <f t="shared" si="0"/>
        <v>34.07</v>
      </c>
    </row>
    <row r="222" spans="1:4" x14ac:dyDescent="0.25">
      <c r="A222" t="s">
        <v>68</v>
      </c>
      <c r="B222" t="s">
        <v>21</v>
      </c>
      <c r="C222">
        <v>2030</v>
      </c>
      <c r="D222" s="2">
        <f t="shared" si="0"/>
        <v>34.07</v>
      </c>
    </row>
    <row r="223" spans="1:4" x14ac:dyDescent="0.25">
      <c r="A223" t="s">
        <v>68</v>
      </c>
      <c r="B223" t="s">
        <v>22</v>
      </c>
      <c r="C223">
        <v>2030</v>
      </c>
      <c r="D223" s="2">
        <f t="shared" si="0"/>
        <v>26.42</v>
      </c>
    </row>
    <row r="224" spans="1:4" x14ac:dyDescent="0.25">
      <c r="A224" t="s">
        <v>68</v>
      </c>
      <c r="B224" t="s">
        <v>23</v>
      </c>
      <c r="C224">
        <v>2030</v>
      </c>
      <c r="D224" s="2">
        <f t="shared" si="0"/>
        <v>34.28</v>
      </c>
    </row>
    <row r="225" spans="1:4" x14ac:dyDescent="0.25">
      <c r="A225" t="s">
        <v>68</v>
      </c>
      <c r="B225" t="s">
        <v>24</v>
      </c>
      <c r="C225">
        <v>2030</v>
      </c>
      <c r="D225" s="2" t="str">
        <f t="shared" si="0"/>
        <v>-</v>
      </c>
    </row>
    <row r="226" spans="1:4" x14ac:dyDescent="0.25">
      <c r="A226" t="s">
        <v>68</v>
      </c>
      <c r="B226" t="s">
        <v>7</v>
      </c>
      <c r="C226">
        <v>2040</v>
      </c>
      <c r="D226" s="2">
        <f t="shared" si="0"/>
        <v>21.17</v>
      </c>
    </row>
    <row r="227" spans="1:4" x14ac:dyDescent="0.25">
      <c r="A227" t="s">
        <v>68</v>
      </c>
      <c r="B227" t="s">
        <v>10</v>
      </c>
      <c r="C227">
        <v>2040</v>
      </c>
      <c r="D227" s="2">
        <f t="shared" si="0"/>
        <v>21.93</v>
      </c>
    </row>
    <row r="228" spans="1:4" x14ac:dyDescent="0.25">
      <c r="A228" t="s">
        <v>68</v>
      </c>
      <c r="B228" t="s">
        <v>11</v>
      </c>
      <c r="C228">
        <v>2040</v>
      </c>
      <c r="D228" s="2">
        <f t="shared" si="0"/>
        <v>22.69</v>
      </c>
    </row>
    <row r="229" spans="1:4" x14ac:dyDescent="0.25">
      <c r="A229" t="s">
        <v>68</v>
      </c>
      <c r="B229" t="s">
        <v>12</v>
      </c>
      <c r="C229">
        <v>2040</v>
      </c>
      <c r="D229" s="2">
        <f t="shared" si="0"/>
        <v>24.43</v>
      </c>
    </row>
    <row r="230" spans="1:4" x14ac:dyDescent="0.25">
      <c r="A230" t="s">
        <v>68</v>
      </c>
      <c r="B230" t="s">
        <v>13</v>
      </c>
      <c r="C230">
        <v>2040</v>
      </c>
      <c r="D230" s="2">
        <f t="shared" si="0"/>
        <v>24.63</v>
      </c>
    </row>
    <row r="231" spans="1:4" x14ac:dyDescent="0.25">
      <c r="A231" t="s">
        <v>68</v>
      </c>
      <c r="B231" t="s">
        <v>14</v>
      </c>
      <c r="C231">
        <v>2040</v>
      </c>
      <c r="D231" s="2">
        <f t="shared" si="0"/>
        <v>25.15</v>
      </c>
    </row>
    <row r="232" spans="1:4" x14ac:dyDescent="0.25">
      <c r="A232" t="s">
        <v>68</v>
      </c>
      <c r="B232" t="s">
        <v>15</v>
      </c>
      <c r="C232">
        <v>2040</v>
      </c>
      <c r="D232" s="2">
        <f t="shared" si="0"/>
        <v>24.58</v>
      </c>
    </row>
    <row r="233" spans="1:4" x14ac:dyDescent="0.25">
      <c r="A233" t="s">
        <v>68</v>
      </c>
      <c r="B233" t="s">
        <v>16</v>
      </c>
      <c r="C233">
        <v>2040</v>
      </c>
      <c r="D233" s="2">
        <f t="shared" si="0"/>
        <v>29.83</v>
      </c>
    </row>
    <row r="234" spans="1:4" x14ac:dyDescent="0.25">
      <c r="A234" t="s">
        <v>68</v>
      </c>
      <c r="B234" t="s">
        <v>17</v>
      </c>
      <c r="C234">
        <v>2040</v>
      </c>
      <c r="D234" s="2">
        <f t="shared" si="0"/>
        <v>34.6</v>
      </c>
    </row>
    <row r="235" spans="1:4" x14ac:dyDescent="0.25">
      <c r="A235" t="s">
        <v>68</v>
      </c>
      <c r="B235" t="s">
        <v>18</v>
      </c>
      <c r="C235">
        <v>2040</v>
      </c>
      <c r="D235" s="2">
        <f t="shared" si="0"/>
        <v>26.26</v>
      </c>
    </row>
    <row r="236" spans="1:4" x14ac:dyDescent="0.25">
      <c r="A236" t="s">
        <v>68</v>
      </c>
      <c r="B236" t="s">
        <v>19</v>
      </c>
      <c r="C236">
        <v>2040</v>
      </c>
      <c r="D236" s="2">
        <f t="shared" si="0"/>
        <v>26.26</v>
      </c>
    </row>
    <row r="237" spans="1:4" x14ac:dyDescent="0.25">
      <c r="A237" t="s">
        <v>68</v>
      </c>
      <c r="B237" t="s">
        <v>20</v>
      </c>
      <c r="C237">
        <v>2040</v>
      </c>
      <c r="D237" s="2">
        <f t="shared" si="0"/>
        <v>34.07</v>
      </c>
    </row>
    <row r="238" spans="1:4" x14ac:dyDescent="0.25">
      <c r="A238" t="s">
        <v>68</v>
      </c>
      <c r="B238" t="s">
        <v>21</v>
      </c>
      <c r="C238">
        <v>2040</v>
      </c>
      <c r="D238" s="2">
        <f t="shared" si="0"/>
        <v>34.07</v>
      </c>
    </row>
    <row r="239" spans="1:4" x14ac:dyDescent="0.25">
      <c r="A239" t="s">
        <v>68</v>
      </c>
      <c r="B239" t="s">
        <v>22</v>
      </c>
      <c r="C239">
        <v>2040</v>
      </c>
      <c r="D239" s="2">
        <f t="shared" si="0"/>
        <v>26.42</v>
      </c>
    </row>
    <row r="240" spans="1:4" x14ac:dyDescent="0.25">
      <c r="A240" t="s">
        <v>68</v>
      </c>
      <c r="B240" t="s">
        <v>23</v>
      </c>
      <c r="C240">
        <v>2040</v>
      </c>
      <c r="D240" s="2">
        <f t="shared" si="0"/>
        <v>34.28</v>
      </c>
    </row>
    <row r="241" spans="1:4" x14ac:dyDescent="0.25">
      <c r="A241" t="s">
        <v>68</v>
      </c>
      <c r="B241" t="s">
        <v>24</v>
      </c>
      <c r="C241">
        <v>2040</v>
      </c>
      <c r="D241" s="2" t="str">
        <f t="shared" si="0"/>
        <v>-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468A2-8A50-40F2-B5B4-B151A293C543}">
  <sheetPr codeName="Hoja4"/>
  <dimension ref="A1:F129"/>
  <sheetViews>
    <sheetView zoomScale="115" zoomScaleNormal="115" workbookViewId="0">
      <selection activeCell="C6" sqref="C6"/>
    </sheetView>
  </sheetViews>
  <sheetFormatPr baseColWidth="10" defaultRowHeight="15" x14ac:dyDescent="0.25"/>
  <cols>
    <col min="6" max="6" width="11.42578125" style="2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s="2" t="s">
        <v>5</v>
      </c>
    </row>
    <row r="2" spans="1:6" x14ac:dyDescent="0.25">
      <c r="A2" t="s">
        <v>6</v>
      </c>
      <c r="B2" t="s">
        <v>7</v>
      </c>
      <c r="C2">
        <v>2022</v>
      </c>
      <c r="D2" t="s">
        <v>8</v>
      </c>
      <c r="E2" t="s">
        <v>9</v>
      </c>
      <c r="F2" s="2">
        <f>Input!G49</f>
        <v>49900</v>
      </c>
    </row>
    <row r="3" spans="1:6" x14ac:dyDescent="0.25">
      <c r="A3" t="s">
        <v>6</v>
      </c>
      <c r="B3" t="s">
        <v>10</v>
      </c>
      <c r="C3">
        <v>2022</v>
      </c>
      <c r="D3" t="s">
        <v>8</v>
      </c>
      <c r="E3" t="s">
        <v>9</v>
      </c>
      <c r="F3" s="2">
        <f>Input!G50</f>
        <v>49900</v>
      </c>
    </row>
    <row r="4" spans="1:6" x14ac:dyDescent="0.25">
      <c r="A4" t="s">
        <v>6</v>
      </c>
      <c r="B4" t="s">
        <v>11</v>
      </c>
      <c r="C4">
        <v>2022</v>
      </c>
      <c r="D4" t="s">
        <v>8</v>
      </c>
      <c r="E4" t="s">
        <v>9</v>
      </c>
      <c r="F4" s="2">
        <f>Input!G51</f>
        <v>72572</v>
      </c>
    </row>
    <row r="5" spans="1:6" x14ac:dyDescent="0.25">
      <c r="A5" t="s">
        <v>6</v>
      </c>
      <c r="B5" t="s">
        <v>12</v>
      </c>
      <c r="C5">
        <v>2022</v>
      </c>
      <c r="D5" t="s">
        <v>8</v>
      </c>
      <c r="E5" t="s">
        <v>9</v>
      </c>
      <c r="F5" s="2">
        <f>Input!G52</f>
        <v>78155</v>
      </c>
    </row>
    <row r="6" spans="1:6" x14ac:dyDescent="0.25">
      <c r="A6" t="s">
        <v>6</v>
      </c>
      <c r="B6" t="s">
        <v>13</v>
      </c>
      <c r="C6">
        <v>2022</v>
      </c>
      <c r="D6" t="s">
        <v>8</v>
      </c>
      <c r="E6" t="s">
        <v>9</v>
      </c>
      <c r="F6" s="2">
        <f>Input!G53</f>
        <v>78155</v>
      </c>
    </row>
    <row r="7" spans="1:6" x14ac:dyDescent="0.25">
      <c r="A7" t="s">
        <v>6</v>
      </c>
      <c r="B7" t="s">
        <v>14</v>
      </c>
      <c r="C7">
        <v>2022</v>
      </c>
      <c r="D7" t="s">
        <v>8</v>
      </c>
      <c r="E7" t="s">
        <v>9</v>
      </c>
      <c r="F7" s="2">
        <f>Input!G54</f>
        <v>83738</v>
      </c>
    </row>
    <row r="8" spans="1:6" x14ac:dyDescent="0.25">
      <c r="A8" t="s">
        <v>6</v>
      </c>
      <c r="B8" t="s">
        <v>15</v>
      </c>
      <c r="C8">
        <v>2022</v>
      </c>
      <c r="D8" t="s">
        <v>8</v>
      </c>
      <c r="E8" t="s">
        <v>9</v>
      </c>
      <c r="F8" s="2">
        <f>Input!G55</f>
        <v>110423</v>
      </c>
    </row>
    <row r="9" spans="1:6" x14ac:dyDescent="0.25">
      <c r="A9" t="s">
        <v>6</v>
      </c>
      <c r="B9" t="s">
        <v>16</v>
      </c>
      <c r="C9">
        <v>2022</v>
      </c>
      <c r="D9" t="s">
        <v>8</v>
      </c>
      <c r="E9" t="s">
        <v>9</v>
      </c>
      <c r="F9" s="2">
        <f>Input!G56</f>
        <v>89320</v>
      </c>
    </row>
    <row r="10" spans="1:6" x14ac:dyDescent="0.25">
      <c r="A10" t="s">
        <v>6</v>
      </c>
      <c r="B10" t="s">
        <v>17</v>
      </c>
      <c r="C10">
        <v>2022</v>
      </c>
      <c r="D10" t="s">
        <v>8</v>
      </c>
      <c r="E10" t="s">
        <v>9</v>
      </c>
      <c r="F10" s="2">
        <f>Input!G57</f>
        <v>115000</v>
      </c>
    </row>
    <row r="11" spans="1:6" x14ac:dyDescent="0.25">
      <c r="A11" t="s">
        <v>6</v>
      </c>
      <c r="B11" t="s">
        <v>18</v>
      </c>
      <c r="C11">
        <v>2022</v>
      </c>
      <c r="D11" t="s">
        <v>8</v>
      </c>
      <c r="E11" t="s">
        <v>9</v>
      </c>
      <c r="F11" s="2">
        <f>Input!G58</f>
        <v>90438</v>
      </c>
    </row>
    <row r="12" spans="1:6" x14ac:dyDescent="0.25">
      <c r="A12" t="s">
        <v>6</v>
      </c>
      <c r="B12" t="s">
        <v>19</v>
      </c>
      <c r="C12">
        <v>2022</v>
      </c>
      <c r="D12" t="s">
        <v>8</v>
      </c>
      <c r="E12" t="s">
        <v>9</v>
      </c>
      <c r="F12" s="2">
        <f>Input!G59</f>
        <v>117233</v>
      </c>
    </row>
    <row r="13" spans="1:6" x14ac:dyDescent="0.25">
      <c r="A13" t="s">
        <v>6</v>
      </c>
      <c r="B13" t="s">
        <v>20</v>
      </c>
      <c r="C13">
        <v>2022</v>
      </c>
      <c r="D13" t="s">
        <v>8</v>
      </c>
      <c r="E13" t="s">
        <v>9</v>
      </c>
      <c r="F13" s="2">
        <f>Input!G60</f>
        <v>96018</v>
      </c>
    </row>
    <row r="14" spans="1:6" x14ac:dyDescent="0.25">
      <c r="A14" t="s">
        <v>6</v>
      </c>
      <c r="B14" t="s">
        <v>21</v>
      </c>
      <c r="C14">
        <v>2022</v>
      </c>
      <c r="D14" t="s">
        <v>8</v>
      </c>
      <c r="E14" t="s">
        <v>9</v>
      </c>
      <c r="F14" s="2">
        <f>Input!G61</f>
        <v>121700</v>
      </c>
    </row>
    <row r="15" spans="1:6" x14ac:dyDescent="0.25">
      <c r="A15" t="s">
        <v>6</v>
      </c>
      <c r="B15" t="s">
        <v>22</v>
      </c>
      <c r="C15">
        <v>2022</v>
      </c>
      <c r="D15" t="s">
        <v>8</v>
      </c>
      <c r="E15" t="s">
        <v>9</v>
      </c>
      <c r="F15" s="2">
        <f>Input!G62</f>
        <v>150728</v>
      </c>
    </row>
    <row r="16" spans="1:6" x14ac:dyDescent="0.25">
      <c r="A16" t="s">
        <v>6</v>
      </c>
      <c r="B16" t="s">
        <v>23</v>
      </c>
      <c r="C16">
        <v>2022</v>
      </c>
      <c r="D16" t="s">
        <v>8</v>
      </c>
      <c r="E16" t="s">
        <v>9</v>
      </c>
      <c r="F16" s="2">
        <f>Input!G63</f>
        <v>156312</v>
      </c>
    </row>
    <row r="17" spans="1:6" x14ac:dyDescent="0.25">
      <c r="A17" t="s">
        <v>6</v>
      </c>
      <c r="B17" t="s">
        <v>24</v>
      </c>
      <c r="C17">
        <v>2022</v>
      </c>
      <c r="D17" t="s">
        <v>8</v>
      </c>
      <c r="E17" t="s">
        <v>9</v>
      </c>
      <c r="F17" s="2">
        <f>Input!G64</f>
        <v>173057</v>
      </c>
    </row>
    <row r="18" spans="1:6" x14ac:dyDescent="0.25">
      <c r="A18" t="s">
        <v>25</v>
      </c>
      <c r="B18" t="s">
        <v>7</v>
      </c>
      <c r="C18">
        <v>2022</v>
      </c>
      <c r="D18" t="s">
        <v>8</v>
      </c>
      <c r="E18" t="s">
        <v>9</v>
      </c>
      <c r="F18" s="2">
        <f>Input!I49</f>
        <v>54890.000000000007</v>
      </c>
    </row>
    <row r="19" spans="1:6" x14ac:dyDescent="0.25">
      <c r="A19" t="s">
        <v>25</v>
      </c>
      <c r="B19" t="s">
        <v>10</v>
      </c>
      <c r="C19">
        <v>2022</v>
      </c>
      <c r="D19" t="s">
        <v>8</v>
      </c>
      <c r="E19" t="s">
        <v>9</v>
      </c>
      <c r="F19" s="2">
        <f>Input!I50</f>
        <v>54890.000000000007</v>
      </c>
    </row>
    <row r="20" spans="1:6" x14ac:dyDescent="0.25">
      <c r="A20" t="s">
        <v>25</v>
      </c>
      <c r="B20" t="s">
        <v>11</v>
      </c>
      <c r="C20">
        <v>2022</v>
      </c>
      <c r="D20" t="s">
        <v>8</v>
      </c>
      <c r="E20" t="s">
        <v>9</v>
      </c>
      <c r="F20" s="2">
        <f>Input!I51</f>
        <v>79829.200000000012</v>
      </c>
    </row>
    <row r="21" spans="1:6" x14ac:dyDescent="0.25">
      <c r="A21" t="s">
        <v>25</v>
      </c>
      <c r="B21" t="s">
        <v>12</v>
      </c>
      <c r="C21">
        <v>2022</v>
      </c>
      <c r="D21" t="s">
        <v>8</v>
      </c>
      <c r="E21" t="s">
        <v>9</v>
      </c>
      <c r="F21" s="2">
        <f>Input!I52</f>
        <v>85970.5</v>
      </c>
    </row>
    <row r="22" spans="1:6" x14ac:dyDescent="0.25">
      <c r="A22" t="s">
        <v>25</v>
      </c>
      <c r="B22" t="s">
        <v>13</v>
      </c>
      <c r="C22">
        <v>2022</v>
      </c>
      <c r="D22" t="s">
        <v>8</v>
      </c>
      <c r="E22" t="s">
        <v>9</v>
      </c>
      <c r="F22" s="2">
        <f>Input!I53</f>
        <v>85970.5</v>
      </c>
    </row>
    <row r="23" spans="1:6" x14ac:dyDescent="0.25">
      <c r="A23" t="s">
        <v>25</v>
      </c>
      <c r="B23" t="s">
        <v>14</v>
      </c>
      <c r="C23">
        <v>2022</v>
      </c>
      <c r="D23" t="s">
        <v>8</v>
      </c>
      <c r="E23" t="s">
        <v>9</v>
      </c>
      <c r="F23" s="2">
        <f>Input!I54</f>
        <v>92111.8</v>
      </c>
    </row>
    <row r="24" spans="1:6" x14ac:dyDescent="0.25">
      <c r="A24" t="s">
        <v>25</v>
      </c>
      <c r="B24" t="s">
        <v>15</v>
      </c>
      <c r="C24">
        <v>2022</v>
      </c>
      <c r="D24" t="s">
        <v>8</v>
      </c>
      <c r="E24" t="s">
        <v>9</v>
      </c>
      <c r="F24" s="2">
        <f>Input!I55</f>
        <v>121465.3</v>
      </c>
    </row>
    <row r="25" spans="1:6" x14ac:dyDescent="0.25">
      <c r="A25" t="s">
        <v>25</v>
      </c>
      <c r="B25" t="s">
        <v>16</v>
      </c>
      <c r="C25">
        <v>2022</v>
      </c>
      <c r="D25" t="s">
        <v>8</v>
      </c>
      <c r="E25" t="s">
        <v>9</v>
      </c>
      <c r="F25" s="2">
        <f>Input!I56</f>
        <v>98252.000000000015</v>
      </c>
    </row>
    <row r="26" spans="1:6" x14ac:dyDescent="0.25">
      <c r="A26" t="s">
        <v>25</v>
      </c>
      <c r="B26" t="s">
        <v>17</v>
      </c>
      <c r="C26">
        <v>2022</v>
      </c>
      <c r="D26" t="s">
        <v>8</v>
      </c>
      <c r="E26" t="s">
        <v>9</v>
      </c>
      <c r="F26" s="2">
        <f>Input!I57</f>
        <v>126500.00000000001</v>
      </c>
    </row>
    <row r="27" spans="1:6" x14ac:dyDescent="0.25">
      <c r="A27" t="s">
        <v>25</v>
      </c>
      <c r="B27" t="s">
        <v>18</v>
      </c>
      <c r="C27">
        <v>2022</v>
      </c>
      <c r="D27" t="s">
        <v>8</v>
      </c>
      <c r="E27" t="s">
        <v>9</v>
      </c>
      <c r="F27" s="2">
        <f>Input!I58</f>
        <v>99481.8</v>
      </c>
    </row>
    <row r="28" spans="1:6" x14ac:dyDescent="0.25">
      <c r="A28" t="s">
        <v>25</v>
      </c>
      <c r="B28" t="s">
        <v>19</v>
      </c>
      <c r="C28">
        <v>2022</v>
      </c>
      <c r="D28" t="s">
        <v>8</v>
      </c>
      <c r="E28" t="s">
        <v>9</v>
      </c>
      <c r="F28" s="2">
        <f>Input!I59</f>
        <v>128956.30000000002</v>
      </c>
    </row>
    <row r="29" spans="1:6" x14ac:dyDescent="0.25">
      <c r="A29" t="s">
        <v>25</v>
      </c>
      <c r="B29" t="s">
        <v>20</v>
      </c>
      <c r="C29">
        <v>2022</v>
      </c>
      <c r="D29" t="s">
        <v>8</v>
      </c>
      <c r="E29" t="s">
        <v>9</v>
      </c>
      <c r="F29" s="2">
        <f>Input!I60</f>
        <v>105619.8</v>
      </c>
    </row>
    <row r="30" spans="1:6" x14ac:dyDescent="0.25">
      <c r="A30" t="s">
        <v>25</v>
      </c>
      <c r="B30" t="s">
        <v>21</v>
      </c>
      <c r="C30">
        <v>2022</v>
      </c>
      <c r="D30" t="s">
        <v>8</v>
      </c>
      <c r="E30" t="s">
        <v>9</v>
      </c>
      <c r="F30" s="2">
        <f>Input!I61</f>
        <v>133870</v>
      </c>
    </row>
    <row r="31" spans="1:6" x14ac:dyDescent="0.25">
      <c r="A31" t="s">
        <v>25</v>
      </c>
      <c r="B31" t="s">
        <v>22</v>
      </c>
      <c r="C31">
        <v>2022</v>
      </c>
      <c r="D31" t="s">
        <v>8</v>
      </c>
      <c r="E31" t="s">
        <v>9</v>
      </c>
      <c r="F31" s="2">
        <f>Input!I62</f>
        <v>165800.80000000002</v>
      </c>
    </row>
    <row r="32" spans="1:6" x14ac:dyDescent="0.25">
      <c r="A32" t="s">
        <v>25</v>
      </c>
      <c r="B32" t="s">
        <v>23</v>
      </c>
      <c r="C32">
        <v>2022</v>
      </c>
      <c r="D32" t="s">
        <v>8</v>
      </c>
      <c r="E32" t="s">
        <v>9</v>
      </c>
      <c r="F32" s="2">
        <f>Input!I63</f>
        <v>171943.2</v>
      </c>
    </row>
    <row r="33" spans="1:6" x14ac:dyDescent="0.25">
      <c r="A33" t="s">
        <v>25</v>
      </c>
      <c r="B33" t="s">
        <v>24</v>
      </c>
      <c r="C33">
        <v>2022</v>
      </c>
      <c r="D33" t="s">
        <v>8</v>
      </c>
      <c r="E33" t="s">
        <v>9</v>
      </c>
      <c r="F33" s="2">
        <f>Input!I64</f>
        <v>190362.7</v>
      </c>
    </row>
    <row r="34" spans="1:6" x14ac:dyDescent="0.25">
      <c r="A34" t="s">
        <v>26</v>
      </c>
      <c r="B34" t="s">
        <v>7</v>
      </c>
      <c r="C34">
        <v>2022</v>
      </c>
      <c r="D34" t="s">
        <v>8</v>
      </c>
      <c r="E34" t="s">
        <v>9</v>
      </c>
      <c r="F34" s="2">
        <f>Input!K49</f>
        <v>54890.000000000007</v>
      </c>
    </row>
    <row r="35" spans="1:6" x14ac:dyDescent="0.25">
      <c r="A35" t="s">
        <v>26</v>
      </c>
      <c r="B35" t="s">
        <v>10</v>
      </c>
      <c r="C35">
        <v>2022</v>
      </c>
      <c r="D35" t="s">
        <v>8</v>
      </c>
      <c r="E35" t="s">
        <v>9</v>
      </c>
      <c r="F35" s="2">
        <f>Input!K50</f>
        <v>54890.000000000007</v>
      </c>
    </row>
    <row r="36" spans="1:6" x14ac:dyDescent="0.25">
      <c r="A36" t="s">
        <v>26</v>
      </c>
      <c r="B36" t="s">
        <v>11</v>
      </c>
      <c r="C36">
        <v>2022</v>
      </c>
      <c r="D36" t="s">
        <v>8</v>
      </c>
      <c r="E36" t="s">
        <v>9</v>
      </c>
      <c r="F36" s="2">
        <f>Input!K51</f>
        <v>79829.200000000012</v>
      </c>
    </row>
    <row r="37" spans="1:6" x14ac:dyDescent="0.25">
      <c r="A37" t="s">
        <v>26</v>
      </c>
      <c r="B37" t="s">
        <v>12</v>
      </c>
      <c r="C37">
        <v>2022</v>
      </c>
      <c r="D37" t="s">
        <v>8</v>
      </c>
      <c r="E37" t="s">
        <v>9</v>
      </c>
      <c r="F37" s="2">
        <f>Input!K52</f>
        <v>85970.5</v>
      </c>
    </row>
    <row r="38" spans="1:6" x14ac:dyDescent="0.25">
      <c r="A38" t="s">
        <v>26</v>
      </c>
      <c r="B38" t="s">
        <v>13</v>
      </c>
      <c r="C38">
        <v>2022</v>
      </c>
      <c r="D38" t="s">
        <v>8</v>
      </c>
      <c r="E38" t="s">
        <v>9</v>
      </c>
      <c r="F38" s="2">
        <f>Input!K53</f>
        <v>85970.5</v>
      </c>
    </row>
    <row r="39" spans="1:6" x14ac:dyDescent="0.25">
      <c r="A39" t="s">
        <v>26</v>
      </c>
      <c r="B39" t="s">
        <v>14</v>
      </c>
      <c r="C39">
        <v>2022</v>
      </c>
      <c r="D39" t="s">
        <v>8</v>
      </c>
      <c r="E39" t="s">
        <v>9</v>
      </c>
      <c r="F39" s="2">
        <f>Input!K54</f>
        <v>92111.8</v>
      </c>
    </row>
    <row r="40" spans="1:6" x14ac:dyDescent="0.25">
      <c r="A40" t="s">
        <v>26</v>
      </c>
      <c r="B40" t="s">
        <v>15</v>
      </c>
      <c r="C40">
        <v>2022</v>
      </c>
      <c r="D40" t="s">
        <v>8</v>
      </c>
      <c r="E40" t="s">
        <v>9</v>
      </c>
      <c r="F40" s="2">
        <f>Input!K55</f>
        <v>121465.3</v>
      </c>
    </row>
    <row r="41" spans="1:6" x14ac:dyDescent="0.25">
      <c r="A41" t="s">
        <v>26</v>
      </c>
      <c r="B41" t="s">
        <v>16</v>
      </c>
      <c r="C41">
        <v>2022</v>
      </c>
      <c r="D41" t="s">
        <v>8</v>
      </c>
      <c r="E41" t="s">
        <v>9</v>
      </c>
      <c r="F41" s="2">
        <f>Input!K56</f>
        <v>98252.000000000015</v>
      </c>
    </row>
    <row r="42" spans="1:6" x14ac:dyDescent="0.25">
      <c r="A42" t="s">
        <v>26</v>
      </c>
      <c r="B42" t="s">
        <v>17</v>
      </c>
      <c r="C42">
        <v>2022</v>
      </c>
      <c r="D42" t="s">
        <v>8</v>
      </c>
      <c r="E42" t="s">
        <v>9</v>
      </c>
      <c r="F42" s="2">
        <f>Input!K57</f>
        <v>126500.00000000001</v>
      </c>
    </row>
    <row r="43" spans="1:6" x14ac:dyDescent="0.25">
      <c r="A43" t="s">
        <v>26</v>
      </c>
      <c r="B43" t="s">
        <v>18</v>
      </c>
      <c r="C43">
        <v>2022</v>
      </c>
      <c r="D43" t="s">
        <v>8</v>
      </c>
      <c r="E43" t="s">
        <v>9</v>
      </c>
      <c r="F43" s="2">
        <f>Input!K58</f>
        <v>99481.8</v>
      </c>
    </row>
    <row r="44" spans="1:6" x14ac:dyDescent="0.25">
      <c r="A44" t="s">
        <v>26</v>
      </c>
      <c r="B44" t="s">
        <v>19</v>
      </c>
      <c r="C44">
        <v>2022</v>
      </c>
      <c r="D44" t="s">
        <v>8</v>
      </c>
      <c r="E44" t="s">
        <v>9</v>
      </c>
      <c r="F44" s="2">
        <f>Input!K59</f>
        <v>128956.30000000002</v>
      </c>
    </row>
    <row r="45" spans="1:6" x14ac:dyDescent="0.25">
      <c r="A45" t="s">
        <v>26</v>
      </c>
      <c r="B45" t="s">
        <v>20</v>
      </c>
      <c r="C45">
        <v>2022</v>
      </c>
      <c r="D45" t="s">
        <v>8</v>
      </c>
      <c r="E45" t="s">
        <v>9</v>
      </c>
      <c r="F45" s="2">
        <f>Input!K60</f>
        <v>105619.8</v>
      </c>
    </row>
    <row r="46" spans="1:6" x14ac:dyDescent="0.25">
      <c r="A46" t="s">
        <v>26</v>
      </c>
      <c r="B46" t="s">
        <v>21</v>
      </c>
      <c r="C46">
        <v>2022</v>
      </c>
      <c r="D46" t="s">
        <v>8</v>
      </c>
      <c r="E46" t="s">
        <v>9</v>
      </c>
      <c r="F46" s="2">
        <f>Input!K61</f>
        <v>133870</v>
      </c>
    </row>
    <row r="47" spans="1:6" x14ac:dyDescent="0.25">
      <c r="A47" t="s">
        <v>26</v>
      </c>
      <c r="B47" t="s">
        <v>22</v>
      </c>
      <c r="C47">
        <v>2022</v>
      </c>
      <c r="D47" t="s">
        <v>8</v>
      </c>
      <c r="E47" t="s">
        <v>9</v>
      </c>
      <c r="F47" s="2">
        <f>Input!K62</f>
        <v>165800.80000000002</v>
      </c>
    </row>
    <row r="48" spans="1:6" x14ac:dyDescent="0.25">
      <c r="A48" t="s">
        <v>26</v>
      </c>
      <c r="B48" t="s">
        <v>23</v>
      </c>
      <c r="C48">
        <v>2022</v>
      </c>
      <c r="D48" t="s">
        <v>8</v>
      </c>
      <c r="E48" t="s">
        <v>9</v>
      </c>
      <c r="F48" s="2">
        <f>Input!K63</f>
        <v>171943.2</v>
      </c>
    </row>
    <row r="49" spans="1:6" x14ac:dyDescent="0.25">
      <c r="A49" t="s">
        <v>26</v>
      </c>
      <c r="B49" t="s">
        <v>24</v>
      </c>
      <c r="C49">
        <v>2022</v>
      </c>
      <c r="D49" t="s">
        <v>8</v>
      </c>
      <c r="E49" t="s">
        <v>9</v>
      </c>
      <c r="F49" s="2">
        <f>Input!K64</f>
        <v>190362.7</v>
      </c>
    </row>
    <row r="50" spans="1:6" x14ac:dyDescent="0.25">
      <c r="A50" t="s">
        <v>6</v>
      </c>
      <c r="B50" t="s">
        <v>7</v>
      </c>
      <c r="C50">
        <v>2040</v>
      </c>
      <c r="D50" t="s">
        <v>8</v>
      </c>
      <c r="E50" t="s">
        <v>9</v>
      </c>
      <c r="F50" s="2">
        <f>Input!P49</f>
        <v>49900</v>
      </c>
    </row>
    <row r="51" spans="1:6" x14ac:dyDescent="0.25">
      <c r="A51" t="s">
        <v>6</v>
      </c>
      <c r="B51" t="s">
        <v>10</v>
      </c>
      <c r="C51">
        <v>2040</v>
      </c>
      <c r="D51" t="s">
        <v>8</v>
      </c>
      <c r="E51" t="s">
        <v>9</v>
      </c>
      <c r="F51" s="2">
        <f>Input!P50</f>
        <v>49900</v>
      </c>
    </row>
    <row r="52" spans="1:6" x14ac:dyDescent="0.25">
      <c r="A52" t="s">
        <v>6</v>
      </c>
      <c r="B52" t="s">
        <v>11</v>
      </c>
      <c r="C52">
        <v>2040</v>
      </c>
      <c r="D52" t="s">
        <v>8</v>
      </c>
      <c r="E52" t="s">
        <v>9</v>
      </c>
      <c r="F52" s="2">
        <f>Input!P51</f>
        <v>72572</v>
      </c>
    </row>
    <row r="53" spans="1:6" x14ac:dyDescent="0.25">
      <c r="A53" t="s">
        <v>6</v>
      </c>
      <c r="B53" t="s">
        <v>12</v>
      </c>
      <c r="C53">
        <v>2040</v>
      </c>
      <c r="D53" t="s">
        <v>8</v>
      </c>
      <c r="E53" t="s">
        <v>9</v>
      </c>
      <c r="F53" s="2">
        <f>Input!P52</f>
        <v>78155</v>
      </c>
    </row>
    <row r="54" spans="1:6" x14ac:dyDescent="0.25">
      <c r="A54" t="s">
        <v>6</v>
      </c>
      <c r="B54" t="s">
        <v>13</v>
      </c>
      <c r="C54">
        <v>2040</v>
      </c>
      <c r="D54" t="s">
        <v>8</v>
      </c>
      <c r="E54" t="s">
        <v>9</v>
      </c>
      <c r="F54" s="2">
        <f>Input!P53</f>
        <v>78155</v>
      </c>
    </row>
    <row r="55" spans="1:6" x14ac:dyDescent="0.25">
      <c r="A55" t="s">
        <v>6</v>
      </c>
      <c r="B55" t="s">
        <v>14</v>
      </c>
      <c r="C55">
        <v>2040</v>
      </c>
      <c r="D55" t="s">
        <v>8</v>
      </c>
      <c r="E55" t="s">
        <v>9</v>
      </c>
      <c r="F55" s="2">
        <f>Input!P54</f>
        <v>83738</v>
      </c>
    </row>
    <row r="56" spans="1:6" x14ac:dyDescent="0.25">
      <c r="A56" t="s">
        <v>6</v>
      </c>
      <c r="B56" t="s">
        <v>15</v>
      </c>
      <c r="C56">
        <v>2040</v>
      </c>
      <c r="D56" t="s">
        <v>8</v>
      </c>
      <c r="E56" t="s">
        <v>9</v>
      </c>
      <c r="F56" s="2">
        <f>Input!P55</f>
        <v>110423</v>
      </c>
    </row>
    <row r="57" spans="1:6" x14ac:dyDescent="0.25">
      <c r="A57" t="s">
        <v>6</v>
      </c>
      <c r="B57" t="s">
        <v>16</v>
      </c>
      <c r="C57">
        <v>2040</v>
      </c>
      <c r="D57" t="s">
        <v>8</v>
      </c>
      <c r="E57" t="s">
        <v>9</v>
      </c>
      <c r="F57" s="2">
        <f>Input!P56</f>
        <v>89320</v>
      </c>
    </row>
    <row r="58" spans="1:6" x14ac:dyDescent="0.25">
      <c r="A58" t="s">
        <v>6</v>
      </c>
      <c r="B58" t="s">
        <v>17</v>
      </c>
      <c r="C58">
        <v>2040</v>
      </c>
      <c r="D58" t="s">
        <v>8</v>
      </c>
      <c r="E58" t="s">
        <v>9</v>
      </c>
      <c r="F58" s="2">
        <f>Input!P57</f>
        <v>115000</v>
      </c>
    </row>
    <row r="59" spans="1:6" x14ac:dyDescent="0.25">
      <c r="A59" t="s">
        <v>6</v>
      </c>
      <c r="B59" t="s">
        <v>18</v>
      </c>
      <c r="C59">
        <v>2040</v>
      </c>
      <c r="D59" t="s">
        <v>8</v>
      </c>
      <c r="E59" t="s">
        <v>9</v>
      </c>
      <c r="F59" s="2">
        <f>Input!P58</f>
        <v>90438</v>
      </c>
    </row>
    <row r="60" spans="1:6" x14ac:dyDescent="0.25">
      <c r="A60" t="s">
        <v>6</v>
      </c>
      <c r="B60" t="s">
        <v>19</v>
      </c>
      <c r="C60">
        <v>2040</v>
      </c>
      <c r="D60" t="s">
        <v>8</v>
      </c>
      <c r="E60" t="s">
        <v>9</v>
      </c>
      <c r="F60" s="2">
        <f>Input!P59</f>
        <v>117233</v>
      </c>
    </row>
    <row r="61" spans="1:6" x14ac:dyDescent="0.25">
      <c r="A61" t="s">
        <v>6</v>
      </c>
      <c r="B61" t="s">
        <v>20</v>
      </c>
      <c r="C61">
        <v>2040</v>
      </c>
      <c r="D61" t="s">
        <v>8</v>
      </c>
      <c r="E61" t="s">
        <v>9</v>
      </c>
      <c r="F61" s="2">
        <f>Input!P60</f>
        <v>96018</v>
      </c>
    </row>
    <row r="62" spans="1:6" x14ac:dyDescent="0.25">
      <c r="A62" t="s">
        <v>6</v>
      </c>
      <c r="B62" t="s">
        <v>21</v>
      </c>
      <c r="C62">
        <v>2040</v>
      </c>
      <c r="D62" t="s">
        <v>8</v>
      </c>
      <c r="E62" t="s">
        <v>9</v>
      </c>
      <c r="F62" s="2">
        <f>Input!P61</f>
        <v>121700</v>
      </c>
    </row>
    <row r="63" spans="1:6" x14ac:dyDescent="0.25">
      <c r="A63" t="s">
        <v>6</v>
      </c>
      <c r="B63" t="s">
        <v>22</v>
      </c>
      <c r="C63">
        <v>2040</v>
      </c>
      <c r="D63" t="s">
        <v>8</v>
      </c>
      <c r="E63" t="s">
        <v>9</v>
      </c>
      <c r="F63" s="2">
        <f>Input!P62</f>
        <v>150728</v>
      </c>
    </row>
    <row r="64" spans="1:6" x14ac:dyDescent="0.25">
      <c r="A64" t="s">
        <v>6</v>
      </c>
      <c r="B64" t="s">
        <v>23</v>
      </c>
      <c r="C64">
        <v>2040</v>
      </c>
      <c r="D64" t="s">
        <v>8</v>
      </c>
      <c r="E64" t="s">
        <v>9</v>
      </c>
      <c r="F64" s="2">
        <f>Input!P63</f>
        <v>156312</v>
      </c>
    </row>
    <row r="65" spans="1:6" x14ac:dyDescent="0.25">
      <c r="A65" t="s">
        <v>6</v>
      </c>
      <c r="B65" t="s">
        <v>24</v>
      </c>
      <c r="C65">
        <v>2040</v>
      </c>
      <c r="D65" t="s">
        <v>8</v>
      </c>
      <c r="E65" t="s">
        <v>9</v>
      </c>
      <c r="F65" s="2">
        <f>Input!P64</f>
        <v>173057</v>
      </c>
    </row>
    <row r="66" spans="1:6" x14ac:dyDescent="0.25">
      <c r="A66" t="s">
        <v>25</v>
      </c>
      <c r="B66" t="s">
        <v>7</v>
      </c>
      <c r="C66">
        <v>2040</v>
      </c>
      <c r="D66" t="s">
        <v>8</v>
      </c>
      <c r="E66" t="s">
        <v>9</v>
      </c>
      <c r="F66" s="2">
        <f>Input!R49</f>
        <v>54890.000000000007</v>
      </c>
    </row>
    <row r="67" spans="1:6" x14ac:dyDescent="0.25">
      <c r="A67" t="s">
        <v>25</v>
      </c>
      <c r="B67" t="s">
        <v>10</v>
      </c>
      <c r="C67">
        <v>2040</v>
      </c>
      <c r="D67" t="s">
        <v>8</v>
      </c>
      <c r="E67" t="s">
        <v>9</v>
      </c>
      <c r="F67" s="2">
        <f>Input!R50</f>
        <v>54890.000000000007</v>
      </c>
    </row>
    <row r="68" spans="1:6" x14ac:dyDescent="0.25">
      <c r="A68" t="s">
        <v>25</v>
      </c>
      <c r="B68" t="s">
        <v>11</v>
      </c>
      <c r="C68">
        <v>2040</v>
      </c>
      <c r="D68" t="s">
        <v>8</v>
      </c>
      <c r="E68" t="s">
        <v>9</v>
      </c>
      <c r="F68" s="2">
        <f>Input!R51</f>
        <v>79829.200000000012</v>
      </c>
    </row>
    <row r="69" spans="1:6" x14ac:dyDescent="0.25">
      <c r="A69" t="s">
        <v>25</v>
      </c>
      <c r="B69" t="s">
        <v>12</v>
      </c>
      <c r="C69">
        <v>2040</v>
      </c>
      <c r="D69" t="s">
        <v>8</v>
      </c>
      <c r="E69" t="s">
        <v>9</v>
      </c>
      <c r="F69" s="2">
        <f>Input!R52</f>
        <v>85970.5</v>
      </c>
    </row>
    <row r="70" spans="1:6" x14ac:dyDescent="0.25">
      <c r="A70" t="s">
        <v>25</v>
      </c>
      <c r="B70" t="s">
        <v>13</v>
      </c>
      <c r="C70">
        <v>2040</v>
      </c>
      <c r="D70" t="s">
        <v>8</v>
      </c>
      <c r="E70" t="s">
        <v>9</v>
      </c>
      <c r="F70" s="2">
        <f>Input!R53</f>
        <v>85970.5</v>
      </c>
    </row>
    <row r="71" spans="1:6" x14ac:dyDescent="0.25">
      <c r="A71" t="s">
        <v>25</v>
      </c>
      <c r="B71" t="s">
        <v>14</v>
      </c>
      <c r="C71">
        <v>2040</v>
      </c>
      <c r="D71" t="s">
        <v>8</v>
      </c>
      <c r="E71" t="s">
        <v>9</v>
      </c>
      <c r="F71" s="2">
        <f>Input!R54</f>
        <v>92111.8</v>
      </c>
    </row>
    <row r="72" spans="1:6" x14ac:dyDescent="0.25">
      <c r="A72" t="s">
        <v>25</v>
      </c>
      <c r="B72" t="s">
        <v>15</v>
      </c>
      <c r="C72">
        <v>2040</v>
      </c>
      <c r="D72" t="s">
        <v>8</v>
      </c>
      <c r="E72" t="s">
        <v>9</v>
      </c>
      <c r="F72" s="2">
        <f>Input!R55</f>
        <v>121465.3</v>
      </c>
    </row>
    <row r="73" spans="1:6" x14ac:dyDescent="0.25">
      <c r="A73" t="s">
        <v>25</v>
      </c>
      <c r="B73" t="s">
        <v>16</v>
      </c>
      <c r="C73">
        <v>2040</v>
      </c>
      <c r="D73" t="s">
        <v>8</v>
      </c>
      <c r="E73" t="s">
        <v>9</v>
      </c>
      <c r="F73" s="2">
        <f>Input!R56</f>
        <v>98252.000000000015</v>
      </c>
    </row>
    <row r="74" spans="1:6" x14ac:dyDescent="0.25">
      <c r="A74" t="s">
        <v>25</v>
      </c>
      <c r="B74" t="s">
        <v>17</v>
      </c>
      <c r="C74">
        <v>2040</v>
      </c>
      <c r="D74" t="s">
        <v>8</v>
      </c>
      <c r="E74" t="s">
        <v>9</v>
      </c>
      <c r="F74" s="2">
        <f>Input!R57</f>
        <v>126500.00000000001</v>
      </c>
    </row>
    <row r="75" spans="1:6" x14ac:dyDescent="0.25">
      <c r="A75" t="s">
        <v>25</v>
      </c>
      <c r="B75" t="s">
        <v>18</v>
      </c>
      <c r="C75">
        <v>2040</v>
      </c>
      <c r="D75" t="s">
        <v>8</v>
      </c>
      <c r="E75" t="s">
        <v>9</v>
      </c>
      <c r="F75" s="2">
        <f>Input!R58</f>
        <v>99481.8</v>
      </c>
    </row>
    <row r="76" spans="1:6" x14ac:dyDescent="0.25">
      <c r="A76" t="s">
        <v>25</v>
      </c>
      <c r="B76" t="s">
        <v>19</v>
      </c>
      <c r="C76">
        <v>2040</v>
      </c>
      <c r="D76" t="s">
        <v>8</v>
      </c>
      <c r="E76" t="s">
        <v>9</v>
      </c>
      <c r="F76" s="2">
        <f>Input!R59</f>
        <v>128956.30000000002</v>
      </c>
    </row>
    <row r="77" spans="1:6" x14ac:dyDescent="0.25">
      <c r="A77" t="s">
        <v>25</v>
      </c>
      <c r="B77" t="s">
        <v>20</v>
      </c>
      <c r="C77">
        <v>2040</v>
      </c>
      <c r="D77" t="s">
        <v>8</v>
      </c>
      <c r="E77" t="s">
        <v>9</v>
      </c>
      <c r="F77" s="2">
        <f>Input!R60</f>
        <v>105619.8</v>
      </c>
    </row>
    <row r="78" spans="1:6" x14ac:dyDescent="0.25">
      <c r="A78" t="s">
        <v>25</v>
      </c>
      <c r="B78" t="s">
        <v>21</v>
      </c>
      <c r="C78">
        <v>2040</v>
      </c>
      <c r="D78" t="s">
        <v>8</v>
      </c>
      <c r="E78" t="s">
        <v>9</v>
      </c>
      <c r="F78" s="2">
        <f>Input!R61</f>
        <v>133870</v>
      </c>
    </row>
    <row r="79" spans="1:6" x14ac:dyDescent="0.25">
      <c r="A79" t="s">
        <v>25</v>
      </c>
      <c r="B79" t="s">
        <v>22</v>
      </c>
      <c r="C79">
        <v>2040</v>
      </c>
      <c r="D79" t="s">
        <v>8</v>
      </c>
      <c r="E79" t="s">
        <v>9</v>
      </c>
      <c r="F79" s="2">
        <f>Input!R62</f>
        <v>165800.80000000002</v>
      </c>
    </row>
    <row r="80" spans="1:6" x14ac:dyDescent="0.25">
      <c r="A80" t="s">
        <v>25</v>
      </c>
      <c r="B80" t="s">
        <v>23</v>
      </c>
      <c r="C80">
        <v>2040</v>
      </c>
      <c r="D80" t="s">
        <v>8</v>
      </c>
      <c r="E80" t="s">
        <v>9</v>
      </c>
      <c r="F80" s="2">
        <f>Input!R63</f>
        <v>171943.2</v>
      </c>
    </row>
    <row r="81" spans="1:6" x14ac:dyDescent="0.25">
      <c r="A81" t="s">
        <v>25</v>
      </c>
      <c r="B81" t="s">
        <v>24</v>
      </c>
      <c r="C81">
        <v>2040</v>
      </c>
      <c r="D81" t="s">
        <v>8</v>
      </c>
      <c r="E81" t="s">
        <v>9</v>
      </c>
      <c r="F81" s="2">
        <f>Input!R64</f>
        <v>190362.7</v>
      </c>
    </row>
    <row r="82" spans="1:6" x14ac:dyDescent="0.25">
      <c r="A82" t="s">
        <v>26</v>
      </c>
      <c r="B82" t="s">
        <v>7</v>
      </c>
      <c r="C82">
        <v>2040</v>
      </c>
      <c r="D82" t="s">
        <v>8</v>
      </c>
      <c r="E82" t="s">
        <v>9</v>
      </c>
      <c r="F82" s="2">
        <f>Input!T49</f>
        <v>54890.000000000007</v>
      </c>
    </row>
    <row r="83" spans="1:6" x14ac:dyDescent="0.25">
      <c r="A83" t="s">
        <v>26</v>
      </c>
      <c r="B83" t="s">
        <v>10</v>
      </c>
      <c r="C83">
        <v>2040</v>
      </c>
      <c r="D83" t="s">
        <v>8</v>
      </c>
      <c r="E83" t="s">
        <v>9</v>
      </c>
      <c r="F83" s="2">
        <f>Input!T50</f>
        <v>54890.000000000007</v>
      </c>
    </row>
    <row r="84" spans="1:6" x14ac:dyDescent="0.25">
      <c r="A84" t="s">
        <v>26</v>
      </c>
      <c r="B84" t="s">
        <v>11</v>
      </c>
      <c r="C84">
        <v>2040</v>
      </c>
      <c r="D84" t="s">
        <v>8</v>
      </c>
      <c r="E84" t="s">
        <v>9</v>
      </c>
      <c r="F84" s="2">
        <f>Input!T51</f>
        <v>79829.200000000012</v>
      </c>
    </row>
    <row r="85" spans="1:6" x14ac:dyDescent="0.25">
      <c r="A85" t="s">
        <v>26</v>
      </c>
      <c r="B85" t="s">
        <v>12</v>
      </c>
      <c r="C85">
        <v>2040</v>
      </c>
      <c r="D85" t="s">
        <v>8</v>
      </c>
      <c r="E85" t="s">
        <v>9</v>
      </c>
      <c r="F85" s="2">
        <f>Input!T52</f>
        <v>85970.5</v>
      </c>
    </row>
    <row r="86" spans="1:6" x14ac:dyDescent="0.25">
      <c r="A86" t="s">
        <v>26</v>
      </c>
      <c r="B86" t="s">
        <v>13</v>
      </c>
      <c r="C86">
        <v>2040</v>
      </c>
      <c r="D86" t="s">
        <v>8</v>
      </c>
      <c r="E86" t="s">
        <v>9</v>
      </c>
      <c r="F86" s="2">
        <f>Input!T53</f>
        <v>85970.5</v>
      </c>
    </row>
    <row r="87" spans="1:6" x14ac:dyDescent="0.25">
      <c r="A87" t="s">
        <v>26</v>
      </c>
      <c r="B87" t="s">
        <v>14</v>
      </c>
      <c r="C87">
        <v>2040</v>
      </c>
      <c r="D87" t="s">
        <v>8</v>
      </c>
      <c r="E87" t="s">
        <v>9</v>
      </c>
      <c r="F87" s="2">
        <f>Input!T54</f>
        <v>92111.8</v>
      </c>
    </row>
    <row r="88" spans="1:6" x14ac:dyDescent="0.25">
      <c r="A88" t="s">
        <v>26</v>
      </c>
      <c r="B88" t="s">
        <v>15</v>
      </c>
      <c r="C88">
        <v>2040</v>
      </c>
      <c r="D88" t="s">
        <v>8</v>
      </c>
      <c r="E88" t="s">
        <v>9</v>
      </c>
      <c r="F88" s="2">
        <f>Input!T55</f>
        <v>121465.3</v>
      </c>
    </row>
    <row r="89" spans="1:6" x14ac:dyDescent="0.25">
      <c r="A89" t="s">
        <v>26</v>
      </c>
      <c r="B89" t="s">
        <v>16</v>
      </c>
      <c r="C89">
        <v>2040</v>
      </c>
      <c r="D89" t="s">
        <v>8</v>
      </c>
      <c r="E89" t="s">
        <v>9</v>
      </c>
      <c r="F89" s="2">
        <f>Input!T56</f>
        <v>98252.000000000015</v>
      </c>
    </row>
    <row r="90" spans="1:6" x14ac:dyDescent="0.25">
      <c r="A90" t="s">
        <v>26</v>
      </c>
      <c r="B90" t="s">
        <v>17</v>
      </c>
      <c r="C90">
        <v>2040</v>
      </c>
      <c r="D90" t="s">
        <v>8</v>
      </c>
      <c r="E90" t="s">
        <v>9</v>
      </c>
      <c r="F90" s="2">
        <f>Input!T57</f>
        <v>126500.00000000001</v>
      </c>
    </row>
    <row r="91" spans="1:6" x14ac:dyDescent="0.25">
      <c r="A91" t="s">
        <v>26</v>
      </c>
      <c r="B91" t="s">
        <v>18</v>
      </c>
      <c r="C91">
        <v>2040</v>
      </c>
      <c r="D91" t="s">
        <v>8</v>
      </c>
      <c r="E91" t="s">
        <v>9</v>
      </c>
      <c r="F91" s="2">
        <f>Input!T58</f>
        <v>99481.8</v>
      </c>
    </row>
    <row r="92" spans="1:6" x14ac:dyDescent="0.25">
      <c r="A92" t="s">
        <v>26</v>
      </c>
      <c r="B92" t="s">
        <v>19</v>
      </c>
      <c r="C92">
        <v>2040</v>
      </c>
      <c r="D92" t="s">
        <v>8</v>
      </c>
      <c r="E92" t="s">
        <v>9</v>
      </c>
      <c r="F92" s="2">
        <f>Input!T59</f>
        <v>128956.30000000002</v>
      </c>
    </row>
    <row r="93" spans="1:6" x14ac:dyDescent="0.25">
      <c r="A93" t="s">
        <v>26</v>
      </c>
      <c r="B93" t="s">
        <v>20</v>
      </c>
      <c r="C93">
        <v>2040</v>
      </c>
      <c r="D93" t="s">
        <v>8</v>
      </c>
      <c r="E93" t="s">
        <v>9</v>
      </c>
      <c r="F93" s="2">
        <f>Input!T60</f>
        <v>105619.8</v>
      </c>
    </row>
    <row r="94" spans="1:6" x14ac:dyDescent="0.25">
      <c r="A94" t="s">
        <v>26</v>
      </c>
      <c r="B94" t="s">
        <v>21</v>
      </c>
      <c r="C94">
        <v>2040</v>
      </c>
      <c r="D94" t="s">
        <v>8</v>
      </c>
      <c r="E94" t="s">
        <v>9</v>
      </c>
      <c r="F94" s="2">
        <f>Input!T61</f>
        <v>133870</v>
      </c>
    </row>
    <row r="95" spans="1:6" x14ac:dyDescent="0.25">
      <c r="A95" t="s">
        <v>26</v>
      </c>
      <c r="B95" t="s">
        <v>22</v>
      </c>
      <c r="C95">
        <v>2040</v>
      </c>
      <c r="D95" t="s">
        <v>8</v>
      </c>
      <c r="E95" t="s">
        <v>9</v>
      </c>
      <c r="F95" s="2">
        <f>Input!T62</f>
        <v>165800.80000000002</v>
      </c>
    </row>
    <row r="96" spans="1:6" x14ac:dyDescent="0.25">
      <c r="A96" t="s">
        <v>26</v>
      </c>
      <c r="B96" t="s">
        <v>23</v>
      </c>
      <c r="C96">
        <v>2040</v>
      </c>
      <c r="D96" t="s">
        <v>8</v>
      </c>
      <c r="E96" t="s">
        <v>9</v>
      </c>
      <c r="F96" s="2">
        <f>Input!T63</f>
        <v>171943.2</v>
      </c>
    </row>
    <row r="97" spans="1:6" x14ac:dyDescent="0.25">
      <c r="A97" t="s">
        <v>26</v>
      </c>
      <c r="B97" t="s">
        <v>24</v>
      </c>
      <c r="C97">
        <v>2040</v>
      </c>
      <c r="D97" t="s">
        <v>8</v>
      </c>
      <c r="E97" t="s">
        <v>9</v>
      </c>
      <c r="F97" s="2">
        <f>Input!T64</f>
        <v>190362.7</v>
      </c>
    </row>
    <row r="98" spans="1:6" x14ac:dyDescent="0.25">
      <c r="A98" t="s">
        <v>68</v>
      </c>
      <c r="B98" t="s">
        <v>7</v>
      </c>
      <c r="C98">
        <v>2022</v>
      </c>
      <c r="D98" t="s">
        <v>8</v>
      </c>
      <c r="E98" t="s">
        <v>9</v>
      </c>
      <c r="F98" s="2">
        <f>F2</f>
        <v>49900</v>
      </c>
    </row>
    <row r="99" spans="1:6" x14ac:dyDescent="0.25">
      <c r="A99" t="s">
        <v>68</v>
      </c>
      <c r="B99" t="s">
        <v>10</v>
      </c>
      <c r="C99">
        <v>2022</v>
      </c>
      <c r="D99" t="s">
        <v>8</v>
      </c>
      <c r="E99" t="s">
        <v>9</v>
      </c>
      <c r="F99" s="2">
        <f t="shared" ref="F99:F113" si="0">F3</f>
        <v>49900</v>
      </c>
    </row>
    <row r="100" spans="1:6" x14ac:dyDescent="0.25">
      <c r="A100" t="s">
        <v>68</v>
      </c>
      <c r="B100" t="s">
        <v>11</v>
      </c>
      <c r="C100">
        <v>2022</v>
      </c>
      <c r="D100" t="s">
        <v>8</v>
      </c>
      <c r="E100" t="s">
        <v>9</v>
      </c>
      <c r="F100" s="2">
        <f t="shared" si="0"/>
        <v>72572</v>
      </c>
    </row>
    <row r="101" spans="1:6" x14ac:dyDescent="0.25">
      <c r="A101" t="s">
        <v>68</v>
      </c>
      <c r="B101" t="s">
        <v>12</v>
      </c>
      <c r="C101">
        <v>2022</v>
      </c>
      <c r="D101" t="s">
        <v>8</v>
      </c>
      <c r="E101" t="s">
        <v>9</v>
      </c>
      <c r="F101" s="2">
        <f t="shared" si="0"/>
        <v>78155</v>
      </c>
    </row>
    <row r="102" spans="1:6" x14ac:dyDescent="0.25">
      <c r="A102" t="s">
        <v>68</v>
      </c>
      <c r="B102" t="s">
        <v>13</v>
      </c>
      <c r="C102">
        <v>2022</v>
      </c>
      <c r="D102" t="s">
        <v>8</v>
      </c>
      <c r="E102" t="s">
        <v>9</v>
      </c>
      <c r="F102" s="2">
        <f t="shared" si="0"/>
        <v>78155</v>
      </c>
    </row>
    <row r="103" spans="1:6" x14ac:dyDescent="0.25">
      <c r="A103" t="s">
        <v>68</v>
      </c>
      <c r="B103" t="s">
        <v>14</v>
      </c>
      <c r="C103">
        <v>2022</v>
      </c>
      <c r="D103" t="s">
        <v>8</v>
      </c>
      <c r="E103" t="s">
        <v>9</v>
      </c>
      <c r="F103" s="2">
        <f t="shared" si="0"/>
        <v>83738</v>
      </c>
    </row>
    <row r="104" spans="1:6" x14ac:dyDescent="0.25">
      <c r="A104" t="s">
        <v>68</v>
      </c>
      <c r="B104" t="s">
        <v>15</v>
      </c>
      <c r="C104">
        <v>2022</v>
      </c>
      <c r="D104" t="s">
        <v>8</v>
      </c>
      <c r="E104" t="s">
        <v>9</v>
      </c>
      <c r="F104" s="2">
        <f t="shared" si="0"/>
        <v>110423</v>
      </c>
    </row>
    <row r="105" spans="1:6" x14ac:dyDescent="0.25">
      <c r="A105" t="s">
        <v>68</v>
      </c>
      <c r="B105" t="s">
        <v>16</v>
      </c>
      <c r="C105">
        <v>2022</v>
      </c>
      <c r="D105" t="s">
        <v>8</v>
      </c>
      <c r="E105" t="s">
        <v>9</v>
      </c>
      <c r="F105" s="2">
        <f t="shared" si="0"/>
        <v>89320</v>
      </c>
    </row>
    <row r="106" spans="1:6" x14ac:dyDescent="0.25">
      <c r="A106" t="s">
        <v>68</v>
      </c>
      <c r="B106" t="s">
        <v>17</v>
      </c>
      <c r="C106">
        <v>2022</v>
      </c>
      <c r="D106" t="s">
        <v>8</v>
      </c>
      <c r="E106" t="s">
        <v>9</v>
      </c>
      <c r="F106" s="2">
        <f t="shared" si="0"/>
        <v>115000</v>
      </c>
    </row>
    <row r="107" spans="1:6" x14ac:dyDescent="0.25">
      <c r="A107" t="s">
        <v>68</v>
      </c>
      <c r="B107" t="s">
        <v>18</v>
      </c>
      <c r="C107">
        <v>2022</v>
      </c>
      <c r="D107" t="s">
        <v>8</v>
      </c>
      <c r="E107" t="s">
        <v>9</v>
      </c>
      <c r="F107" s="2">
        <f t="shared" si="0"/>
        <v>90438</v>
      </c>
    </row>
    <row r="108" spans="1:6" x14ac:dyDescent="0.25">
      <c r="A108" t="s">
        <v>68</v>
      </c>
      <c r="B108" t="s">
        <v>19</v>
      </c>
      <c r="C108">
        <v>2022</v>
      </c>
      <c r="D108" t="s">
        <v>8</v>
      </c>
      <c r="E108" t="s">
        <v>9</v>
      </c>
      <c r="F108" s="2">
        <f t="shared" si="0"/>
        <v>117233</v>
      </c>
    </row>
    <row r="109" spans="1:6" x14ac:dyDescent="0.25">
      <c r="A109" t="s">
        <v>68</v>
      </c>
      <c r="B109" t="s">
        <v>20</v>
      </c>
      <c r="C109">
        <v>2022</v>
      </c>
      <c r="D109" t="s">
        <v>8</v>
      </c>
      <c r="E109" t="s">
        <v>9</v>
      </c>
      <c r="F109" s="2">
        <f t="shared" si="0"/>
        <v>96018</v>
      </c>
    </row>
    <row r="110" spans="1:6" x14ac:dyDescent="0.25">
      <c r="A110" t="s">
        <v>68</v>
      </c>
      <c r="B110" t="s">
        <v>21</v>
      </c>
      <c r="C110">
        <v>2022</v>
      </c>
      <c r="D110" t="s">
        <v>8</v>
      </c>
      <c r="E110" t="s">
        <v>9</v>
      </c>
      <c r="F110" s="2">
        <f t="shared" si="0"/>
        <v>121700</v>
      </c>
    </row>
    <row r="111" spans="1:6" x14ac:dyDescent="0.25">
      <c r="A111" t="s">
        <v>68</v>
      </c>
      <c r="B111" t="s">
        <v>22</v>
      </c>
      <c r="C111">
        <v>2022</v>
      </c>
      <c r="D111" t="s">
        <v>8</v>
      </c>
      <c r="E111" t="s">
        <v>9</v>
      </c>
      <c r="F111" s="2">
        <f t="shared" si="0"/>
        <v>150728</v>
      </c>
    </row>
    <row r="112" spans="1:6" x14ac:dyDescent="0.25">
      <c r="A112" t="s">
        <v>68</v>
      </c>
      <c r="B112" t="s">
        <v>23</v>
      </c>
      <c r="C112">
        <v>2022</v>
      </c>
      <c r="D112" t="s">
        <v>8</v>
      </c>
      <c r="E112" t="s">
        <v>9</v>
      </c>
      <c r="F112" s="2">
        <f t="shared" si="0"/>
        <v>156312</v>
      </c>
    </row>
    <row r="113" spans="1:6" x14ac:dyDescent="0.25">
      <c r="A113" t="s">
        <v>68</v>
      </c>
      <c r="B113" t="s">
        <v>24</v>
      </c>
      <c r="C113">
        <v>2022</v>
      </c>
      <c r="D113" t="s">
        <v>8</v>
      </c>
      <c r="E113" t="s">
        <v>9</v>
      </c>
      <c r="F113" s="2">
        <f t="shared" si="0"/>
        <v>173057</v>
      </c>
    </row>
    <row r="114" spans="1:6" x14ac:dyDescent="0.25">
      <c r="A114" t="s">
        <v>68</v>
      </c>
      <c r="B114" t="s">
        <v>7</v>
      </c>
      <c r="C114">
        <v>2040</v>
      </c>
      <c r="D114" t="s">
        <v>8</v>
      </c>
      <c r="E114" t="s">
        <v>9</v>
      </c>
      <c r="F114" s="2">
        <f>F50</f>
        <v>49900</v>
      </c>
    </row>
    <row r="115" spans="1:6" x14ac:dyDescent="0.25">
      <c r="A115" t="s">
        <v>68</v>
      </c>
      <c r="B115" t="s">
        <v>10</v>
      </c>
      <c r="C115">
        <v>2040</v>
      </c>
      <c r="D115" t="s">
        <v>8</v>
      </c>
      <c r="E115" t="s">
        <v>9</v>
      </c>
      <c r="F115" s="2">
        <f t="shared" ref="F115:F129" si="1">F51</f>
        <v>49900</v>
      </c>
    </row>
    <row r="116" spans="1:6" x14ac:dyDescent="0.25">
      <c r="A116" t="s">
        <v>68</v>
      </c>
      <c r="B116" t="s">
        <v>11</v>
      </c>
      <c r="C116">
        <v>2040</v>
      </c>
      <c r="D116" t="s">
        <v>8</v>
      </c>
      <c r="E116" t="s">
        <v>9</v>
      </c>
      <c r="F116" s="2">
        <f t="shared" si="1"/>
        <v>72572</v>
      </c>
    </row>
    <row r="117" spans="1:6" x14ac:dyDescent="0.25">
      <c r="A117" t="s">
        <v>68</v>
      </c>
      <c r="B117" t="s">
        <v>12</v>
      </c>
      <c r="C117">
        <v>2040</v>
      </c>
      <c r="D117" t="s">
        <v>8</v>
      </c>
      <c r="E117" t="s">
        <v>9</v>
      </c>
      <c r="F117" s="2">
        <f t="shared" si="1"/>
        <v>78155</v>
      </c>
    </row>
    <row r="118" spans="1:6" x14ac:dyDescent="0.25">
      <c r="A118" t="s">
        <v>68</v>
      </c>
      <c r="B118" t="s">
        <v>13</v>
      </c>
      <c r="C118">
        <v>2040</v>
      </c>
      <c r="D118" t="s">
        <v>8</v>
      </c>
      <c r="E118" t="s">
        <v>9</v>
      </c>
      <c r="F118" s="2">
        <f t="shared" si="1"/>
        <v>78155</v>
      </c>
    </row>
    <row r="119" spans="1:6" x14ac:dyDescent="0.25">
      <c r="A119" t="s">
        <v>68</v>
      </c>
      <c r="B119" t="s">
        <v>14</v>
      </c>
      <c r="C119">
        <v>2040</v>
      </c>
      <c r="D119" t="s">
        <v>8</v>
      </c>
      <c r="E119" t="s">
        <v>9</v>
      </c>
      <c r="F119" s="2">
        <f t="shared" si="1"/>
        <v>83738</v>
      </c>
    </row>
    <row r="120" spans="1:6" x14ac:dyDescent="0.25">
      <c r="A120" t="s">
        <v>68</v>
      </c>
      <c r="B120" t="s">
        <v>15</v>
      </c>
      <c r="C120">
        <v>2040</v>
      </c>
      <c r="D120" t="s">
        <v>8</v>
      </c>
      <c r="E120" t="s">
        <v>9</v>
      </c>
      <c r="F120" s="2">
        <f t="shared" si="1"/>
        <v>110423</v>
      </c>
    </row>
    <row r="121" spans="1:6" x14ac:dyDescent="0.25">
      <c r="A121" t="s">
        <v>68</v>
      </c>
      <c r="B121" t="s">
        <v>16</v>
      </c>
      <c r="C121">
        <v>2040</v>
      </c>
      <c r="D121" t="s">
        <v>8</v>
      </c>
      <c r="E121" t="s">
        <v>9</v>
      </c>
      <c r="F121" s="2">
        <f t="shared" si="1"/>
        <v>89320</v>
      </c>
    </row>
    <row r="122" spans="1:6" x14ac:dyDescent="0.25">
      <c r="A122" t="s">
        <v>68</v>
      </c>
      <c r="B122" t="s">
        <v>17</v>
      </c>
      <c r="C122">
        <v>2040</v>
      </c>
      <c r="D122" t="s">
        <v>8</v>
      </c>
      <c r="E122" t="s">
        <v>9</v>
      </c>
      <c r="F122" s="2">
        <f t="shared" si="1"/>
        <v>115000</v>
      </c>
    </row>
    <row r="123" spans="1:6" x14ac:dyDescent="0.25">
      <c r="A123" t="s">
        <v>68</v>
      </c>
      <c r="B123" t="s">
        <v>18</v>
      </c>
      <c r="C123">
        <v>2040</v>
      </c>
      <c r="D123" t="s">
        <v>8</v>
      </c>
      <c r="E123" t="s">
        <v>9</v>
      </c>
      <c r="F123" s="2">
        <f t="shared" si="1"/>
        <v>90438</v>
      </c>
    </row>
    <row r="124" spans="1:6" x14ac:dyDescent="0.25">
      <c r="A124" t="s">
        <v>68</v>
      </c>
      <c r="B124" t="s">
        <v>19</v>
      </c>
      <c r="C124">
        <v>2040</v>
      </c>
      <c r="D124" t="s">
        <v>8</v>
      </c>
      <c r="E124" t="s">
        <v>9</v>
      </c>
      <c r="F124" s="2">
        <f t="shared" si="1"/>
        <v>117233</v>
      </c>
    </row>
    <row r="125" spans="1:6" x14ac:dyDescent="0.25">
      <c r="A125" t="s">
        <v>68</v>
      </c>
      <c r="B125" t="s">
        <v>20</v>
      </c>
      <c r="C125">
        <v>2040</v>
      </c>
      <c r="D125" t="s">
        <v>8</v>
      </c>
      <c r="E125" t="s">
        <v>9</v>
      </c>
      <c r="F125" s="2">
        <f t="shared" si="1"/>
        <v>96018</v>
      </c>
    </row>
    <row r="126" spans="1:6" x14ac:dyDescent="0.25">
      <c r="A126" t="s">
        <v>68</v>
      </c>
      <c r="B126" t="s">
        <v>21</v>
      </c>
      <c r="C126">
        <v>2040</v>
      </c>
      <c r="D126" t="s">
        <v>8</v>
      </c>
      <c r="E126" t="s">
        <v>9</v>
      </c>
      <c r="F126" s="2">
        <f t="shared" si="1"/>
        <v>121700</v>
      </c>
    </row>
    <row r="127" spans="1:6" x14ac:dyDescent="0.25">
      <c r="A127" t="s">
        <v>68</v>
      </c>
      <c r="B127" t="s">
        <v>22</v>
      </c>
      <c r="C127">
        <v>2040</v>
      </c>
      <c r="D127" t="s">
        <v>8</v>
      </c>
      <c r="E127" t="s">
        <v>9</v>
      </c>
      <c r="F127" s="2">
        <f t="shared" si="1"/>
        <v>150728</v>
      </c>
    </row>
    <row r="128" spans="1:6" x14ac:dyDescent="0.25">
      <c r="A128" t="s">
        <v>68</v>
      </c>
      <c r="B128" t="s">
        <v>23</v>
      </c>
      <c r="C128">
        <v>2040</v>
      </c>
      <c r="D128" t="s">
        <v>8</v>
      </c>
      <c r="E128" t="s">
        <v>9</v>
      </c>
      <c r="F128" s="2">
        <f t="shared" si="1"/>
        <v>156312</v>
      </c>
    </row>
    <row r="129" spans="1:6" x14ac:dyDescent="0.25">
      <c r="A129" t="s">
        <v>68</v>
      </c>
      <c r="B129" t="s">
        <v>24</v>
      </c>
      <c r="C129">
        <v>2040</v>
      </c>
      <c r="D129" t="s">
        <v>8</v>
      </c>
      <c r="E129" t="s">
        <v>9</v>
      </c>
      <c r="F129" s="2">
        <f t="shared" si="1"/>
        <v>173057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D1E60-5769-4EED-8BF7-B0CEC34654AE}">
  <sheetPr codeName="Hoja5"/>
  <dimension ref="A1:D89"/>
  <sheetViews>
    <sheetView workbookViewId="0">
      <selection activeCell="D2" sqref="D2"/>
    </sheetView>
  </sheetViews>
  <sheetFormatPr baseColWidth="10" defaultRowHeight="15" x14ac:dyDescent="0.25"/>
  <cols>
    <col min="1" max="2" width="21.85546875" style="64" customWidth="1"/>
    <col min="3" max="3" width="11.42578125" style="64"/>
    <col min="4" max="4" width="11.42578125" style="65"/>
  </cols>
  <sheetData>
    <row r="1" spans="1:4" x14ac:dyDescent="0.25">
      <c r="A1" s="64" t="s">
        <v>4</v>
      </c>
      <c r="B1" s="64" t="s">
        <v>3</v>
      </c>
      <c r="C1" s="64" t="s">
        <v>2</v>
      </c>
      <c r="D1" s="65" t="s">
        <v>29</v>
      </c>
    </row>
    <row r="2" spans="1:4" x14ac:dyDescent="0.25">
      <c r="A2" s="64" t="s">
        <v>30</v>
      </c>
      <c r="B2" s="64" t="s">
        <v>56</v>
      </c>
      <c r="C2" s="64">
        <v>2020</v>
      </c>
      <c r="D2" s="65">
        <f>Input!F107</f>
        <v>221</v>
      </c>
    </row>
    <row r="3" spans="1:4" x14ac:dyDescent="0.25">
      <c r="A3" s="64" t="s">
        <v>31</v>
      </c>
      <c r="B3" s="64" t="s">
        <v>56</v>
      </c>
      <c r="C3" s="64">
        <v>2020</v>
      </c>
      <c r="D3" s="65">
        <f>Input!F108</f>
        <v>382</v>
      </c>
    </row>
    <row r="4" spans="1:4" x14ac:dyDescent="0.25">
      <c r="A4" s="64" t="s">
        <v>32</v>
      </c>
      <c r="B4" s="64" t="s">
        <v>56</v>
      </c>
      <c r="C4" s="64">
        <v>2020</v>
      </c>
      <c r="D4" s="65">
        <f>Input!F109</f>
        <v>793</v>
      </c>
    </row>
    <row r="5" spans="1:4" x14ac:dyDescent="0.25">
      <c r="A5" s="64" t="s">
        <v>33</v>
      </c>
      <c r="B5" s="64" t="s">
        <v>56</v>
      </c>
      <c r="C5" s="64">
        <v>2020</v>
      </c>
      <c r="D5" s="65">
        <f>Input!F110</f>
        <v>900</v>
      </c>
    </row>
    <row r="6" spans="1:4" x14ac:dyDescent="0.25">
      <c r="A6" s="64" t="s">
        <v>34</v>
      </c>
      <c r="B6" s="64" t="s">
        <v>56</v>
      </c>
      <c r="C6" s="64">
        <v>2020</v>
      </c>
      <c r="D6" s="65">
        <f>Input!F111</f>
        <v>58</v>
      </c>
    </row>
    <row r="7" spans="1:4" x14ac:dyDescent="0.25">
      <c r="A7" s="64" t="s">
        <v>35</v>
      </c>
      <c r="B7" s="64" t="s">
        <v>56</v>
      </c>
      <c r="C7" s="64">
        <v>2020</v>
      </c>
      <c r="D7" s="65">
        <f>Input!F112</f>
        <v>25</v>
      </c>
    </row>
    <row r="8" spans="1:4" x14ac:dyDescent="0.25">
      <c r="A8" s="64" t="s">
        <v>30</v>
      </c>
      <c r="B8" s="64" t="s">
        <v>56</v>
      </c>
      <c r="C8" s="64">
        <v>2030</v>
      </c>
      <c r="D8" s="65">
        <f>INDEX(Input!$F$107:$I$112,MATCH(data_Components_Prices!A8,Input!$D$107:$D$112,0),MATCH(data_Components_Prices!C8,Input!$F$106:$I$106,0))</f>
        <v>118</v>
      </c>
    </row>
    <row r="9" spans="1:4" x14ac:dyDescent="0.25">
      <c r="A9" s="64" t="s">
        <v>30</v>
      </c>
      <c r="B9" s="64" t="s">
        <v>56</v>
      </c>
      <c r="C9" s="64">
        <v>2040</v>
      </c>
      <c r="D9" s="65">
        <f>INDEX(Input!$F$107:$I$112,MATCH(data_Components_Prices!A9,Input!$D$107:$D$112,0),MATCH(data_Components_Prices!C9,Input!$F$106:$I$106,0))</f>
        <v>95</v>
      </c>
    </row>
    <row r="10" spans="1:4" x14ac:dyDescent="0.25">
      <c r="A10" s="64" t="s">
        <v>30</v>
      </c>
      <c r="B10" s="64" t="s">
        <v>56</v>
      </c>
      <c r="C10" s="64">
        <v>2050</v>
      </c>
      <c r="D10" s="65">
        <f>INDEX(Input!$F$107:$I$112,MATCH(data_Components_Prices!A10,Input!$D$107:$D$112,0),MATCH(data_Components_Prices!C10,Input!$F$106:$I$106,0))</f>
        <v>95</v>
      </c>
    </row>
    <row r="11" spans="1:4" x14ac:dyDescent="0.25">
      <c r="A11" s="64" t="s">
        <v>31</v>
      </c>
      <c r="B11" s="64" t="s">
        <v>56</v>
      </c>
      <c r="C11" s="64">
        <v>2030</v>
      </c>
      <c r="D11" s="65">
        <f>INDEX(Input!$F$107:$I$112,MATCH(data_Components_Prices!A11,Input!$D$107:$D$112,0),MATCH(data_Components_Prices!C11,Input!$F$106:$I$106,0))</f>
        <v>232</v>
      </c>
    </row>
    <row r="12" spans="1:4" x14ac:dyDescent="0.25">
      <c r="A12" s="64" t="s">
        <v>31</v>
      </c>
      <c r="B12" s="64" t="s">
        <v>56</v>
      </c>
      <c r="C12" s="64">
        <v>2040</v>
      </c>
      <c r="D12" s="65">
        <f>INDEX(Input!$F$107:$I$112,MATCH(data_Components_Prices!A12,Input!$D$107:$D$112,0),MATCH(data_Components_Prices!C12,Input!$F$106:$I$106,0))</f>
        <v>186</v>
      </c>
    </row>
    <row r="13" spans="1:4" x14ac:dyDescent="0.25">
      <c r="A13" s="64" t="s">
        <v>31</v>
      </c>
      <c r="B13" s="64" t="s">
        <v>56</v>
      </c>
      <c r="C13" s="64">
        <v>2050</v>
      </c>
      <c r="D13" s="65">
        <f>INDEX(Input!$F$107:$I$112,MATCH(data_Components_Prices!A13,Input!$D$107:$D$112,0),MATCH(data_Components_Prices!C13,Input!$F$106:$I$106,0))</f>
        <v>186</v>
      </c>
    </row>
    <row r="14" spans="1:4" x14ac:dyDescent="0.25">
      <c r="A14" s="64" t="s">
        <v>32</v>
      </c>
      <c r="B14" s="64" t="s">
        <v>56</v>
      </c>
      <c r="C14" s="64">
        <v>2030</v>
      </c>
      <c r="D14" s="65">
        <f>INDEX(Input!$F$107:$I$112,MATCH(data_Components_Prices!A14,Input!$D$107:$D$112,0),MATCH(data_Components_Prices!C14,Input!$F$106:$I$106,0))</f>
        <v>289</v>
      </c>
    </row>
    <row r="15" spans="1:4" x14ac:dyDescent="0.25">
      <c r="A15" s="64" t="s">
        <v>32</v>
      </c>
      <c r="B15" s="64" t="s">
        <v>56</v>
      </c>
      <c r="C15" s="64">
        <v>2040</v>
      </c>
      <c r="D15" s="65">
        <f>INDEX(Input!$F$107:$I$112,MATCH(data_Components_Prices!A15,Input!$D$107:$D$112,0),MATCH(data_Components_Prices!C15,Input!$F$106:$I$106,0))</f>
        <v>232</v>
      </c>
    </row>
    <row r="16" spans="1:4" x14ac:dyDescent="0.25">
      <c r="A16" s="64" t="s">
        <v>32</v>
      </c>
      <c r="B16" s="64" t="s">
        <v>56</v>
      </c>
      <c r="C16" s="64">
        <v>2050</v>
      </c>
      <c r="D16" s="65">
        <f>INDEX(Input!$F$107:$I$112,MATCH(data_Components_Prices!A16,Input!$D$107:$D$112,0),MATCH(data_Components_Prices!C16,Input!$F$106:$I$106,0))</f>
        <v>232</v>
      </c>
    </row>
    <row r="17" spans="1:4" x14ac:dyDescent="0.25">
      <c r="A17" s="64" t="s">
        <v>33</v>
      </c>
      <c r="B17" s="64" t="s">
        <v>56</v>
      </c>
      <c r="C17" s="64">
        <v>2030</v>
      </c>
      <c r="D17" s="65">
        <f>INDEX(Input!$F$107:$I$112,MATCH(data_Components_Prices!A17,Input!$D$107:$D$112,0),MATCH(data_Components_Prices!C17,Input!$F$106:$I$106,0))</f>
        <v>525</v>
      </c>
    </row>
    <row r="18" spans="1:4" x14ac:dyDescent="0.25">
      <c r="A18" s="64" t="s">
        <v>33</v>
      </c>
      <c r="B18" s="64" t="s">
        <v>56</v>
      </c>
      <c r="C18" s="64">
        <v>2040</v>
      </c>
      <c r="D18" s="65">
        <f>INDEX(Input!$F$107:$I$112,MATCH(data_Components_Prices!A18,Input!$D$107:$D$112,0),MATCH(data_Components_Prices!C18,Input!$F$106:$I$106,0))</f>
        <v>450</v>
      </c>
    </row>
    <row r="19" spans="1:4" x14ac:dyDescent="0.25">
      <c r="A19" s="64" t="s">
        <v>33</v>
      </c>
      <c r="B19" s="64" t="s">
        <v>56</v>
      </c>
      <c r="C19" s="64">
        <v>2050</v>
      </c>
      <c r="D19" s="65">
        <f>INDEX(Input!$F$107:$I$112,MATCH(data_Components_Prices!A19,Input!$D$107:$D$112,0),MATCH(data_Components_Prices!C19,Input!$F$106:$I$106,0))</f>
        <v>450</v>
      </c>
    </row>
    <row r="20" spans="1:4" x14ac:dyDescent="0.25">
      <c r="A20" s="64" t="s">
        <v>34</v>
      </c>
      <c r="B20" s="64" t="s">
        <v>56</v>
      </c>
      <c r="C20" s="64">
        <v>2030</v>
      </c>
      <c r="D20" s="65">
        <f>INDEX(Input!$F$107:$I$112,MATCH(data_Components_Prices!A20,Input!$D$107:$D$112,0),MATCH(data_Components_Prices!C20,Input!$F$106:$I$106,0))</f>
        <v>22</v>
      </c>
    </row>
    <row r="21" spans="1:4" x14ac:dyDescent="0.25">
      <c r="A21" s="64" t="s">
        <v>34</v>
      </c>
      <c r="B21" s="64" t="s">
        <v>56</v>
      </c>
      <c r="C21" s="64">
        <v>2040</v>
      </c>
      <c r="D21" s="65">
        <f>INDEX(Input!$F$107:$I$112,MATCH(data_Components_Prices!A21,Input!$D$107:$D$112,0),MATCH(data_Components_Prices!C21,Input!$F$106:$I$106,0))</f>
        <v>17</v>
      </c>
    </row>
    <row r="22" spans="1:4" x14ac:dyDescent="0.25">
      <c r="A22" s="64" t="s">
        <v>34</v>
      </c>
      <c r="B22" s="64" t="s">
        <v>56</v>
      </c>
      <c r="C22" s="64">
        <v>2050</v>
      </c>
      <c r="D22" s="65">
        <f>INDEX(Input!$F$107:$I$112,MATCH(data_Components_Prices!A22,Input!$D$107:$D$112,0),MATCH(data_Components_Prices!C22,Input!$F$106:$I$106,0))</f>
        <v>17</v>
      </c>
    </row>
    <row r="23" spans="1:4" x14ac:dyDescent="0.25">
      <c r="A23" s="64" t="s">
        <v>35</v>
      </c>
      <c r="B23" s="64" t="s">
        <v>56</v>
      </c>
      <c r="C23" s="64">
        <v>2030</v>
      </c>
      <c r="D23" s="65">
        <f>INDEX(Input!$F$107:$I$112,MATCH(data_Components_Prices!A23,Input!$D$107:$D$112,0),MATCH(data_Components_Prices!C23,Input!$F$106:$I$106,0))</f>
        <v>25</v>
      </c>
    </row>
    <row r="24" spans="1:4" x14ac:dyDescent="0.25">
      <c r="A24" s="64" t="s">
        <v>35</v>
      </c>
      <c r="B24" s="64" t="s">
        <v>56</v>
      </c>
      <c r="C24" s="64">
        <v>2040</v>
      </c>
      <c r="D24" s="65">
        <f>INDEX(Input!$F$107:$I$112,MATCH(data_Components_Prices!A24,Input!$D$107:$D$112,0),MATCH(data_Components_Prices!C24,Input!$F$106:$I$106,0))</f>
        <v>25</v>
      </c>
    </row>
    <row r="25" spans="1:4" x14ac:dyDescent="0.25">
      <c r="A25" s="64" t="s">
        <v>35</v>
      </c>
      <c r="B25" s="64" t="s">
        <v>56</v>
      </c>
      <c r="C25" s="64">
        <v>2050</v>
      </c>
      <c r="D25" s="65">
        <f>INDEX(Input!$F$107:$I$112,MATCH(data_Components_Prices!A25,Input!$D$107:$D$112,0),MATCH(data_Components_Prices!C25,Input!$F$106:$I$106,0))</f>
        <v>25</v>
      </c>
    </row>
    <row r="26" spans="1:4" x14ac:dyDescent="0.25">
      <c r="A26" s="64" t="s">
        <v>30</v>
      </c>
      <c r="B26" s="66" t="s">
        <v>46</v>
      </c>
      <c r="C26" s="64">
        <v>2020</v>
      </c>
      <c r="D26" s="65">
        <f>Input!F116</f>
        <v>275</v>
      </c>
    </row>
    <row r="27" spans="1:4" x14ac:dyDescent="0.25">
      <c r="A27" s="64" t="s">
        <v>30</v>
      </c>
      <c r="B27" s="66" t="s">
        <v>47</v>
      </c>
      <c r="C27" s="64">
        <v>2020</v>
      </c>
      <c r="D27" s="65">
        <f>Input!F117</f>
        <v>310</v>
      </c>
    </row>
    <row r="28" spans="1:4" x14ac:dyDescent="0.25">
      <c r="A28" s="64" t="s">
        <v>30</v>
      </c>
      <c r="B28" s="66" t="s">
        <v>48</v>
      </c>
      <c r="C28" s="64">
        <v>2020</v>
      </c>
      <c r="D28" s="65">
        <f>Input!F118</f>
        <v>316</v>
      </c>
    </row>
    <row r="29" spans="1:4" x14ac:dyDescent="0.25">
      <c r="A29" s="64" t="s">
        <v>30</v>
      </c>
      <c r="B29" s="66" t="s">
        <v>49</v>
      </c>
      <c r="C29" s="64">
        <v>2020</v>
      </c>
      <c r="D29" s="65">
        <f>Input!F119</f>
        <v>300</v>
      </c>
    </row>
    <row r="30" spans="1:4" x14ac:dyDescent="0.25">
      <c r="A30" s="64" t="s">
        <v>32</v>
      </c>
      <c r="B30" s="66" t="s">
        <v>46</v>
      </c>
      <c r="C30" s="64">
        <v>2020</v>
      </c>
      <c r="D30" s="65">
        <f>Input!F120</f>
        <v>538</v>
      </c>
    </row>
    <row r="31" spans="1:4" x14ac:dyDescent="0.25">
      <c r="A31" s="64" t="s">
        <v>32</v>
      </c>
      <c r="B31" s="66" t="s">
        <v>47</v>
      </c>
      <c r="C31" s="64">
        <v>2020</v>
      </c>
      <c r="D31" s="65">
        <f>Input!F121</f>
        <v>219</v>
      </c>
    </row>
    <row r="32" spans="1:4" x14ac:dyDescent="0.25">
      <c r="A32" s="64" t="s">
        <v>32</v>
      </c>
      <c r="B32" s="66" t="s">
        <v>48</v>
      </c>
      <c r="C32" s="64">
        <v>2020</v>
      </c>
      <c r="D32" s="65">
        <f>Input!F122</f>
        <v>415</v>
      </c>
    </row>
    <row r="33" spans="1:4" x14ac:dyDescent="0.25">
      <c r="A33" s="64" t="s">
        <v>32</v>
      </c>
      <c r="B33" s="66" t="s">
        <v>49</v>
      </c>
      <c r="C33" s="64">
        <v>2020</v>
      </c>
      <c r="D33" s="65">
        <f>Input!F123</f>
        <v>392</v>
      </c>
    </row>
    <row r="34" spans="1:4" x14ac:dyDescent="0.25">
      <c r="A34" s="64" t="s">
        <v>34</v>
      </c>
      <c r="B34" s="66" t="s">
        <v>49</v>
      </c>
      <c r="C34" s="64">
        <v>2020</v>
      </c>
      <c r="D34" s="65">
        <f>Input!F124</f>
        <v>42</v>
      </c>
    </row>
    <row r="35" spans="1:4" x14ac:dyDescent="0.25">
      <c r="A35" s="64" t="s">
        <v>35</v>
      </c>
      <c r="B35" s="66" t="s">
        <v>49</v>
      </c>
      <c r="C35" s="64">
        <v>2020</v>
      </c>
      <c r="D35" s="65">
        <f>Input!F125</f>
        <v>48</v>
      </c>
    </row>
    <row r="36" spans="1:4" x14ac:dyDescent="0.25">
      <c r="A36" s="64" t="s">
        <v>33</v>
      </c>
      <c r="B36" s="66" t="s">
        <v>49</v>
      </c>
      <c r="C36" s="64">
        <v>2020</v>
      </c>
      <c r="D36" s="65">
        <f>Input!F126</f>
        <v>799.19999999999993</v>
      </c>
    </row>
    <row r="37" spans="1:4" x14ac:dyDescent="0.25">
      <c r="A37" s="64" t="s">
        <v>30</v>
      </c>
      <c r="B37" s="66" t="s">
        <v>46</v>
      </c>
      <c r="C37" s="64">
        <v>2030</v>
      </c>
      <c r="D37" s="65">
        <f>Input!G116</f>
        <v>141</v>
      </c>
    </row>
    <row r="38" spans="1:4" x14ac:dyDescent="0.25">
      <c r="A38" s="64" t="s">
        <v>30</v>
      </c>
      <c r="B38" s="66" t="s">
        <v>47</v>
      </c>
      <c r="C38" s="64">
        <v>2030</v>
      </c>
      <c r="D38" s="65">
        <f>Input!G117</f>
        <v>178</v>
      </c>
    </row>
    <row r="39" spans="1:4" x14ac:dyDescent="0.25">
      <c r="A39" s="64" t="s">
        <v>30</v>
      </c>
      <c r="B39" s="66" t="s">
        <v>48</v>
      </c>
      <c r="C39" s="64">
        <v>2030</v>
      </c>
      <c r="D39" s="65">
        <f>Input!G118</f>
        <v>193</v>
      </c>
    </row>
    <row r="40" spans="1:4" x14ac:dyDescent="0.25">
      <c r="A40" s="64" t="s">
        <v>30</v>
      </c>
      <c r="B40" s="66" t="s">
        <v>49</v>
      </c>
      <c r="C40" s="64">
        <v>2030</v>
      </c>
      <c r="D40" s="65">
        <f>Input!G119</f>
        <v>174</v>
      </c>
    </row>
    <row r="41" spans="1:4" x14ac:dyDescent="0.25">
      <c r="A41" s="64" t="s">
        <v>32</v>
      </c>
      <c r="B41" s="66" t="s">
        <v>46</v>
      </c>
      <c r="C41" s="64">
        <v>2030</v>
      </c>
      <c r="D41" s="65">
        <f>Input!G120</f>
        <v>216</v>
      </c>
    </row>
    <row r="42" spans="1:4" x14ac:dyDescent="0.25">
      <c r="A42" s="64" t="s">
        <v>32</v>
      </c>
      <c r="B42" s="66" t="s">
        <v>47</v>
      </c>
      <c r="C42" s="64">
        <v>2030</v>
      </c>
      <c r="D42" s="65">
        <f>Input!G121</f>
        <v>132</v>
      </c>
    </row>
    <row r="43" spans="1:4" x14ac:dyDescent="0.25">
      <c r="A43" s="64" t="s">
        <v>32</v>
      </c>
      <c r="B43" s="66" t="s">
        <v>48</v>
      </c>
      <c r="C43" s="64">
        <v>2030</v>
      </c>
      <c r="D43" s="65">
        <f>Input!G122</f>
        <v>219</v>
      </c>
    </row>
    <row r="44" spans="1:4" x14ac:dyDescent="0.25">
      <c r="A44" s="64" t="s">
        <v>32</v>
      </c>
      <c r="B44" s="66" t="s">
        <v>49</v>
      </c>
      <c r="C44" s="64">
        <v>2030</v>
      </c>
      <c r="D44" s="65">
        <f>Input!G123</f>
        <v>204</v>
      </c>
    </row>
    <row r="45" spans="1:4" x14ac:dyDescent="0.25">
      <c r="A45" s="64" t="s">
        <v>34</v>
      </c>
      <c r="B45" s="66" t="s">
        <v>49</v>
      </c>
      <c r="C45" s="64">
        <v>2030</v>
      </c>
      <c r="D45" s="65">
        <f>Input!G124</f>
        <v>35</v>
      </c>
    </row>
    <row r="46" spans="1:4" x14ac:dyDescent="0.25">
      <c r="A46" s="64" t="s">
        <v>35</v>
      </c>
      <c r="B46" s="66" t="s">
        <v>49</v>
      </c>
      <c r="C46" s="64">
        <v>2030</v>
      </c>
      <c r="D46" s="65">
        <f>Input!G125</f>
        <v>48</v>
      </c>
    </row>
    <row r="47" spans="1:4" x14ac:dyDescent="0.25">
      <c r="A47" s="64" t="s">
        <v>33</v>
      </c>
      <c r="B47" s="66" t="s">
        <v>49</v>
      </c>
      <c r="C47" s="64">
        <v>2030</v>
      </c>
      <c r="D47" s="65">
        <f>Input!G126</f>
        <v>532.79999999999995</v>
      </c>
    </row>
    <row r="48" spans="1:4" x14ac:dyDescent="0.25">
      <c r="A48" s="64" t="s">
        <v>30</v>
      </c>
      <c r="B48" s="66" t="s">
        <v>46</v>
      </c>
      <c r="C48" s="64">
        <v>2040</v>
      </c>
      <c r="D48" s="65">
        <f>Input!H116</f>
        <v>94</v>
      </c>
    </row>
    <row r="49" spans="1:4" x14ac:dyDescent="0.25">
      <c r="A49" s="64" t="s">
        <v>30</v>
      </c>
      <c r="B49" s="66" t="s">
        <v>47</v>
      </c>
      <c r="C49" s="64">
        <v>2040</v>
      </c>
      <c r="D49" s="65">
        <f>Input!H117</f>
        <v>127</v>
      </c>
    </row>
    <row r="50" spans="1:4" x14ac:dyDescent="0.25">
      <c r="A50" s="64" t="s">
        <v>30</v>
      </c>
      <c r="B50" s="66" t="s">
        <v>48</v>
      </c>
      <c r="C50" s="64">
        <v>2040</v>
      </c>
      <c r="D50" s="65">
        <f>Input!H118</f>
        <v>143</v>
      </c>
    </row>
    <row r="51" spans="1:4" x14ac:dyDescent="0.25">
      <c r="A51" s="64" t="s">
        <v>30</v>
      </c>
      <c r="B51" s="66" t="s">
        <v>49</v>
      </c>
      <c r="C51" s="64">
        <v>2040</v>
      </c>
      <c r="D51" s="65">
        <f>Input!H119</f>
        <v>126</v>
      </c>
    </row>
    <row r="52" spans="1:4" x14ac:dyDescent="0.25">
      <c r="A52" s="64" t="s">
        <v>32</v>
      </c>
      <c r="B52" s="66" t="s">
        <v>46</v>
      </c>
      <c r="C52" s="64">
        <v>2040</v>
      </c>
      <c r="D52" s="65">
        <f>Input!H120</f>
        <v>125</v>
      </c>
    </row>
    <row r="53" spans="1:4" x14ac:dyDescent="0.25">
      <c r="A53" s="64" t="s">
        <v>32</v>
      </c>
      <c r="B53" s="66" t="s">
        <v>47</v>
      </c>
      <c r="C53" s="64">
        <v>2040</v>
      </c>
      <c r="D53" s="65">
        <f>Input!H121</f>
        <v>97</v>
      </c>
    </row>
    <row r="54" spans="1:4" x14ac:dyDescent="0.25">
      <c r="A54" s="64" t="s">
        <v>32</v>
      </c>
      <c r="B54" s="66" t="s">
        <v>48</v>
      </c>
      <c r="C54" s="64">
        <v>2040</v>
      </c>
      <c r="D54" s="65">
        <f>Input!H122</f>
        <v>149</v>
      </c>
    </row>
    <row r="55" spans="1:4" x14ac:dyDescent="0.25">
      <c r="A55" s="64" t="s">
        <v>32</v>
      </c>
      <c r="B55" s="66" t="s">
        <v>49</v>
      </c>
      <c r="C55" s="64">
        <v>2040</v>
      </c>
      <c r="D55" s="65">
        <f>Input!H123</f>
        <v>138</v>
      </c>
    </row>
    <row r="56" spans="1:4" x14ac:dyDescent="0.25">
      <c r="A56" s="64" t="s">
        <v>34</v>
      </c>
      <c r="B56" s="66" t="s">
        <v>49</v>
      </c>
      <c r="C56" s="64">
        <v>2040</v>
      </c>
      <c r="D56" s="65">
        <f>Input!H124</f>
        <v>32</v>
      </c>
    </row>
    <row r="57" spans="1:4" x14ac:dyDescent="0.25">
      <c r="A57" s="64" t="s">
        <v>35</v>
      </c>
      <c r="B57" s="66" t="s">
        <v>49</v>
      </c>
      <c r="C57" s="64">
        <v>2040</v>
      </c>
      <c r="D57" s="65">
        <f>Input!H125</f>
        <v>49</v>
      </c>
    </row>
    <row r="58" spans="1:4" x14ac:dyDescent="0.25">
      <c r="A58" s="64" t="s">
        <v>33</v>
      </c>
      <c r="B58" s="66" t="s">
        <v>49</v>
      </c>
      <c r="C58" s="64">
        <v>2040</v>
      </c>
      <c r="D58" s="65">
        <f>Input!H126</f>
        <v>432.9</v>
      </c>
    </row>
    <row r="59" spans="1:4" x14ac:dyDescent="0.25">
      <c r="A59" s="64" t="s">
        <v>30</v>
      </c>
      <c r="B59" s="66" t="s">
        <v>46</v>
      </c>
      <c r="C59" s="64">
        <v>2050</v>
      </c>
      <c r="D59" s="65">
        <f>Input!I116</f>
        <v>70</v>
      </c>
    </row>
    <row r="60" spans="1:4" x14ac:dyDescent="0.25">
      <c r="A60" s="64" t="s">
        <v>30</v>
      </c>
      <c r="B60" s="66" t="s">
        <v>47</v>
      </c>
      <c r="C60" s="64">
        <v>2050</v>
      </c>
      <c r="D60" s="65">
        <f>Input!I117</f>
        <v>100</v>
      </c>
    </row>
    <row r="61" spans="1:4" x14ac:dyDescent="0.25">
      <c r="A61" s="64" t="s">
        <v>30</v>
      </c>
      <c r="B61" s="66" t="s">
        <v>48</v>
      </c>
      <c r="C61" s="64">
        <v>2050</v>
      </c>
      <c r="D61" s="65">
        <f>Input!I118</f>
        <v>116</v>
      </c>
    </row>
    <row r="62" spans="1:4" x14ac:dyDescent="0.25">
      <c r="A62" s="64" t="s">
        <v>30</v>
      </c>
      <c r="B62" s="66" t="s">
        <v>49</v>
      </c>
      <c r="C62" s="64">
        <v>2050</v>
      </c>
      <c r="D62" s="65">
        <f>Input!I119</f>
        <v>99</v>
      </c>
    </row>
    <row r="63" spans="1:4" x14ac:dyDescent="0.25">
      <c r="A63" s="64" t="s">
        <v>32</v>
      </c>
      <c r="B63" s="66" t="s">
        <v>46</v>
      </c>
      <c r="C63" s="64">
        <v>2050</v>
      </c>
      <c r="D63" s="65">
        <f>Input!I120</f>
        <v>84</v>
      </c>
    </row>
    <row r="64" spans="1:4" x14ac:dyDescent="0.25">
      <c r="A64" s="64" t="s">
        <v>32</v>
      </c>
      <c r="B64" s="66" t="s">
        <v>47</v>
      </c>
      <c r="C64" s="64">
        <v>2050</v>
      </c>
      <c r="D64" s="65">
        <f>Input!I121</f>
        <v>78</v>
      </c>
    </row>
    <row r="65" spans="1:4" x14ac:dyDescent="0.25">
      <c r="A65" s="64" t="s">
        <v>32</v>
      </c>
      <c r="B65" s="66" t="s">
        <v>48</v>
      </c>
      <c r="C65" s="64">
        <v>2050</v>
      </c>
      <c r="D65" s="65">
        <f>Input!I122</f>
        <v>113</v>
      </c>
    </row>
    <row r="66" spans="1:4" x14ac:dyDescent="0.25">
      <c r="A66" s="64" t="s">
        <v>32</v>
      </c>
      <c r="B66" s="66" t="s">
        <v>49</v>
      </c>
      <c r="C66" s="64">
        <v>2050</v>
      </c>
      <c r="D66" s="65">
        <f>Input!I123</f>
        <v>104</v>
      </c>
    </row>
    <row r="67" spans="1:4" x14ac:dyDescent="0.25">
      <c r="A67" s="64" t="s">
        <v>34</v>
      </c>
      <c r="B67" s="66" t="s">
        <v>49</v>
      </c>
      <c r="C67" s="64">
        <v>2050</v>
      </c>
      <c r="D67" s="65">
        <f>Input!I124</f>
        <v>29</v>
      </c>
    </row>
    <row r="68" spans="1:4" x14ac:dyDescent="0.25">
      <c r="A68" s="64" t="s">
        <v>35</v>
      </c>
      <c r="B68" s="66" t="s">
        <v>49</v>
      </c>
      <c r="C68" s="64">
        <v>2050</v>
      </c>
      <c r="D68" s="65">
        <f>Input!I125</f>
        <v>49</v>
      </c>
    </row>
    <row r="69" spans="1:4" x14ac:dyDescent="0.25">
      <c r="A69" s="64" t="s">
        <v>33</v>
      </c>
      <c r="B69" s="66" t="s">
        <v>49</v>
      </c>
      <c r="C69" s="64">
        <v>2050</v>
      </c>
      <c r="D69" s="65">
        <f>Input!I126</f>
        <v>366.29999999999995</v>
      </c>
    </row>
    <row r="70" spans="1:4" x14ac:dyDescent="0.25">
      <c r="A70" s="64" t="s">
        <v>62</v>
      </c>
      <c r="B70" s="64" t="s">
        <v>56</v>
      </c>
      <c r="C70" s="64">
        <v>2020</v>
      </c>
      <c r="D70" s="65">
        <v>221</v>
      </c>
    </row>
    <row r="71" spans="1:4" x14ac:dyDescent="0.25">
      <c r="A71" s="64" t="s">
        <v>62</v>
      </c>
      <c r="B71" s="64" t="s">
        <v>56</v>
      </c>
      <c r="C71" s="64">
        <v>2030</v>
      </c>
      <c r="D71" s="65">
        <v>118</v>
      </c>
    </row>
    <row r="72" spans="1:4" x14ac:dyDescent="0.25">
      <c r="A72" s="64" t="s">
        <v>62</v>
      </c>
      <c r="B72" s="64" t="s">
        <v>56</v>
      </c>
      <c r="C72" s="64">
        <v>2040</v>
      </c>
      <c r="D72" s="65">
        <v>95</v>
      </c>
    </row>
    <row r="73" spans="1:4" x14ac:dyDescent="0.25">
      <c r="A73" s="64" t="s">
        <v>62</v>
      </c>
      <c r="B73" s="64" t="s">
        <v>56</v>
      </c>
      <c r="C73" s="64">
        <v>2050</v>
      </c>
      <c r="D73" s="65">
        <v>95</v>
      </c>
    </row>
    <row r="74" spans="1:4" x14ac:dyDescent="0.25">
      <c r="A74" s="64" t="s">
        <v>62</v>
      </c>
      <c r="B74" s="66" t="s">
        <v>46</v>
      </c>
      <c r="C74" s="64">
        <v>2020</v>
      </c>
      <c r="D74" s="65">
        <f>Input!F127</f>
        <v>495</v>
      </c>
    </row>
    <row r="75" spans="1:4" x14ac:dyDescent="0.25">
      <c r="A75" s="64" t="s">
        <v>62</v>
      </c>
      <c r="B75" s="66" t="s">
        <v>47</v>
      </c>
      <c r="C75" s="64">
        <v>2020</v>
      </c>
      <c r="D75" s="65">
        <f>Input!F128</f>
        <v>558</v>
      </c>
    </row>
    <row r="76" spans="1:4" x14ac:dyDescent="0.25">
      <c r="A76" s="64" t="s">
        <v>62</v>
      </c>
      <c r="B76" s="66" t="s">
        <v>48</v>
      </c>
      <c r="C76" s="64">
        <v>2020</v>
      </c>
      <c r="D76" s="65">
        <f>Input!F129</f>
        <v>568.80000000000007</v>
      </c>
    </row>
    <row r="77" spans="1:4" x14ac:dyDescent="0.25">
      <c r="A77" s="64" t="s">
        <v>62</v>
      </c>
      <c r="B77" s="66" t="s">
        <v>49</v>
      </c>
      <c r="C77" s="64">
        <v>2020</v>
      </c>
      <c r="D77" s="65">
        <f>Input!F130</f>
        <v>540</v>
      </c>
    </row>
    <row r="78" spans="1:4" x14ac:dyDescent="0.25">
      <c r="A78" s="64" t="s">
        <v>62</v>
      </c>
      <c r="B78" s="66" t="s">
        <v>46</v>
      </c>
      <c r="C78" s="64">
        <v>2030</v>
      </c>
      <c r="D78" s="65">
        <f>Input!G127</f>
        <v>253.8</v>
      </c>
    </row>
    <row r="79" spans="1:4" x14ac:dyDescent="0.25">
      <c r="A79" s="64" t="s">
        <v>62</v>
      </c>
      <c r="B79" s="66" t="s">
        <v>47</v>
      </c>
      <c r="C79" s="64">
        <v>2030</v>
      </c>
      <c r="D79" s="65">
        <f>Input!G128</f>
        <v>320.40000000000003</v>
      </c>
    </row>
    <row r="80" spans="1:4" x14ac:dyDescent="0.25">
      <c r="A80" s="64" t="s">
        <v>62</v>
      </c>
      <c r="B80" s="66" t="s">
        <v>48</v>
      </c>
      <c r="C80" s="64">
        <v>2030</v>
      </c>
      <c r="D80" s="65">
        <f>Input!G129</f>
        <v>347.40000000000003</v>
      </c>
    </row>
    <row r="81" spans="1:4" x14ac:dyDescent="0.25">
      <c r="A81" s="64" t="s">
        <v>62</v>
      </c>
      <c r="B81" s="66" t="s">
        <v>49</v>
      </c>
      <c r="C81" s="64">
        <v>2030</v>
      </c>
      <c r="D81" s="65">
        <f>Input!G130</f>
        <v>313.2</v>
      </c>
    </row>
    <row r="82" spans="1:4" x14ac:dyDescent="0.25">
      <c r="A82" s="64" t="s">
        <v>62</v>
      </c>
      <c r="B82" s="66" t="s">
        <v>46</v>
      </c>
      <c r="C82" s="64">
        <v>2040</v>
      </c>
      <c r="D82" s="65">
        <f>Input!H127</f>
        <v>169.20000000000002</v>
      </c>
    </row>
    <row r="83" spans="1:4" x14ac:dyDescent="0.25">
      <c r="A83" s="64" t="s">
        <v>62</v>
      </c>
      <c r="B83" s="66" t="s">
        <v>47</v>
      </c>
      <c r="C83" s="64">
        <v>2040</v>
      </c>
      <c r="D83" s="65">
        <f>Input!H128</f>
        <v>228.6</v>
      </c>
    </row>
    <row r="84" spans="1:4" x14ac:dyDescent="0.25">
      <c r="A84" s="64" t="s">
        <v>62</v>
      </c>
      <c r="B84" s="66" t="s">
        <v>48</v>
      </c>
      <c r="C84" s="64">
        <v>2040</v>
      </c>
      <c r="D84" s="65">
        <f>Input!H129</f>
        <v>257.40000000000003</v>
      </c>
    </row>
    <row r="85" spans="1:4" x14ac:dyDescent="0.25">
      <c r="A85" s="64" t="s">
        <v>62</v>
      </c>
      <c r="B85" s="66" t="s">
        <v>49</v>
      </c>
      <c r="C85" s="64">
        <v>2040</v>
      </c>
      <c r="D85" s="65">
        <f>Input!H130</f>
        <v>226.8</v>
      </c>
    </row>
    <row r="86" spans="1:4" x14ac:dyDescent="0.25">
      <c r="A86" s="64" t="s">
        <v>62</v>
      </c>
      <c r="B86" s="66" t="s">
        <v>46</v>
      </c>
      <c r="C86" s="64">
        <v>2050</v>
      </c>
      <c r="D86" s="65">
        <f>Input!I127</f>
        <v>126</v>
      </c>
    </row>
    <row r="87" spans="1:4" x14ac:dyDescent="0.25">
      <c r="A87" s="64" t="s">
        <v>62</v>
      </c>
      <c r="B87" s="66" t="s">
        <v>47</v>
      </c>
      <c r="C87" s="64">
        <v>2050</v>
      </c>
      <c r="D87" s="65">
        <f>Input!I128</f>
        <v>180</v>
      </c>
    </row>
    <row r="88" spans="1:4" x14ac:dyDescent="0.25">
      <c r="A88" s="64" t="s">
        <v>62</v>
      </c>
      <c r="B88" s="66" t="s">
        <v>48</v>
      </c>
      <c r="C88" s="64">
        <v>2050</v>
      </c>
      <c r="D88" s="65">
        <f>Input!I129</f>
        <v>208.8</v>
      </c>
    </row>
    <row r="89" spans="1:4" x14ac:dyDescent="0.25">
      <c r="A89" s="64" t="s">
        <v>62</v>
      </c>
      <c r="B89" s="66" t="s">
        <v>49</v>
      </c>
      <c r="C89" s="64">
        <v>2050</v>
      </c>
      <c r="D89" s="65">
        <f>Input!I130</f>
        <v>178.20000000000002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C57B-5496-4DBD-BA4F-246EC7884B1B}">
  <sheetPr codeName="Hoja6"/>
  <dimension ref="A1:B17"/>
  <sheetViews>
    <sheetView workbookViewId="0">
      <selection activeCell="B2" sqref="B2"/>
    </sheetView>
  </sheetViews>
  <sheetFormatPr baseColWidth="10" defaultRowHeight="15" x14ac:dyDescent="0.25"/>
  <cols>
    <col min="1" max="1" width="16.85546875" style="59" customWidth="1"/>
  </cols>
  <sheetData>
    <row r="1" spans="1:2" x14ac:dyDescent="0.25">
      <c r="A1" s="59" t="s">
        <v>1</v>
      </c>
      <c r="B1" t="s">
        <v>28</v>
      </c>
    </row>
    <row r="2" spans="1:2" x14ac:dyDescent="0.25">
      <c r="A2" s="59" t="s">
        <v>7</v>
      </c>
      <c r="B2">
        <f>Input!E68</f>
        <v>12475</v>
      </c>
    </row>
    <row r="3" spans="1:2" x14ac:dyDescent="0.25">
      <c r="A3" s="59" t="s">
        <v>10</v>
      </c>
      <c r="B3">
        <f>Input!E69</f>
        <v>12475</v>
      </c>
    </row>
    <row r="4" spans="1:2" x14ac:dyDescent="0.25">
      <c r="A4" s="59" t="s">
        <v>11</v>
      </c>
      <c r="B4">
        <f>Input!E70</f>
        <v>18143</v>
      </c>
    </row>
    <row r="5" spans="1:2" x14ac:dyDescent="0.25">
      <c r="A5" s="59" t="s">
        <v>12</v>
      </c>
      <c r="B5">
        <f>Input!E71</f>
        <v>19539</v>
      </c>
    </row>
    <row r="6" spans="1:2" x14ac:dyDescent="0.25">
      <c r="A6" s="59" t="s">
        <v>13</v>
      </c>
      <c r="B6">
        <f>Input!E72</f>
        <v>19539</v>
      </c>
    </row>
    <row r="7" spans="1:2" x14ac:dyDescent="0.25">
      <c r="A7" s="59" t="s">
        <v>14</v>
      </c>
      <c r="B7">
        <f>Input!E73</f>
        <v>20934</v>
      </c>
    </row>
    <row r="8" spans="1:2" x14ac:dyDescent="0.25">
      <c r="A8" s="59" t="s">
        <v>15</v>
      </c>
      <c r="B8">
        <f>Input!E74</f>
        <v>27606</v>
      </c>
    </row>
    <row r="9" spans="1:2" x14ac:dyDescent="0.25">
      <c r="A9" s="59" t="s">
        <v>16</v>
      </c>
      <c r="B9">
        <f>Input!E75</f>
        <v>22330</v>
      </c>
    </row>
    <row r="10" spans="1:2" x14ac:dyDescent="0.25">
      <c r="A10" s="59" t="s">
        <v>17</v>
      </c>
      <c r="B10">
        <f>Input!E76</f>
        <v>28750</v>
      </c>
    </row>
    <row r="11" spans="1:2" x14ac:dyDescent="0.25">
      <c r="A11" s="59" t="s">
        <v>18</v>
      </c>
      <c r="B11">
        <f>Input!E77</f>
        <v>22609</v>
      </c>
    </row>
    <row r="12" spans="1:2" x14ac:dyDescent="0.25">
      <c r="A12" s="59" t="s">
        <v>19</v>
      </c>
      <c r="B12">
        <f>Input!E78</f>
        <v>29308</v>
      </c>
    </row>
    <row r="13" spans="1:2" x14ac:dyDescent="0.25">
      <c r="A13" s="59" t="s">
        <v>20</v>
      </c>
      <c r="B13">
        <f>Input!E79</f>
        <v>24005</v>
      </c>
    </row>
    <row r="14" spans="1:2" x14ac:dyDescent="0.25">
      <c r="A14" s="59" t="s">
        <v>21</v>
      </c>
      <c r="B14">
        <f>Input!E80</f>
        <v>30425</v>
      </c>
    </row>
    <row r="15" spans="1:2" x14ac:dyDescent="0.25">
      <c r="A15" s="59" t="s">
        <v>22</v>
      </c>
      <c r="B15">
        <f>Input!E81</f>
        <v>37682</v>
      </c>
    </row>
    <row r="16" spans="1:2" x14ac:dyDescent="0.25">
      <c r="A16" s="59" t="s">
        <v>23</v>
      </c>
      <c r="B16">
        <f>Input!E82</f>
        <v>39078</v>
      </c>
    </row>
    <row r="17" spans="1:2" x14ac:dyDescent="0.25">
      <c r="A17" s="59" t="s">
        <v>24</v>
      </c>
      <c r="B17">
        <f>Input!E83</f>
        <v>43265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83355-D6B6-46F0-A1E8-4AD654B7D9F9}">
  <sheetPr codeName="Hoja10"/>
  <dimension ref="A1:H721"/>
  <sheetViews>
    <sheetView topLeftCell="A133" workbookViewId="0">
      <selection sqref="A1:G1048576"/>
    </sheetView>
  </sheetViews>
  <sheetFormatPr baseColWidth="10" defaultRowHeight="15" x14ac:dyDescent="0.25"/>
  <cols>
    <col min="4" max="4" width="11.42578125" style="62"/>
    <col min="5" max="5" width="13.5703125" style="62" customWidth="1"/>
    <col min="6" max="7" width="11.42578125" style="62"/>
    <col min="8" max="8" width="11.28515625" bestFit="1" customWidth="1"/>
  </cols>
  <sheetData>
    <row r="1" spans="1:8" x14ac:dyDescent="0.25">
      <c r="A1" s="4" t="s">
        <v>73</v>
      </c>
      <c r="B1" s="4" t="s">
        <v>3</v>
      </c>
      <c r="C1" s="4" t="s">
        <v>2</v>
      </c>
      <c r="D1" s="60" t="s">
        <v>171</v>
      </c>
      <c r="E1" s="63" t="s">
        <v>74</v>
      </c>
      <c r="F1" s="63" t="s">
        <v>75</v>
      </c>
      <c r="G1" s="63" t="s">
        <v>81</v>
      </c>
      <c r="H1" s="1"/>
    </row>
    <row r="2" spans="1:8" x14ac:dyDescent="0.25">
      <c r="A2" s="3" t="s">
        <v>63</v>
      </c>
      <c r="B2" s="3" t="s">
        <v>65</v>
      </c>
      <c r="C2" s="3">
        <v>2024</v>
      </c>
      <c r="D2" s="61">
        <f>INDEX(Input!$I$221:$AI$235,MATCH(A2&amp;B2,Input!$H$221:$H$239,0),MATCH(C2,Input!$I$220:$AI$220,0))</f>
        <v>5.0362363346026284E-2</v>
      </c>
      <c r="E2" s="62">
        <f>IFERROR(VLOOKUP(A2,Input!$D$241:$I$245,6,FALSE),"")</f>
        <v>3.8700000000000005E-2</v>
      </c>
      <c r="F2" s="62">
        <f>IFERROR(VLOOKUP(A2,Input!$D$249:$I$253,6,FALSE),"")</f>
        <v>1.4999999999999999E-2</v>
      </c>
      <c r="G2" s="62">
        <f>IFERROR(D2+E2+F2,"")</f>
        <v>0.1040623633460263</v>
      </c>
    </row>
    <row r="3" spans="1:8" x14ac:dyDescent="0.25">
      <c r="A3" s="3" t="s">
        <v>63</v>
      </c>
      <c r="B3" s="3" t="s">
        <v>65</v>
      </c>
      <c r="C3" s="3">
        <v>2025</v>
      </c>
      <c r="D3" s="61">
        <f>INDEX(Input!$I$221:$AI$235,MATCH(A3&amp;B3,Input!$H$221:$H$239,0),MATCH(C3,Input!$I$220:$AI$220,0))</f>
        <v>5.0055275764648077E-2</v>
      </c>
      <c r="E3" s="62">
        <f>IFERROR(VLOOKUP(A3,Input!$D$241:$I$245,6,FALSE),"")</f>
        <v>3.8700000000000005E-2</v>
      </c>
      <c r="F3" s="62">
        <f>IFERROR(VLOOKUP(A3,Input!$D$249:$I$253,6,FALSE),"")</f>
        <v>1.4999999999999999E-2</v>
      </c>
      <c r="G3" s="62">
        <f t="shared" ref="G3:G66" si="0">IFERROR(D3+E3+F3,"")</f>
        <v>0.10375527576464809</v>
      </c>
    </row>
    <row r="4" spans="1:8" x14ac:dyDescent="0.25">
      <c r="A4" s="3" t="s">
        <v>63</v>
      </c>
      <c r="B4" s="3" t="s">
        <v>65</v>
      </c>
      <c r="C4" s="3">
        <v>2026</v>
      </c>
      <c r="D4" s="61">
        <f>INDEX(Input!$I$221:$AI$235,MATCH(A4&amp;B4,Input!$H$221:$H$239,0),MATCH(C4,Input!$I$220:$AI$220,0))</f>
        <v>4.974818818326987E-2</v>
      </c>
      <c r="E4" s="62">
        <f>IFERROR(VLOOKUP(A4,Input!$D$241:$I$245,6,FALSE),"")</f>
        <v>3.8700000000000005E-2</v>
      </c>
      <c r="F4" s="62">
        <f>IFERROR(VLOOKUP(A4,Input!$D$249:$I$253,6,FALSE),"")</f>
        <v>1.4999999999999999E-2</v>
      </c>
      <c r="G4" s="62">
        <f t="shared" si="0"/>
        <v>0.10344818818326988</v>
      </c>
    </row>
    <row r="5" spans="1:8" x14ac:dyDescent="0.25">
      <c r="A5" s="3" t="s">
        <v>63</v>
      </c>
      <c r="B5" s="3" t="s">
        <v>65</v>
      </c>
      <c r="C5" s="3">
        <v>2027</v>
      </c>
      <c r="D5" s="61">
        <f>INDEX(Input!$I$221:$AI$235,MATCH(A5&amp;B5,Input!$H$221:$H$239,0),MATCH(C5,Input!$I$220:$AI$220,0))</f>
        <v>4.9441100601891656E-2</v>
      </c>
      <c r="E5" s="62">
        <f>IFERROR(VLOOKUP(A5,Input!$D$241:$I$245,6,FALSE),"")</f>
        <v>3.8700000000000005E-2</v>
      </c>
      <c r="F5" s="62">
        <f>IFERROR(VLOOKUP(A5,Input!$D$249:$I$253,6,FALSE),"")</f>
        <v>1.4999999999999999E-2</v>
      </c>
      <c r="G5" s="62">
        <f t="shared" si="0"/>
        <v>0.10314110060189166</v>
      </c>
    </row>
    <row r="6" spans="1:8" x14ac:dyDescent="0.25">
      <c r="A6" s="3" t="s">
        <v>63</v>
      </c>
      <c r="B6" s="3" t="s">
        <v>65</v>
      </c>
      <c r="C6" s="3">
        <v>2028</v>
      </c>
      <c r="D6" s="61">
        <f>INDEX(Input!$I$221:$AI$235,MATCH(A6&amp;B6,Input!$H$221:$H$239,0),MATCH(C6,Input!$I$220:$AI$220,0))</f>
        <v>4.9134013020513449E-2</v>
      </c>
      <c r="E6" s="62">
        <f>IFERROR(VLOOKUP(A6,Input!$D$241:$I$245,6,FALSE),"")</f>
        <v>3.8700000000000005E-2</v>
      </c>
      <c r="F6" s="62">
        <f>IFERROR(VLOOKUP(A6,Input!$D$249:$I$253,6,FALSE),"")</f>
        <v>1.4999999999999999E-2</v>
      </c>
      <c r="G6" s="62">
        <f t="shared" si="0"/>
        <v>0.10283401302051345</v>
      </c>
    </row>
    <row r="7" spans="1:8" x14ac:dyDescent="0.25">
      <c r="A7" s="3" t="s">
        <v>63</v>
      </c>
      <c r="B7" s="3" t="s">
        <v>65</v>
      </c>
      <c r="C7" s="3">
        <v>2029</v>
      </c>
      <c r="D7" s="61">
        <f>INDEX(Input!$I$221:$AI$235,MATCH(A7&amp;B7,Input!$H$221:$H$239,0),MATCH(C7,Input!$I$220:$AI$220,0))</f>
        <v>4.8826925439135242E-2</v>
      </c>
      <c r="E7" s="62">
        <f>IFERROR(VLOOKUP(A7,Input!$D$241:$I$245,6,FALSE),"")</f>
        <v>3.8700000000000005E-2</v>
      </c>
      <c r="F7" s="62">
        <f>IFERROR(VLOOKUP(A7,Input!$D$249:$I$253,6,FALSE),"")</f>
        <v>1.4999999999999999E-2</v>
      </c>
      <c r="G7" s="62">
        <f t="shared" si="0"/>
        <v>0.10252692543913525</v>
      </c>
    </row>
    <row r="8" spans="1:8" x14ac:dyDescent="0.25">
      <c r="A8" s="3" t="s">
        <v>63</v>
      </c>
      <c r="B8" s="3" t="s">
        <v>65</v>
      </c>
      <c r="C8" s="3">
        <v>2030</v>
      </c>
      <c r="D8" s="61">
        <f>INDEX(Input!$I$221:$AI$235,MATCH(A8&amp;B8,Input!$H$221:$H$239,0),MATCH(C8,Input!$I$220:$AI$220,0))</f>
        <v>4.8519837857757028E-2</v>
      </c>
      <c r="E8" s="62">
        <f>IFERROR(VLOOKUP(A8,Input!$D$241:$I$245,6,FALSE),"")</f>
        <v>3.8700000000000005E-2</v>
      </c>
      <c r="F8" s="62">
        <f>IFERROR(VLOOKUP(A8,Input!$D$249:$I$253,6,FALSE),"")</f>
        <v>1.4999999999999999E-2</v>
      </c>
      <c r="G8" s="62">
        <f t="shared" si="0"/>
        <v>0.10221983785775703</v>
      </c>
    </row>
    <row r="9" spans="1:8" x14ac:dyDescent="0.25">
      <c r="A9" s="3" t="s">
        <v>63</v>
      </c>
      <c r="B9" s="3" t="s">
        <v>65</v>
      </c>
      <c r="C9" s="3">
        <v>2031</v>
      </c>
      <c r="D9" s="61">
        <f>INDEX(Input!$I$221:$AI$235,MATCH(A9&amp;B9,Input!$H$221:$H$239,0),MATCH(C9,Input!$I$220:$AI$220,0))</f>
        <v>4.8519837857757028E-2</v>
      </c>
      <c r="E9" s="62">
        <f>IFERROR(VLOOKUP(A9,Input!$D$241:$I$245,6,FALSE),"")</f>
        <v>3.8700000000000005E-2</v>
      </c>
      <c r="F9" s="62">
        <f>IFERROR(VLOOKUP(A9,Input!$D$249:$I$253,6,FALSE),"")</f>
        <v>1.4999999999999999E-2</v>
      </c>
      <c r="G9" s="62">
        <f t="shared" si="0"/>
        <v>0.10221983785775703</v>
      </c>
    </row>
    <row r="10" spans="1:8" x14ac:dyDescent="0.25">
      <c r="A10" s="3" t="s">
        <v>63</v>
      </c>
      <c r="B10" s="3" t="s">
        <v>65</v>
      </c>
      <c r="C10" s="3">
        <v>2032</v>
      </c>
      <c r="D10" s="61">
        <f>INDEX(Input!$I$221:$AI$235,MATCH(A10&amp;B10,Input!$H$221:$H$239,0),MATCH(C10,Input!$I$220:$AI$220,0))</f>
        <v>4.8397002825205745E-2</v>
      </c>
      <c r="E10" s="62">
        <f>IFERROR(VLOOKUP(A10,Input!$D$241:$I$245,6,FALSE),"")</f>
        <v>3.8700000000000005E-2</v>
      </c>
      <c r="F10" s="62">
        <f>IFERROR(VLOOKUP(A10,Input!$D$249:$I$253,6,FALSE),"")</f>
        <v>1.4999999999999999E-2</v>
      </c>
      <c r="G10" s="62">
        <f t="shared" si="0"/>
        <v>0.10209700282520574</v>
      </c>
    </row>
    <row r="11" spans="1:8" x14ac:dyDescent="0.25">
      <c r="A11" s="3" t="s">
        <v>63</v>
      </c>
      <c r="B11" s="3" t="s">
        <v>65</v>
      </c>
      <c r="C11" s="3">
        <v>2033</v>
      </c>
      <c r="D11" s="61">
        <f>INDEX(Input!$I$221:$AI$235,MATCH(A11&amp;B11,Input!$H$221:$H$239,0),MATCH(C11,Input!$I$220:$AI$220,0))</f>
        <v>4.8274167792654463E-2</v>
      </c>
      <c r="E11" s="62">
        <f>IFERROR(VLOOKUP(A11,Input!$D$241:$I$245,6,FALSE),"")</f>
        <v>3.8700000000000005E-2</v>
      </c>
      <c r="F11" s="62">
        <f>IFERROR(VLOOKUP(A11,Input!$D$249:$I$253,6,FALSE),"")</f>
        <v>1.4999999999999999E-2</v>
      </c>
      <c r="G11" s="62">
        <f t="shared" si="0"/>
        <v>0.10197416779265446</v>
      </c>
    </row>
    <row r="12" spans="1:8" x14ac:dyDescent="0.25">
      <c r="A12" s="3" t="s">
        <v>63</v>
      </c>
      <c r="B12" s="3" t="s">
        <v>65</v>
      </c>
      <c r="C12" s="3">
        <v>2034</v>
      </c>
      <c r="D12" s="61">
        <f>INDEX(Input!$I$221:$AI$235,MATCH(A12&amp;B12,Input!$H$221:$H$239,0),MATCH(C12,Input!$I$220:$AI$220,0))</f>
        <v>4.8151332760103187E-2</v>
      </c>
      <c r="E12" s="62">
        <f>IFERROR(VLOOKUP(A12,Input!$D$241:$I$245,6,FALSE),"")</f>
        <v>3.8700000000000005E-2</v>
      </c>
      <c r="F12" s="62">
        <f>IFERROR(VLOOKUP(A12,Input!$D$249:$I$253,6,FALSE),"")</f>
        <v>1.4999999999999999E-2</v>
      </c>
      <c r="G12" s="62">
        <f t="shared" si="0"/>
        <v>0.10185133276010319</v>
      </c>
    </row>
    <row r="13" spans="1:8" x14ac:dyDescent="0.25">
      <c r="A13" s="3" t="s">
        <v>63</v>
      </c>
      <c r="B13" s="3" t="s">
        <v>65</v>
      </c>
      <c r="C13" s="3">
        <v>2035</v>
      </c>
      <c r="D13" s="61">
        <f>INDEX(Input!$I$221:$AI$235,MATCH(A13&amp;B13,Input!$H$221:$H$239,0),MATCH(C13,Input!$I$220:$AI$220,0))</f>
        <v>4.8028497727551897E-2</v>
      </c>
      <c r="E13" s="62">
        <f>IFERROR(VLOOKUP(A13,Input!$D$241:$I$245,6,FALSE),"")</f>
        <v>3.8700000000000005E-2</v>
      </c>
      <c r="F13" s="62">
        <f>IFERROR(VLOOKUP(A13,Input!$D$249:$I$253,6,FALSE),"")</f>
        <v>1.4999999999999999E-2</v>
      </c>
      <c r="G13" s="62">
        <f t="shared" si="0"/>
        <v>0.10172849772755189</v>
      </c>
    </row>
    <row r="14" spans="1:8" x14ac:dyDescent="0.25">
      <c r="A14" s="3" t="s">
        <v>63</v>
      </c>
      <c r="B14" s="3" t="s">
        <v>65</v>
      </c>
      <c r="C14" s="3">
        <v>2036</v>
      </c>
      <c r="D14" s="61">
        <f>INDEX(Input!$I$221:$AI$235,MATCH(A14&amp;B14,Input!$H$221:$H$239,0),MATCH(C14,Input!$I$220:$AI$220,0))</f>
        <v>4.7905662695000614E-2</v>
      </c>
      <c r="E14" s="62">
        <f>IFERROR(VLOOKUP(A14,Input!$D$241:$I$245,6,FALSE),"")</f>
        <v>3.8700000000000005E-2</v>
      </c>
      <c r="F14" s="62">
        <f>IFERROR(VLOOKUP(A14,Input!$D$249:$I$253,6,FALSE),"")</f>
        <v>1.4999999999999999E-2</v>
      </c>
      <c r="G14" s="62">
        <f t="shared" si="0"/>
        <v>0.10160566269500061</v>
      </c>
    </row>
    <row r="15" spans="1:8" x14ac:dyDescent="0.25">
      <c r="A15" s="3" t="s">
        <v>63</v>
      </c>
      <c r="B15" s="3" t="s">
        <v>65</v>
      </c>
      <c r="C15" s="3">
        <v>2037</v>
      </c>
      <c r="D15" s="61">
        <f>INDEX(Input!$I$221:$AI$235,MATCH(A15&amp;B15,Input!$H$221:$H$239,0),MATCH(C15,Input!$I$220:$AI$220,0))</f>
        <v>4.7782827662449325E-2</v>
      </c>
      <c r="E15" s="62">
        <f>IFERROR(VLOOKUP(A15,Input!$D$241:$I$245,6,FALSE),"")</f>
        <v>3.8700000000000005E-2</v>
      </c>
      <c r="F15" s="62">
        <f>IFERROR(VLOOKUP(A15,Input!$D$249:$I$253,6,FALSE),"")</f>
        <v>1.4999999999999999E-2</v>
      </c>
      <c r="G15" s="62">
        <f t="shared" si="0"/>
        <v>0.10148282766244933</v>
      </c>
    </row>
    <row r="16" spans="1:8" x14ac:dyDescent="0.25">
      <c r="A16" s="3" t="s">
        <v>63</v>
      </c>
      <c r="B16" s="3" t="s">
        <v>65</v>
      </c>
      <c r="C16" s="3">
        <v>2038</v>
      </c>
      <c r="D16" s="61">
        <f>INDEX(Input!$I$221:$AI$235,MATCH(A16&amp;B16,Input!$H$221:$H$239,0),MATCH(C16,Input!$I$220:$AI$220,0))</f>
        <v>4.7659992629898042E-2</v>
      </c>
      <c r="E16" s="62">
        <f>IFERROR(VLOOKUP(A16,Input!$D$241:$I$245,6,FALSE),"")</f>
        <v>3.8700000000000005E-2</v>
      </c>
      <c r="F16" s="62">
        <f>IFERROR(VLOOKUP(A16,Input!$D$249:$I$253,6,FALSE),"")</f>
        <v>1.4999999999999999E-2</v>
      </c>
      <c r="G16" s="62">
        <f t="shared" si="0"/>
        <v>0.10135999262989805</v>
      </c>
    </row>
    <row r="17" spans="1:7" x14ac:dyDescent="0.25">
      <c r="A17" s="3" t="s">
        <v>63</v>
      </c>
      <c r="B17" s="3" t="s">
        <v>65</v>
      </c>
      <c r="C17" s="3">
        <v>2039</v>
      </c>
      <c r="D17" s="61">
        <f>INDEX(Input!$I$221:$AI$235,MATCH(A17&amp;B17,Input!$H$221:$H$239,0),MATCH(C17,Input!$I$220:$AI$220,0))</f>
        <v>4.7537157597346766E-2</v>
      </c>
      <c r="E17" s="62">
        <f>IFERROR(VLOOKUP(A17,Input!$D$241:$I$245,6,FALSE),"")</f>
        <v>3.8700000000000005E-2</v>
      </c>
      <c r="F17" s="62">
        <f>IFERROR(VLOOKUP(A17,Input!$D$249:$I$253,6,FALSE),"")</f>
        <v>1.4999999999999999E-2</v>
      </c>
      <c r="G17" s="62">
        <f t="shared" si="0"/>
        <v>0.10123715759734676</v>
      </c>
    </row>
    <row r="18" spans="1:7" x14ac:dyDescent="0.25">
      <c r="A18" s="3" t="s">
        <v>63</v>
      </c>
      <c r="B18" s="3" t="s">
        <v>65</v>
      </c>
      <c r="C18" s="3">
        <v>2040</v>
      </c>
      <c r="D18" s="61">
        <f>INDEX(Input!$I$221:$AI$235,MATCH(A18&amp;B18,Input!$H$221:$H$239,0),MATCH(C18,Input!$I$220:$AI$220,0))</f>
        <v>4.7291487532244193E-2</v>
      </c>
      <c r="E18" s="62">
        <f>IFERROR(VLOOKUP(A18,Input!$D$241:$I$245,6,FALSE),"")</f>
        <v>3.8700000000000005E-2</v>
      </c>
      <c r="F18" s="62">
        <f>IFERROR(VLOOKUP(A18,Input!$D$249:$I$253,6,FALSE),"")</f>
        <v>1.4999999999999999E-2</v>
      </c>
      <c r="G18" s="62">
        <f t="shared" si="0"/>
        <v>0.1009914875322442</v>
      </c>
    </row>
    <row r="19" spans="1:7" x14ac:dyDescent="0.25">
      <c r="A19" s="3" t="s">
        <v>63</v>
      </c>
      <c r="B19" s="3" t="s">
        <v>65</v>
      </c>
      <c r="C19" s="3">
        <v>2041</v>
      </c>
      <c r="D19" s="61">
        <f>INDEX(Input!$I$221:$AI$235,MATCH(A19&amp;B19,Input!$H$221:$H$239,0),MATCH(C19,Input!$I$220:$AI$220,0))</f>
        <v>4.7291487532244193E-2</v>
      </c>
      <c r="E19" s="62">
        <f>IFERROR(VLOOKUP(A19,Input!$D$241:$I$245,6,FALSE),"")</f>
        <v>3.8700000000000005E-2</v>
      </c>
      <c r="F19" s="62">
        <f>IFERROR(VLOOKUP(A19,Input!$D$249:$I$253,6,FALSE),"")</f>
        <v>1.4999999999999999E-2</v>
      </c>
      <c r="G19" s="62">
        <f t="shared" si="0"/>
        <v>0.1009914875322442</v>
      </c>
    </row>
    <row r="20" spans="1:7" x14ac:dyDescent="0.25">
      <c r="A20" s="3" t="s">
        <v>63</v>
      </c>
      <c r="B20" s="3" t="s">
        <v>65</v>
      </c>
      <c r="C20" s="3">
        <v>2042</v>
      </c>
      <c r="D20" s="61">
        <f>INDEX(Input!$I$221:$AI$235,MATCH(A20&amp;B20,Input!$H$221:$H$239,0),MATCH(C20,Input!$I$220:$AI$220,0))</f>
        <v>4.716865249969291E-2</v>
      </c>
      <c r="E20" s="62">
        <f>IFERROR(VLOOKUP(A20,Input!$D$241:$I$245,6,FALSE),"")</f>
        <v>3.8700000000000005E-2</v>
      </c>
      <c r="F20" s="62">
        <f>IFERROR(VLOOKUP(A20,Input!$D$249:$I$253,6,FALSE),"")</f>
        <v>1.4999999999999999E-2</v>
      </c>
      <c r="G20" s="62">
        <f t="shared" si="0"/>
        <v>0.10086865249969292</v>
      </c>
    </row>
    <row r="21" spans="1:7" x14ac:dyDescent="0.25">
      <c r="A21" s="3" t="s">
        <v>63</v>
      </c>
      <c r="B21" s="3" t="s">
        <v>65</v>
      </c>
      <c r="C21" s="3">
        <v>2043</v>
      </c>
      <c r="D21" s="61">
        <f>INDEX(Input!$I$221:$AI$235,MATCH(A21&amp;B21,Input!$H$221:$H$239,0),MATCH(C21,Input!$I$220:$AI$220,0))</f>
        <v>4.7045817467141621E-2</v>
      </c>
      <c r="E21" s="62">
        <f>IFERROR(VLOOKUP(A21,Input!$D$241:$I$245,6,FALSE),"")</f>
        <v>3.8700000000000005E-2</v>
      </c>
      <c r="F21" s="62">
        <f>IFERROR(VLOOKUP(A21,Input!$D$249:$I$253,6,FALSE),"")</f>
        <v>1.4999999999999999E-2</v>
      </c>
      <c r="G21" s="62">
        <f t="shared" si="0"/>
        <v>0.10074581746714163</v>
      </c>
    </row>
    <row r="22" spans="1:7" x14ac:dyDescent="0.25">
      <c r="A22" s="3" t="s">
        <v>63</v>
      </c>
      <c r="B22" s="3" t="s">
        <v>65</v>
      </c>
      <c r="C22" s="3">
        <v>2044</v>
      </c>
      <c r="D22" s="61">
        <f>INDEX(Input!$I$221:$AI$235,MATCH(A22&amp;B22,Input!$H$221:$H$239,0),MATCH(C22,Input!$I$220:$AI$220,0))</f>
        <v>4.6922982434590345E-2</v>
      </c>
      <c r="E22" s="62">
        <f>IFERROR(VLOOKUP(A22,Input!$D$241:$I$245,6,FALSE),"")</f>
        <v>3.8700000000000005E-2</v>
      </c>
      <c r="F22" s="62">
        <f>IFERROR(VLOOKUP(A22,Input!$D$249:$I$253,6,FALSE),"")</f>
        <v>1.4999999999999999E-2</v>
      </c>
      <c r="G22" s="62">
        <f t="shared" si="0"/>
        <v>0.10062298243459035</v>
      </c>
    </row>
    <row r="23" spans="1:7" x14ac:dyDescent="0.25">
      <c r="A23" s="3" t="s">
        <v>63</v>
      </c>
      <c r="B23" s="3" t="s">
        <v>65</v>
      </c>
      <c r="C23" s="3">
        <v>2049</v>
      </c>
      <c r="D23" s="61">
        <f>INDEX(Input!$I$221:$AI$235,MATCH(A23&amp;B23,Input!$H$221:$H$239,0),MATCH(C23,Input!$I$220:$AI$220,0))</f>
        <v>4.6308807271833931E-2</v>
      </c>
      <c r="E23" s="62">
        <f>IFERROR(VLOOKUP(A23,Input!$D$241:$I$245,6,FALSE),"")</f>
        <v>3.8700000000000005E-2</v>
      </c>
      <c r="F23" s="62">
        <f>IFERROR(VLOOKUP(A23,Input!$D$249:$I$253,6,FALSE),"")</f>
        <v>1.4999999999999999E-2</v>
      </c>
      <c r="G23" s="62">
        <f t="shared" si="0"/>
        <v>0.10000880727183394</v>
      </c>
    </row>
    <row r="24" spans="1:7" x14ac:dyDescent="0.25">
      <c r="A24" s="3" t="s">
        <v>63</v>
      </c>
      <c r="B24" s="3" t="s">
        <v>65</v>
      </c>
      <c r="C24" s="3">
        <v>2050</v>
      </c>
      <c r="D24" s="61">
        <f>INDEX(Input!$I$221:$AI$235,MATCH(A24&amp;B24,Input!$H$221:$H$239,0),MATCH(C24,Input!$I$220:$AI$220,0))</f>
        <v>4.6063137206731358E-2</v>
      </c>
      <c r="E24" s="62">
        <f>IFERROR(VLOOKUP(A24,Input!$D$241:$I$245,6,FALSE),"")</f>
        <v>3.8700000000000005E-2</v>
      </c>
      <c r="F24" s="62">
        <f>IFERROR(VLOOKUP(A24,Input!$D$249:$I$253,6,FALSE),"")</f>
        <v>1.4999999999999999E-2</v>
      </c>
      <c r="G24" s="62">
        <f t="shared" si="0"/>
        <v>9.976313720673137E-2</v>
      </c>
    </row>
    <row r="25" spans="1:7" x14ac:dyDescent="0.25">
      <c r="A25" s="3" t="s">
        <v>63</v>
      </c>
      <c r="B25" s="3" t="s">
        <v>8</v>
      </c>
      <c r="C25" s="3">
        <v>2024</v>
      </c>
      <c r="D25" s="61">
        <f>INDEX(Input!$I$221:$AI$235,MATCH(A25&amp;B25,Input!$H$221:$H$239,0),MATCH(C25,Input!$I$220:$AI$220,0))</f>
        <v>5.0362363346026284E-2</v>
      </c>
      <c r="E25" s="62">
        <f>IFERROR(VLOOKUP(A25,Input!$D$241:$I$245,6,FALSE),"")</f>
        <v>3.8700000000000005E-2</v>
      </c>
      <c r="F25" s="62">
        <f>IFERROR(VLOOKUP(A25,Input!$D$249:$I$253,6,FALSE),"")</f>
        <v>1.4999999999999999E-2</v>
      </c>
      <c r="G25" s="62">
        <f t="shared" si="0"/>
        <v>0.1040623633460263</v>
      </c>
    </row>
    <row r="26" spans="1:7" x14ac:dyDescent="0.25">
      <c r="A26" s="3" t="s">
        <v>63</v>
      </c>
      <c r="B26" s="3" t="s">
        <v>8</v>
      </c>
      <c r="C26" s="3">
        <v>2025</v>
      </c>
      <c r="D26" s="61">
        <f>INDEX(Input!$I$221:$AI$235,MATCH(A26&amp;B26,Input!$H$221:$H$239,0),MATCH(C26,Input!$I$220:$AI$220,0))</f>
        <v>4.9338738074765583E-2</v>
      </c>
      <c r="E26" s="62">
        <f>IFERROR(VLOOKUP(A26,Input!$D$241:$I$245,6,FALSE),"")</f>
        <v>3.8700000000000005E-2</v>
      </c>
      <c r="F26" s="62">
        <f>IFERROR(VLOOKUP(A26,Input!$D$249:$I$253,6,FALSE),"")</f>
        <v>1.4999999999999999E-2</v>
      </c>
      <c r="G26" s="62">
        <f t="shared" si="0"/>
        <v>0.10303873807476559</v>
      </c>
    </row>
    <row r="27" spans="1:7" x14ac:dyDescent="0.25">
      <c r="A27" s="3" t="s">
        <v>63</v>
      </c>
      <c r="B27" s="3" t="s">
        <v>8</v>
      </c>
      <c r="C27" s="3">
        <v>2026</v>
      </c>
      <c r="D27" s="61">
        <f>INDEX(Input!$I$221:$AI$235,MATCH(A27&amp;B27,Input!$H$221:$H$239,0),MATCH(C27,Input!$I$220:$AI$220,0))</f>
        <v>4.8315112803504895E-2</v>
      </c>
      <c r="E27" s="62">
        <f>IFERROR(VLOOKUP(A27,Input!$D$241:$I$245,6,FALSE),"")</f>
        <v>3.8700000000000005E-2</v>
      </c>
      <c r="F27" s="62">
        <f>IFERROR(VLOOKUP(A27,Input!$D$249:$I$253,6,FALSE),"")</f>
        <v>1.4999999999999999E-2</v>
      </c>
      <c r="G27" s="62">
        <f t="shared" si="0"/>
        <v>0.10201511280350491</v>
      </c>
    </row>
    <row r="28" spans="1:7" x14ac:dyDescent="0.25">
      <c r="A28" s="3" t="s">
        <v>63</v>
      </c>
      <c r="B28" s="3" t="s">
        <v>8</v>
      </c>
      <c r="C28" s="3">
        <v>2027</v>
      </c>
      <c r="D28" s="61">
        <f>INDEX(Input!$I$221:$AI$235,MATCH(A28&amp;B28,Input!$H$221:$H$239,0),MATCH(C28,Input!$I$220:$AI$220,0))</f>
        <v>4.7291487532244193E-2</v>
      </c>
      <c r="E28" s="62">
        <f>IFERROR(VLOOKUP(A28,Input!$D$241:$I$245,6,FALSE),"")</f>
        <v>3.8700000000000005E-2</v>
      </c>
      <c r="F28" s="62">
        <f>IFERROR(VLOOKUP(A28,Input!$D$249:$I$253,6,FALSE),"")</f>
        <v>1.4999999999999999E-2</v>
      </c>
      <c r="G28" s="62">
        <f t="shared" si="0"/>
        <v>0.1009914875322442</v>
      </c>
    </row>
    <row r="29" spans="1:7" x14ac:dyDescent="0.25">
      <c r="A29" s="3" t="s">
        <v>63</v>
      </c>
      <c r="B29" s="3" t="s">
        <v>8</v>
      </c>
      <c r="C29" s="3">
        <v>2028</v>
      </c>
      <c r="D29" s="61">
        <f>INDEX(Input!$I$221:$AI$235,MATCH(A29&amp;B29,Input!$H$221:$H$239,0),MATCH(C29,Input!$I$220:$AI$220,0))</f>
        <v>4.6267862260983492E-2</v>
      </c>
      <c r="E29" s="62">
        <f>IFERROR(VLOOKUP(A29,Input!$D$241:$I$245,6,FALSE),"")</f>
        <v>3.8700000000000005E-2</v>
      </c>
      <c r="F29" s="62">
        <f>IFERROR(VLOOKUP(A29,Input!$D$249:$I$253,6,FALSE),"")</f>
        <v>1.4999999999999999E-2</v>
      </c>
      <c r="G29" s="62">
        <f t="shared" si="0"/>
        <v>9.9967862260983489E-2</v>
      </c>
    </row>
    <row r="30" spans="1:7" x14ac:dyDescent="0.25">
      <c r="A30" s="3" t="s">
        <v>63</v>
      </c>
      <c r="B30" s="3" t="s">
        <v>8</v>
      </c>
      <c r="C30" s="3">
        <v>2029</v>
      </c>
      <c r="D30" s="61">
        <f>INDEX(Input!$I$221:$AI$235,MATCH(A30&amp;B30,Input!$H$221:$H$239,0),MATCH(C30,Input!$I$220:$AI$220,0))</f>
        <v>4.5244236989722804E-2</v>
      </c>
      <c r="E30" s="62">
        <f>IFERROR(VLOOKUP(A30,Input!$D$241:$I$245,6,FALSE),"")</f>
        <v>3.8700000000000005E-2</v>
      </c>
      <c r="F30" s="62">
        <f>IFERROR(VLOOKUP(A30,Input!$D$249:$I$253,6,FALSE),"")</f>
        <v>1.4999999999999999E-2</v>
      </c>
      <c r="G30" s="62">
        <f t="shared" si="0"/>
        <v>9.8944236989722809E-2</v>
      </c>
    </row>
    <row r="31" spans="1:7" x14ac:dyDescent="0.25">
      <c r="A31" s="3" t="s">
        <v>63</v>
      </c>
      <c r="B31" s="3" t="s">
        <v>8</v>
      </c>
      <c r="C31" s="3">
        <v>2030</v>
      </c>
      <c r="D31" s="61">
        <f>INDEX(Input!$I$221:$AI$235,MATCH(A31&amp;B31,Input!$H$221:$H$239,0),MATCH(C31,Input!$I$220:$AI$220,0))</f>
        <v>4.4220611718462102E-2</v>
      </c>
      <c r="E31" s="62">
        <f>IFERROR(VLOOKUP(A31,Input!$D$241:$I$245,6,FALSE),"")</f>
        <v>3.8700000000000005E-2</v>
      </c>
      <c r="F31" s="62">
        <f>IFERROR(VLOOKUP(A31,Input!$D$249:$I$253,6,FALSE),"")</f>
        <v>1.4999999999999999E-2</v>
      </c>
      <c r="G31" s="62">
        <f t="shared" si="0"/>
        <v>9.79206117184621E-2</v>
      </c>
    </row>
    <row r="32" spans="1:7" x14ac:dyDescent="0.25">
      <c r="A32" s="3" t="s">
        <v>63</v>
      </c>
      <c r="B32" s="3" t="s">
        <v>8</v>
      </c>
      <c r="C32" s="3">
        <v>2031</v>
      </c>
      <c r="D32" s="61">
        <f>INDEX(Input!$I$221:$AI$235,MATCH(A32&amp;B32,Input!$H$221:$H$239,0),MATCH(C32,Input!$I$220:$AI$220,0))</f>
        <v>4.4220611718462102E-2</v>
      </c>
      <c r="E32" s="62">
        <f>IFERROR(VLOOKUP(A32,Input!$D$241:$I$245,6,FALSE),"")</f>
        <v>3.8700000000000005E-2</v>
      </c>
      <c r="F32" s="62">
        <f>IFERROR(VLOOKUP(A32,Input!$D$249:$I$253,6,FALSE),"")</f>
        <v>1.4999999999999999E-2</v>
      </c>
      <c r="G32" s="62">
        <f t="shared" si="0"/>
        <v>9.79206117184621E-2</v>
      </c>
    </row>
    <row r="33" spans="1:7" x14ac:dyDescent="0.25">
      <c r="A33" s="3" t="s">
        <v>63</v>
      </c>
      <c r="B33" s="3" t="s">
        <v>8</v>
      </c>
      <c r="C33" s="3">
        <v>2032</v>
      </c>
      <c r="D33" s="61">
        <f>INDEX(Input!$I$221:$AI$235,MATCH(A33&amp;B33,Input!$H$221:$H$239,0),MATCH(C33,Input!$I$220:$AI$220,0))</f>
        <v>4.3667854071981323E-2</v>
      </c>
      <c r="E33" s="62">
        <f>IFERROR(VLOOKUP(A33,Input!$D$241:$I$245,6,FALSE),"")</f>
        <v>3.8700000000000005E-2</v>
      </c>
      <c r="F33" s="62">
        <f>IFERROR(VLOOKUP(A33,Input!$D$249:$I$253,6,FALSE),"")</f>
        <v>1.4999999999999999E-2</v>
      </c>
      <c r="G33" s="62">
        <f t="shared" si="0"/>
        <v>9.7367854071981327E-2</v>
      </c>
    </row>
    <row r="34" spans="1:7" x14ac:dyDescent="0.25">
      <c r="A34" s="3" t="s">
        <v>63</v>
      </c>
      <c r="B34" s="3" t="s">
        <v>8</v>
      </c>
      <c r="C34" s="3">
        <v>2033</v>
      </c>
      <c r="D34" s="61">
        <f>INDEX(Input!$I$221:$AI$235,MATCH(A34&amp;B34,Input!$H$221:$H$239,0),MATCH(C34,Input!$I$220:$AI$220,0))</f>
        <v>4.311509642550055E-2</v>
      </c>
      <c r="E34" s="62">
        <f>IFERROR(VLOOKUP(A34,Input!$D$241:$I$245,6,FALSE),"")</f>
        <v>3.8700000000000005E-2</v>
      </c>
      <c r="F34" s="62">
        <f>IFERROR(VLOOKUP(A34,Input!$D$249:$I$253,6,FALSE),"")</f>
        <v>1.4999999999999999E-2</v>
      </c>
      <c r="G34" s="62">
        <f t="shared" si="0"/>
        <v>9.6815096425500555E-2</v>
      </c>
    </row>
    <row r="35" spans="1:7" x14ac:dyDescent="0.25">
      <c r="A35" s="3" t="s">
        <v>63</v>
      </c>
      <c r="B35" s="3" t="s">
        <v>8</v>
      </c>
      <c r="C35" s="3">
        <v>2034</v>
      </c>
      <c r="D35" s="61">
        <f>INDEX(Input!$I$221:$AI$235,MATCH(A35&amp;B35,Input!$H$221:$H$239,0),MATCH(C35,Input!$I$220:$AI$220,0))</f>
        <v>4.256233877901977E-2</v>
      </c>
      <c r="E35" s="62">
        <f>IFERROR(VLOOKUP(A35,Input!$D$241:$I$245,6,FALSE),"")</f>
        <v>3.8700000000000005E-2</v>
      </c>
      <c r="F35" s="62">
        <f>IFERROR(VLOOKUP(A35,Input!$D$249:$I$253,6,FALSE),"")</f>
        <v>1.4999999999999999E-2</v>
      </c>
      <c r="G35" s="62">
        <f t="shared" si="0"/>
        <v>9.6262338779019782E-2</v>
      </c>
    </row>
    <row r="36" spans="1:7" x14ac:dyDescent="0.25">
      <c r="A36" s="3" t="s">
        <v>63</v>
      </c>
      <c r="B36" s="3" t="s">
        <v>8</v>
      </c>
      <c r="C36" s="3">
        <v>2035</v>
      </c>
      <c r="D36" s="61">
        <f>INDEX(Input!$I$221:$AI$235,MATCH(A36&amp;B36,Input!$H$221:$H$239,0),MATCH(C36,Input!$I$220:$AI$220,0))</f>
        <v>4.2009581132539005E-2</v>
      </c>
      <c r="E36" s="62">
        <f>IFERROR(VLOOKUP(A36,Input!$D$241:$I$245,6,FALSE),"")</f>
        <v>3.8700000000000005E-2</v>
      </c>
      <c r="F36" s="62">
        <f>IFERROR(VLOOKUP(A36,Input!$D$249:$I$253,6,FALSE),"")</f>
        <v>1.4999999999999999E-2</v>
      </c>
      <c r="G36" s="62">
        <f t="shared" si="0"/>
        <v>9.5709581132539009E-2</v>
      </c>
    </row>
    <row r="37" spans="1:7" x14ac:dyDescent="0.25">
      <c r="A37" s="3" t="s">
        <v>63</v>
      </c>
      <c r="B37" s="3" t="s">
        <v>8</v>
      </c>
      <c r="C37" s="3">
        <v>2036</v>
      </c>
      <c r="D37" s="61">
        <f>INDEX(Input!$I$221:$AI$235,MATCH(A37&amp;B37,Input!$H$221:$H$239,0),MATCH(C37,Input!$I$220:$AI$220,0))</f>
        <v>4.1456823486058225E-2</v>
      </c>
      <c r="E37" s="62">
        <f>IFERROR(VLOOKUP(A37,Input!$D$241:$I$245,6,FALSE),"")</f>
        <v>3.8700000000000005E-2</v>
      </c>
      <c r="F37" s="62">
        <f>IFERROR(VLOOKUP(A37,Input!$D$249:$I$253,6,FALSE),"")</f>
        <v>1.4999999999999999E-2</v>
      </c>
      <c r="G37" s="62">
        <f t="shared" si="0"/>
        <v>9.5156823486058237E-2</v>
      </c>
    </row>
    <row r="38" spans="1:7" x14ac:dyDescent="0.25">
      <c r="A38" s="3" t="s">
        <v>63</v>
      </c>
      <c r="B38" s="3" t="s">
        <v>8</v>
      </c>
      <c r="C38" s="3">
        <v>2037</v>
      </c>
      <c r="D38" s="61">
        <f>INDEX(Input!$I$221:$AI$235,MATCH(A38&amp;B38,Input!$H$221:$H$239,0),MATCH(C38,Input!$I$220:$AI$220,0))</f>
        <v>4.0904065839577446E-2</v>
      </c>
      <c r="E38" s="62">
        <f>IFERROR(VLOOKUP(A38,Input!$D$241:$I$245,6,FALSE),"")</f>
        <v>3.8700000000000005E-2</v>
      </c>
      <c r="F38" s="62">
        <f>IFERROR(VLOOKUP(A38,Input!$D$249:$I$253,6,FALSE),"")</f>
        <v>1.4999999999999999E-2</v>
      </c>
      <c r="G38" s="62">
        <f t="shared" si="0"/>
        <v>9.460406583957745E-2</v>
      </c>
    </row>
    <row r="39" spans="1:7" x14ac:dyDescent="0.25">
      <c r="A39" s="3" t="s">
        <v>63</v>
      </c>
      <c r="B39" s="3" t="s">
        <v>8</v>
      </c>
      <c r="C39" s="3">
        <v>2038</v>
      </c>
      <c r="D39" s="61">
        <f>INDEX(Input!$I$221:$AI$235,MATCH(A39&amp;B39,Input!$H$221:$H$239,0),MATCH(C39,Input!$I$220:$AI$220,0))</f>
        <v>4.0351308193096673E-2</v>
      </c>
      <c r="E39" s="62">
        <f>IFERROR(VLOOKUP(A39,Input!$D$241:$I$245,6,FALSE),"")</f>
        <v>3.8700000000000005E-2</v>
      </c>
      <c r="F39" s="62">
        <f>IFERROR(VLOOKUP(A39,Input!$D$249:$I$253,6,FALSE),"")</f>
        <v>1.4999999999999999E-2</v>
      </c>
      <c r="G39" s="62">
        <f t="shared" si="0"/>
        <v>9.4051308193096678E-2</v>
      </c>
    </row>
    <row r="40" spans="1:7" x14ac:dyDescent="0.25">
      <c r="A40" s="3" t="s">
        <v>63</v>
      </c>
      <c r="B40" s="3" t="s">
        <v>8</v>
      </c>
      <c r="C40" s="3">
        <v>2039</v>
      </c>
      <c r="D40" s="61">
        <f>INDEX(Input!$I$221:$AI$235,MATCH(A40&amp;B40,Input!$H$221:$H$239,0),MATCH(C40,Input!$I$220:$AI$220,0))</f>
        <v>3.9798550546615893E-2</v>
      </c>
      <c r="E40" s="62">
        <f>IFERROR(VLOOKUP(A40,Input!$D$241:$I$245,6,FALSE),"")</f>
        <v>3.8700000000000005E-2</v>
      </c>
      <c r="F40" s="62">
        <f>IFERROR(VLOOKUP(A40,Input!$D$249:$I$253,6,FALSE),"")</f>
        <v>1.4999999999999999E-2</v>
      </c>
      <c r="G40" s="62">
        <f t="shared" si="0"/>
        <v>9.3498550546615891E-2</v>
      </c>
    </row>
    <row r="41" spans="1:7" x14ac:dyDescent="0.25">
      <c r="A41" s="3" t="s">
        <v>63</v>
      </c>
      <c r="B41" s="3" t="s">
        <v>8</v>
      </c>
      <c r="C41" s="3">
        <v>2040</v>
      </c>
      <c r="D41" s="61">
        <f>INDEX(Input!$I$221:$AI$235,MATCH(A41&amp;B41,Input!$H$221:$H$239,0),MATCH(C41,Input!$I$220:$AI$220,0))</f>
        <v>3.8693035253654341E-2</v>
      </c>
      <c r="E41" s="62">
        <f>IFERROR(VLOOKUP(A41,Input!$D$241:$I$245,6,FALSE),"")</f>
        <v>3.8700000000000005E-2</v>
      </c>
      <c r="F41" s="62">
        <f>IFERROR(VLOOKUP(A41,Input!$D$249:$I$253,6,FALSE),"")</f>
        <v>1.4999999999999999E-2</v>
      </c>
      <c r="G41" s="62">
        <f t="shared" si="0"/>
        <v>9.2393035253654346E-2</v>
      </c>
    </row>
    <row r="42" spans="1:7" x14ac:dyDescent="0.25">
      <c r="A42" s="3" t="s">
        <v>63</v>
      </c>
      <c r="B42" s="3" t="s">
        <v>8</v>
      </c>
      <c r="C42" s="3">
        <v>2041</v>
      </c>
      <c r="D42" s="61">
        <f>INDEX(Input!$I$221:$AI$235,MATCH(A42&amp;B42,Input!$H$221:$H$239,0),MATCH(C42,Input!$I$220:$AI$220,0))</f>
        <v>3.8693035253654341E-2</v>
      </c>
      <c r="E42" s="62">
        <f>IFERROR(VLOOKUP(A42,Input!$D$241:$I$245,6,FALSE),"")</f>
        <v>3.8700000000000005E-2</v>
      </c>
      <c r="F42" s="62">
        <f>IFERROR(VLOOKUP(A42,Input!$D$249:$I$253,6,FALSE),"")</f>
        <v>1.4999999999999999E-2</v>
      </c>
      <c r="G42" s="62">
        <f t="shared" si="0"/>
        <v>9.2393035253654346E-2</v>
      </c>
    </row>
    <row r="43" spans="1:7" x14ac:dyDescent="0.25">
      <c r="A43" s="3" t="s">
        <v>63</v>
      </c>
      <c r="B43" s="3" t="s">
        <v>8</v>
      </c>
      <c r="C43" s="3">
        <v>2042</v>
      </c>
      <c r="D43" s="61">
        <f>INDEX(Input!$I$221:$AI$235,MATCH(A43&amp;B43,Input!$H$221:$H$239,0),MATCH(C43,Input!$I$220:$AI$220,0))</f>
        <v>3.8385947672276134E-2</v>
      </c>
      <c r="E43" s="62">
        <f>IFERROR(VLOOKUP(A43,Input!$D$241:$I$245,6,FALSE),"")</f>
        <v>3.8700000000000005E-2</v>
      </c>
      <c r="F43" s="62">
        <f>IFERROR(VLOOKUP(A43,Input!$D$249:$I$253,6,FALSE),"")</f>
        <v>1.4999999999999999E-2</v>
      </c>
      <c r="G43" s="62">
        <f t="shared" si="0"/>
        <v>9.2085947672276139E-2</v>
      </c>
    </row>
    <row r="44" spans="1:7" x14ac:dyDescent="0.25">
      <c r="A44" s="3" t="s">
        <v>63</v>
      </c>
      <c r="B44" s="3" t="s">
        <v>8</v>
      </c>
      <c r="C44" s="3">
        <v>2043</v>
      </c>
      <c r="D44" s="61">
        <f>INDEX(Input!$I$221:$AI$235,MATCH(A44&amp;B44,Input!$H$221:$H$239,0),MATCH(C44,Input!$I$220:$AI$220,0))</f>
        <v>3.807886009089792E-2</v>
      </c>
      <c r="E44" s="62">
        <f>IFERROR(VLOOKUP(A44,Input!$D$241:$I$245,6,FALSE),"")</f>
        <v>3.8700000000000005E-2</v>
      </c>
      <c r="F44" s="62">
        <f>IFERROR(VLOOKUP(A44,Input!$D$249:$I$253,6,FALSE),"")</f>
        <v>1.4999999999999999E-2</v>
      </c>
      <c r="G44" s="62">
        <f t="shared" si="0"/>
        <v>9.1778860090897932E-2</v>
      </c>
    </row>
    <row r="45" spans="1:7" x14ac:dyDescent="0.25">
      <c r="A45" s="3" t="s">
        <v>63</v>
      </c>
      <c r="B45" s="3" t="s">
        <v>8</v>
      </c>
      <c r="C45" s="3">
        <v>2044</v>
      </c>
      <c r="D45" s="61">
        <f>INDEX(Input!$I$221:$AI$235,MATCH(A45&amp;B45,Input!$H$221:$H$239,0),MATCH(C45,Input!$I$220:$AI$220,0))</f>
        <v>3.7771772509519713E-2</v>
      </c>
      <c r="E45" s="62">
        <f>IFERROR(VLOOKUP(A45,Input!$D$241:$I$245,6,FALSE),"")</f>
        <v>3.8700000000000005E-2</v>
      </c>
      <c r="F45" s="62">
        <f>IFERROR(VLOOKUP(A45,Input!$D$249:$I$253,6,FALSE),"")</f>
        <v>1.4999999999999999E-2</v>
      </c>
      <c r="G45" s="62">
        <f t="shared" si="0"/>
        <v>9.1471772509519725E-2</v>
      </c>
    </row>
    <row r="46" spans="1:7" x14ac:dyDescent="0.25">
      <c r="A46" s="3" t="s">
        <v>63</v>
      </c>
      <c r="B46" s="3" t="s">
        <v>8</v>
      </c>
      <c r="C46" s="3">
        <v>2045</v>
      </c>
      <c r="D46" s="61">
        <f>INDEX(Input!$I$221:$AI$235,MATCH(A46&amp;B46,Input!$H$221:$H$239,0),MATCH(C46,Input!$I$220:$AI$220,0))</f>
        <v>3.7464684928141506E-2</v>
      </c>
      <c r="E46" s="62">
        <f>IFERROR(VLOOKUP(A46,Input!$D$241:$I$245,6,FALSE),"")</f>
        <v>3.8700000000000005E-2</v>
      </c>
      <c r="F46" s="62">
        <f>IFERROR(VLOOKUP(A46,Input!$D$249:$I$253,6,FALSE),"")</f>
        <v>1.4999999999999999E-2</v>
      </c>
      <c r="G46" s="62">
        <f t="shared" si="0"/>
        <v>9.1164684928141518E-2</v>
      </c>
    </row>
    <row r="47" spans="1:7" x14ac:dyDescent="0.25">
      <c r="A47" s="3" t="s">
        <v>63</v>
      </c>
      <c r="B47" s="3" t="s">
        <v>8</v>
      </c>
      <c r="C47" s="3">
        <v>2046</v>
      </c>
      <c r="D47" s="61">
        <f>INDEX(Input!$I$221:$AI$235,MATCH(A47&amp;B47,Input!$H$221:$H$239,0),MATCH(C47,Input!$I$220:$AI$220,0))</f>
        <v>3.7157597346763299E-2</v>
      </c>
      <c r="E47" s="62">
        <f>IFERROR(VLOOKUP(A47,Input!$D$241:$I$245,6,FALSE),"")</f>
        <v>3.8700000000000005E-2</v>
      </c>
      <c r="F47" s="62">
        <f>IFERROR(VLOOKUP(A47,Input!$D$249:$I$253,6,FALSE),"")</f>
        <v>1.4999999999999999E-2</v>
      </c>
      <c r="G47" s="62">
        <f t="shared" si="0"/>
        <v>9.0857597346763311E-2</v>
      </c>
    </row>
    <row r="48" spans="1:7" x14ac:dyDescent="0.25">
      <c r="A48" s="3" t="s">
        <v>63</v>
      </c>
      <c r="B48" s="3" t="s">
        <v>8</v>
      </c>
      <c r="C48" s="3">
        <v>2047</v>
      </c>
      <c r="D48" s="61">
        <f>INDEX(Input!$I$221:$AI$235,MATCH(A48&amp;B48,Input!$H$221:$H$239,0),MATCH(C48,Input!$I$220:$AI$220,0))</f>
        <v>3.6850509765385085E-2</v>
      </c>
      <c r="E48" s="62">
        <f>IFERROR(VLOOKUP(A48,Input!$D$241:$I$245,6,FALSE),"")</f>
        <v>3.8700000000000005E-2</v>
      </c>
      <c r="F48" s="62">
        <f>IFERROR(VLOOKUP(A48,Input!$D$249:$I$253,6,FALSE),"")</f>
        <v>1.4999999999999999E-2</v>
      </c>
      <c r="G48" s="62">
        <f t="shared" si="0"/>
        <v>9.055050976538509E-2</v>
      </c>
    </row>
    <row r="49" spans="1:7" x14ac:dyDescent="0.25">
      <c r="A49" s="3" t="s">
        <v>63</v>
      </c>
      <c r="B49" s="3" t="s">
        <v>8</v>
      </c>
      <c r="C49" s="3">
        <v>2048</v>
      </c>
      <c r="D49" s="61">
        <f>INDEX(Input!$I$221:$AI$235,MATCH(A49&amp;B49,Input!$H$221:$H$239,0),MATCH(C49,Input!$I$220:$AI$220,0))</f>
        <v>3.6543422184006878E-2</v>
      </c>
      <c r="E49" s="62">
        <f>IFERROR(VLOOKUP(A49,Input!$D$241:$I$245,6,FALSE),"")</f>
        <v>3.8700000000000005E-2</v>
      </c>
      <c r="F49" s="62">
        <f>IFERROR(VLOOKUP(A49,Input!$D$249:$I$253,6,FALSE),"")</f>
        <v>1.4999999999999999E-2</v>
      </c>
      <c r="G49" s="62">
        <f t="shared" si="0"/>
        <v>9.0243422184006883E-2</v>
      </c>
    </row>
    <row r="50" spans="1:7" x14ac:dyDescent="0.25">
      <c r="A50" s="3" t="s">
        <v>63</v>
      </c>
      <c r="B50" s="3" t="s">
        <v>8</v>
      </c>
      <c r="C50" s="3">
        <v>2049</v>
      </c>
      <c r="D50" s="61">
        <f>INDEX(Input!$I$221:$AI$235,MATCH(A50&amp;B50,Input!$H$221:$H$239,0),MATCH(C50,Input!$I$220:$AI$220,0))</f>
        <v>3.6236334602628671E-2</v>
      </c>
      <c r="E50" s="62">
        <f>IFERROR(VLOOKUP(A50,Input!$D$241:$I$245,6,FALSE),"")</f>
        <v>3.8700000000000005E-2</v>
      </c>
      <c r="F50" s="62">
        <f>IFERROR(VLOOKUP(A50,Input!$D$249:$I$253,6,FALSE),"")</f>
        <v>1.4999999999999999E-2</v>
      </c>
      <c r="G50" s="62">
        <f t="shared" si="0"/>
        <v>8.9936334602628676E-2</v>
      </c>
    </row>
    <row r="51" spans="1:7" x14ac:dyDescent="0.25">
      <c r="A51" s="3" t="s">
        <v>63</v>
      </c>
      <c r="B51" s="3" t="s">
        <v>8</v>
      </c>
      <c r="C51" s="3">
        <v>2050</v>
      </c>
      <c r="D51" s="61">
        <f>INDEX(Input!$I$221:$AI$235,MATCH(A51&amp;B51,Input!$H$221:$H$239,0),MATCH(C51,Input!$I$220:$AI$220,0))</f>
        <v>3.562215943987225E-2</v>
      </c>
      <c r="E51" s="62">
        <f>IFERROR(VLOOKUP(A51,Input!$D$241:$I$245,6,FALSE),"")</f>
        <v>3.8700000000000005E-2</v>
      </c>
      <c r="F51" s="62">
        <f>IFERROR(VLOOKUP(A51,Input!$D$249:$I$253,6,FALSE),"")</f>
        <v>1.4999999999999999E-2</v>
      </c>
      <c r="G51" s="62">
        <f t="shared" si="0"/>
        <v>8.9322159439872248E-2</v>
      </c>
    </row>
    <row r="52" spans="1:7" x14ac:dyDescent="0.25">
      <c r="A52" s="3" t="s">
        <v>63</v>
      </c>
      <c r="B52" s="3" t="s">
        <v>66</v>
      </c>
      <c r="C52" s="3">
        <v>2024</v>
      </c>
      <c r="D52" s="61">
        <f>INDEX(Input!$I$221:$AI$235,MATCH(A52&amp;B52,Input!$H$221:$H$239,0),MATCH(C52,Input!$I$220:$AI$220,0))</f>
        <v>5.0362363346026284E-2</v>
      </c>
      <c r="E52" s="62">
        <f>IFERROR(VLOOKUP(A52,Input!$D$241:$I$245,6,FALSE),"")</f>
        <v>3.8700000000000005E-2</v>
      </c>
      <c r="F52" s="62">
        <f>IFERROR(VLOOKUP(A52,Input!$D$249:$I$253,6,FALSE),"")</f>
        <v>1.4999999999999999E-2</v>
      </c>
      <c r="G52" s="62">
        <f t="shared" si="0"/>
        <v>0.1040623633460263</v>
      </c>
    </row>
    <row r="53" spans="1:7" x14ac:dyDescent="0.25">
      <c r="A53" s="3" t="s">
        <v>63</v>
      </c>
      <c r="B53" s="3" t="s">
        <v>66</v>
      </c>
      <c r="C53" s="3">
        <v>2025</v>
      </c>
      <c r="D53" s="61">
        <f>INDEX(Input!$I$221:$AI$235,MATCH(A53&amp;B53,Input!$H$221:$H$239,0),MATCH(C53,Input!$I$220:$AI$220,0))</f>
        <v>4.6267862260983506E-2</v>
      </c>
      <c r="E53" s="62">
        <f>IFERROR(VLOOKUP(A53,Input!$D$241:$I$245,6,FALSE),"")</f>
        <v>3.8700000000000005E-2</v>
      </c>
      <c r="F53" s="62">
        <f>IFERROR(VLOOKUP(A53,Input!$D$249:$I$253,6,FALSE),"")</f>
        <v>1.4999999999999999E-2</v>
      </c>
      <c r="G53" s="62">
        <f t="shared" si="0"/>
        <v>9.9967862260983517E-2</v>
      </c>
    </row>
    <row r="54" spans="1:7" x14ac:dyDescent="0.25">
      <c r="A54" s="3" t="s">
        <v>63</v>
      </c>
      <c r="B54" s="3" t="s">
        <v>66</v>
      </c>
      <c r="C54" s="3">
        <v>2026</v>
      </c>
      <c r="D54" s="61">
        <f>INDEX(Input!$I$221:$AI$235,MATCH(A54&amp;B54,Input!$H$221:$H$239,0),MATCH(C54,Input!$I$220:$AI$220,0))</f>
        <v>4.2173361175940713E-2</v>
      </c>
      <c r="E54" s="62">
        <f>IFERROR(VLOOKUP(A54,Input!$D$241:$I$245,6,FALSE),"")</f>
        <v>3.8700000000000005E-2</v>
      </c>
      <c r="F54" s="62">
        <f>IFERROR(VLOOKUP(A54,Input!$D$249:$I$253,6,FALSE),"")</f>
        <v>1.4999999999999999E-2</v>
      </c>
      <c r="G54" s="62">
        <f t="shared" si="0"/>
        <v>9.5873361175940711E-2</v>
      </c>
    </row>
    <row r="55" spans="1:7" x14ac:dyDescent="0.25">
      <c r="A55" s="3" t="s">
        <v>63</v>
      </c>
      <c r="B55" s="3" t="s">
        <v>66</v>
      </c>
      <c r="C55" s="3">
        <v>2027</v>
      </c>
      <c r="D55" s="61">
        <f>INDEX(Input!$I$221:$AI$235,MATCH(A55&amp;B55,Input!$H$221:$H$239,0),MATCH(C55,Input!$I$220:$AI$220,0))</f>
        <v>3.807886009089792E-2</v>
      </c>
      <c r="E55" s="62">
        <f>IFERROR(VLOOKUP(A55,Input!$D$241:$I$245,6,FALSE),"")</f>
        <v>3.8700000000000005E-2</v>
      </c>
      <c r="F55" s="62">
        <f>IFERROR(VLOOKUP(A55,Input!$D$249:$I$253,6,FALSE),"")</f>
        <v>1.4999999999999999E-2</v>
      </c>
      <c r="G55" s="62">
        <f t="shared" si="0"/>
        <v>9.1778860090897932E-2</v>
      </c>
    </row>
    <row r="56" spans="1:7" x14ac:dyDescent="0.25">
      <c r="A56" s="3" t="s">
        <v>63</v>
      </c>
      <c r="B56" s="3" t="s">
        <v>66</v>
      </c>
      <c r="C56" s="3">
        <v>2028</v>
      </c>
      <c r="D56" s="61">
        <f>INDEX(Input!$I$221:$AI$235,MATCH(A56&amp;B56,Input!$H$221:$H$239,0),MATCH(C56,Input!$I$220:$AI$220,0))</f>
        <v>3.3984359005855135E-2</v>
      </c>
      <c r="E56" s="62">
        <f>IFERROR(VLOOKUP(A56,Input!$D$241:$I$245,6,FALSE),"")</f>
        <v>3.8700000000000005E-2</v>
      </c>
      <c r="F56" s="62">
        <f>IFERROR(VLOOKUP(A56,Input!$D$249:$I$253,6,FALSE),"")</f>
        <v>1.4999999999999999E-2</v>
      </c>
      <c r="G56" s="62">
        <f t="shared" si="0"/>
        <v>8.7684359005855139E-2</v>
      </c>
    </row>
    <row r="57" spans="1:7" x14ac:dyDescent="0.25">
      <c r="A57" s="3" t="s">
        <v>63</v>
      </c>
      <c r="B57" s="3" t="s">
        <v>66</v>
      </c>
      <c r="C57" s="3">
        <v>2029</v>
      </c>
      <c r="D57" s="61">
        <f>INDEX(Input!$I$221:$AI$235,MATCH(A57&amp;B57,Input!$H$221:$H$239,0),MATCH(C57,Input!$I$220:$AI$220,0))</f>
        <v>2.9889857920812345E-2</v>
      </c>
      <c r="E57" s="62">
        <f>IFERROR(VLOOKUP(A57,Input!$D$241:$I$245,6,FALSE),"")</f>
        <v>3.8700000000000005E-2</v>
      </c>
      <c r="F57" s="62">
        <f>IFERROR(VLOOKUP(A57,Input!$D$249:$I$253,6,FALSE),"")</f>
        <v>1.4999999999999999E-2</v>
      </c>
      <c r="G57" s="62">
        <f t="shared" si="0"/>
        <v>8.3589857920812347E-2</v>
      </c>
    </row>
    <row r="58" spans="1:7" x14ac:dyDescent="0.25">
      <c r="A58" s="3" t="s">
        <v>63</v>
      </c>
      <c r="B58" s="3" t="s">
        <v>66</v>
      </c>
      <c r="C58" s="3">
        <v>2030</v>
      </c>
      <c r="D58" s="61">
        <f>INDEX(Input!$I$221:$AI$235,MATCH(A58&amp;B58,Input!$H$221:$H$239,0),MATCH(C58,Input!$I$220:$AI$220,0))</f>
        <v>2.579535683576956E-2</v>
      </c>
      <c r="E58" s="62">
        <f>IFERROR(VLOOKUP(A58,Input!$D$241:$I$245,6,FALSE),"")</f>
        <v>3.8700000000000005E-2</v>
      </c>
      <c r="F58" s="62">
        <f>IFERROR(VLOOKUP(A58,Input!$D$249:$I$253,6,FALSE),"")</f>
        <v>1.4999999999999999E-2</v>
      </c>
      <c r="G58" s="62">
        <f t="shared" si="0"/>
        <v>7.9495356835769568E-2</v>
      </c>
    </row>
    <row r="59" spans="1:7" x14ac:dyDescent="0.25">
      <c r="A59" s="3" t="s">
        <v>63</v>
      </c>
      <c r="B59" s="3" t="s">
        <v>66</v>
      </c>
      <c r="C59" s="3">
        <v>2031</v>
      </c>
      <c r="D59" s="61">
        <f>INDEX(Input!$I$221:$AI$235,MATCH(A59&amp;B59,Input!$H$221:$H$239,0),MATCH(C59,Input!$I$220:$AI$220,0))</f>
        <v>2.579535683576956E-2</v>
      </c>
      <c r="E59" s="62">
        <f>IFERROR(VLOOKUP(A59,Input!$D$241:$I$245,6,FALSE),"")</f>
        <v>3.8700000000000005E-2</v>
      </c>
      <c r="F59" s="62">
        <f>IFERROR(VLOOKUP(A59,Input!$D$249:$I$253,6,FALSE),"")</f>
        <v>1.4999999999999999E-2</v>
      </c>
      <c r="G59" s="62">
        <f t="shared" si="0"/>
        <v>7.9495356835769568E-2</v>
      </c>
    </row>
    <row r="60" spans="1:7" x14ac:dyDescent="0.25">
      <c r="A60" s="3" t="s">
        <v>63</v>
      </c>
      <c r="B60" s="3" t="s">
        <v>66</v>
      </c>
      <c r="C60" s="3">
        <v>2032</v>
      </c>
      <c r="D60" s="61">
        <f>INDEX(Input!$I$221:$AI$235,MATCH(A60&amp;B60,Input!$H$221:$H$239,0),MATCH(C60,Input!$I$220:$AI$220,0))</f>
        <v>2.5058346640461856E-2</v>
      </c>
      <c r="E60" s="62">
        <f>IFERROR(VLOOKUP(A60,Input!$D$241:$I$245,6,FALSE),"")</f>
        <v>3.8700000000000005E-2</v>
      </c>
      <c r="F60" s="62">
        <f>IFERROR(VLOOKUP(A60,Input!$D$249:$I$253,6,FALSE),"")</f>
        <v>1.4999999999999999E-2</v>
      </c>
      <c r="G60" s="62">
        <f t="shared" si="0"/>
        <v>7.8758346640461857E-2</v>
      </c>
    </row>
    <row r="61" spans="1:7" x14ac:dyDescent="0.25">
      <c r="A61" s="3" t="s">
        <v>63</v>
      </c>
      <c r="B61" s="3" t="s">
        <v>66</v>
      </c>
      <c r="C61" s="3">
        <v>2033</v>
      </c>
      <c r="D61" s="61">
        <f>INDEX(Input!$I$221:$AI$235,MATCH(A61&amp;B61,Input!$H$221:$H$239,0),MATCH(C61,Input!$I$220:$AI$220,0))</f>
        <v>2.4321336445154159E-2</v>
      </c>
      <c r="E61" s="62">
        <f>IFERROR(VLOOKUP(A61,Input!$D$241:$I$245,6,FALSE),"")</f>
        <v>3.8700000000000005E-2</v>
      </c>
      <c r="F61" s="62">
        <f>IFERROR(VLOOKUP(A61,Input!$D$249:$I$253,6,FALSE),"")</f>
        <v>1.4999999999999999E-2</v>
      </c>
      <c r="G61" s="62">
        <f t="shared" si="0"/>
        <v>7.802133644515416E-2</v>
      </c>
    </row>
    <row r="62" spans="1:7" x14ac:dyDescent="0.25">
      <c r="A62" s="3" t="s">
        <v>63</v>
      </c>
      <c r="B62" s="3" t="s">
        <v>66</v>
      </c>
      <c r="C62" s="3">
        <v>2034</v>
      </c>
      <c r="D62" s="61">
        <f>INDEX(Input!$I$221:$AI$235,MATCH(A62&amp;B62,Input!$H$221:$H$239,0),MATCH(C62,Input!$I$220:$AI$220,0))</f>
        <v>2.3584326249846455E-2</v>
      </c>
      <c r="E62" s="62">
        <f>IFERROR(VLOOKUP(A62,Input!$D$241:$I$245,6,FALSE),"")</f>
        <v>3.8700000000000005E-2</v>
      </c>
      <c r="F62" s="62">
        <f>IFERROR(VLOOKUP(A62,Input!$D$249:$I$253,6,FALSE),"")</f>
        <v>1.4999999999999999E-2</v>
      </c>
      <c r="G62" s="62">
        <f t="shared" si="0"/>
        <v>7.7284326249846463E-2</v>
      </c>
    </row>
    <row r="63" spans="1:7" x14ac:dyDescent="0.25">
      <c r="A63" s="3" t="s">
        <v>63</v>
      </c>
      <c r="B63" s="3" t="s">
        <v>66</v>
      </c>
      <c r="C63" s="3">
        <v>2035</v>
      </c>
      <c r="D63" s="61">
        <f>INDEX(Input!$I$221:$AI$235,MATCH(A63&amp;B63,Input!$H$221:$H$239,0),MATCH(C63,Input!$I$220:$AI$220,0))</f>
        <v>2.2847316054538755E-2</v>
      </c>
      <c r="E63" s="62">
        <f>IFERROR(VLOOKUP(A63,Input!$D$241:$I$245,6,FALSE),"")</f>
        <v>3.8700000000000005E-2</v>
      </c>
      <c r="F63" s="62">
        <f>IFERROR(VLOOKUP(A63,Input!$D$249:$I$253,6,FALSE),"")</f>
        <v>1.4999999999999999E-2</v>
      </c>
      <c r="G63" s="62">
        <f t="shared" si="0"/>
        <v>7.6547316054538767E-2</v>
      </c>
    </row>
    <row r="64" spans="1:7" x14ac:dyDescent="0.25">
      <c r="A64" s="3" t="s">
        <v>63</v>
      </c>
      <c r="B64" s="3" t="s">
        <v>66</v>
      </c>
      <c r="C64" s="3">
        <v>2036</v>
      </c>
      <c r="D64" s="61">
        <f>INDEX(Input!$I$221:$AI$235,MATCH(A64&amp;B64,Input!$H$221:$H$239,0),MATCH(C64,Input!$I$220:$AI$220,0))</f>
        <v>2.2110305859231051E-2</v>
      </c>
      <c r="E64" s="62">
        <f>IFERROR(VLOOKUP(A64,Input!$D$241:$I$245,6,FALSE),"")</f>
        <v>3.8700000000000005E-2</v>
      </c>
      <c r="F64" s="62">
        <f>IFERROR(VLOOKUP(A64,Input!$D$249:$I$253,6,FALSE),"")</f>
        <v>1.4999999999999999E-2</v>
      </c>
      <c r="G64" s="62">
        <f t="shared" si="0"/>
        <v>7.5810305859231056E-2</v>
      </c>
    </row>
    <row r="65" spans="1:7" x14ac:dyDescent="0.25">
      <c r="A65" s="3" t="s">
        <v>63</v>
      </c>
      <c r="B65" s="3" t="s">
        <v>66</v>
      </c>
      <c r="C65" s="3">
        <v>2037</v>
      </c>
      <c r="D65" s="61">
        <f>INDEX(Input!$I$221:$AI$235,MATCH(A65&amp;B65,Input!$H$221:$H$239,0),MATCH(C65,Input!$I$220:$AI$220,0))</f>
        <v>2.1373295663923347E-2</v>
      </c>
      <c r="E65" s="62">
        <f>IFERROR(VLOOKUP(A65,Input!$D$241:$I$245,6,FALSE),"")</f>
        <v>3.8700000000000005E-2</v>
      </c>
      <c r="F65" s="62">
        <f>IFERROR(VLOOKUP(A65,Input!$D$249:$I$253,6,FALSE),"")</f>
        <v>1.4999999999999999E-2</v>
      </c>
      <c r="G65" s="62">
        <f t="shared" si="0"/>
        <v>7.5073295663923345E-2</v>
      </c>
    </row>
    <row r="66" spans="1:7" x14ac:dyDescent="0.25">
      <c r="A66" s="3" t="s">
        <v>63</v>
      </c>
      <c r="B66" s="3" t="s">
        <v>66</v>
      </c>
      <c r="C66" s="3">
        <v>2038</v>
      </c>
      <c r="D66" s="61">
        <f>INDEX(Input!$I$221:$AI$235,MATCH(A66&amp;B66,Input!$H$221:$H$239,0),MATCH(C66,Input!$I$220:$AI$220,0))</f>
        <v>2.063628546861565E-2</v>
      </c>
      <c r="E66" s="62">
        <f>IFERROR(VLOOKUP(A66,Input!$D$241:$I$245,6,FALSE),"")</f>
        <v>3.8700000000000005E-2</v>
      </c>
      <c r="F66" s="62">
        <f>IFERROR(VLOOKUP(A66,Input!$D$249:$I$253,6,FALSE),"")</f>
        <v>1.4999999999999999E-2</v>
      </c>
      <c r="G66" s="62">
        <f t="shared" si="0"/>
        <v>7.4336285468615648E-2</v>
      </c>
    </row>
    <row r="67" spans="1:7" x14ac:dyDescent="0.25">
      <c r="A67" s="3" t="s">
        <v>63</v>
      </c>
      <c r="B67" s="3" t="s">
        <v>66</v>
      </c>
      <c r="C67" s="3">
        <v>2039</v>
      </c>
      <c r="D67" s="61">
        <f>INDEX(Input!$I$221:$AI$235,MATCH(A67&amp;B67,Input!$H$221:$H$239,0),MATCH(C67,Input!$I$220:$AI$220,0))</f>
        <v>1.9899275273307947E-2</v>
      </c>
      <c r="E67" s="62">
        <f>IFERROR(VLOOKUP(A67,Input!$D$241:$I$245,6,FALSE),"")</f>
        <v>3.8700000000000005E-2</v>
      </c>
      <c r="F67" s="62">
        <f>IFERROR(VLOOKUP(A67,Input!$D$249:$I$253,6,FALSE),"")</f>
        <v>1.4999999999999999E-2</v>
      </c>
      <c r="G67" s="62">
        <f t="shared" ref="G67:G130" si="1">IFERROR(D67+E67+F67,"")</f>
        <v>7.3599275273307951E-2</v>
      </c>
    </row>
    <row r="68" spans="1:7" x14ac:dyDescent="0.25">
      <c r="A68" s="3" t="s">
        <v>63</v>
      </c>
      <c r="B68" s="3" t="s">
        <v>66</v>
      </c>
      <c r="C68" s="3">
        <v>2040</v>
      </c>
      <c r="D68" s="61">
        <f>INDEX(Input!$I$221:$AI$235,MATCH(A68&amp;B68,Input!$H$221:$H$239,0),MATCH(C68,Input!$I$220:$AI$220,0))</f>
        <v>1.8425254882692543E-2</v>
      </c>
      <c r="E68" s="62">
        <f>IFERROR(VLOOKUP(A68,Input!$D$241:$I$245,6,FALSE),"")</f>
        <v>3.8700000000000005E-2</v>
      </c>
      <c r="F68" s="62">
        <f>IFERROR(VLOOKUP(A68,Input!$D$249:$I$253,6,FALSE),"")</f>
        <v>1.4999999999999999E-2</v>
      </c>
      <c r="G68" s="62">
        <f t="shared" si="1"/>
        <v>7.2125254882692544E-2</v>
      </c>
    </row>
    <row r="69" spans="1:7" x14ac:dyDescent="0.25">
      <c r="A69" s="3" t="s">
        <v>63</v>
      </c>
      <c r="B69" s="3" t="s">
        <v>66</v>
      </c>
      <c r="C69" s="3">
        <v>2041</v>
      </c>
      <c r="D69" s="61">
        <f>INDEX(Input!$I$221:$AI$235,MATCH(A69&amp;B69,Input!$H$221:$H$239,0),MATCH(C69,Input!$I$220:$AI$220,0))</f>
        <v>1.8425254882692543E-2</v>
      </c>
      <c r="E69" s="62">
        <f>IFERROR(VLOOKUP(A69,Input!$D$241:$I$245,6,FALSE),"")</f>
        <v>3.8700000000000005E-2</v>
      </c>
      <c r="F69" s="62">
        <f>IFERROR(VLOOKUP(A69,Input!$D$249:$I$253,6,FALSE),"")</f>
        <v>1.4999999999999999E-2</v>
      </c>
      <c r="G69" s="62">
        <f t="shared" si="1"/>
        <v>7.2125254882692544E-2</v>
      </c>
    </row>
    <row r="70" spans="1:7" x14ac:dyDescent="0.25">
      <c r="A70" s="3" t="s">
        <v>63</v>
      </c>
      <c r="B70" s="3" t="s">
        <v>66</v>
      </c>
      <c r="C70" s="3">
        <v>2042</v>
      </c>
      <c r="D70" s="61">
        <f>INDEX(Input!$I$221:$AI$235,MATCH(A70&amp;B70,Input!$H$221:$H$239,0),MATCH(C70,Input!$I$220:$AI$220,0))</f>
        <v>1.8118167301314336E-2</v>
      </c>
      <c r="E70" s="62">
        <f>IFERROR(VLOOKUP(A70,Input!$D$241:$I$245,6,FALSE),"")</f>
        <v>3.8700000000000005E-2</v>
      </c>
      <c r="F70" s="62">
        <f>IFERROR(VLOOKUP(A70,Input!$D$249:$I$253,6,FALSE),"")</f>
        <v>1.4999999999999999E-2</v>
      </c>
      <c r="G70" s="62">
        <f t="shared" si="1"/>
        <v>7.1818167301314337E-2</v>
      </c>
    </row>
    <row r="71" spans="1:7" x14ac:dyDescent="0.25">
      <c r="A71" s="3" t="s">
        <v>63</v>
      </c>
      <c r="B71" s="3" t="s">
        <v>66</v>
      </c>
      <c r="C71" s="3">
        <v>2043</v>
      </c>
      <c r="D71" s="61">
        <f>INDEX(Input!$I$221:$AI$235,MATCH(A71&amp;B71,Input!$H$221:$H$239,0),MATCH(C71,Input!$I$220:$AI$220,0))</f>
        <v>1.7811079719936125E-2</v>
      </c>
      <c r="E71" s="62">
        <f>IFERROR(VLOOKUP(A71,Input!$D$241:$I$245,6,FALSE),"")</f>
        <v>3.8700000000000005E-2</v>
      </c>
      <c r="F71" s="62">
        <f>IFERROR(VLOOKUP(A71,Input!$D$249:$I$253,6,FALSE),"")</f>
        <v>1.4999999999999999E-2</v>
      </c>
      <c r="G71" s="62">
        <f t="shared" si="1"/>
        <v>7.151107971993613E-2</v>
      </c>
    </row>
    <row r="72" spans="1:7" x14ac:dyDescent="0.25">
      <c r="A72" s="3" t="s">
        <v>63</v>
      </c>
      <c r="B72" s="3" t="s">
        <v>66</v>
      </c>
      <c r="C72" s="3">
        <v>2044</v>
      </c>
      <c r="D72" s="61">
        <f>INDEX(Input!$I$221:$AI$235,MATCH(A72&amp;B72,Input!$H$221:$H$239,0),MATCH(C72,Input!$I$220:$AI$220,0))</f>
        <v>1.7503992138557915E-2</v>
      </c>
      <c r="E72" s="62">
        <f>IFERROR(VLOOKUP(A72,Input!$D$241:$I$245,6,FALSE),"")</f>
        <v>3.8700000000000005E-2</v>
      </c>
      <c r="F72" s="62">
        <f>IFERROR(VLOOKUP(A72,Input!$D$249:$I$253,6,FALSE),"")</f>
        <v>1.4999999999999999E-2</v>
      </c>
      <c r="G72" s="62">
        <f t="shared" si="1"/>
        <v>7.1203992138557923E-2</v>
      </c>
    </row>
    <row r="73" spans="1:7" x14ac:dyDescent="0.25">
      <c r="A73" s="3" t="s">
        <v>63</v>
      </c>
      <c r="B73" s="3" t="s">
        <v>66</v>
      </c>
      <c r="C73" s="3">
        <v>2045</v>
      </c>
      <c r="D73" s="61">
        <f>INDEX(Input!$I$221:$AI$235,MATCH(A73&amp;B73,Input!$H$221:$H$239,0),MATCH(C73,Input!$I$220:$AI$220,0))</f>
        <v>1.7196904557179708E-2</v>
      </c>
      <c r="E73" s="62">
        <f>IFERROR(VLOOKUP(A73,Input!$D$241:$I$245,6,FALSE),"")</f>
        <v>3.8700000000000005E-2</v>
      </c>
      <c r="F73" s="62">
        <f>IFERROR(VLOOKUP(A73,Input!$D$249:$I$253,6,FALSE),"")</f>
        <v>1.4999999999999999E-2</v>
      </c>
      <c r="G73" s="62">
        <f t="shared" si="1"/>
        <v>7.0896904557179716E-2</v>
      </c>
    </row>
    <row r="74" spans="1:7" x14ac:dyDescent="0.25">
      <c r="A74" s="3" t="s">
        <v>63</v>
      </c>
      <c r="B74" s="3" t="s">
        <v>66</v>
      </c>
      <c r="C74" s="3">
        <v>2046</v>
      </c>
      <c r="D74" s="61">
        <f>INDEX(Input!$I$221:$AI$235,MATCH(A74&amp;B74,Input!$H$221:$H$239,0),MATCH(C74,Input!$I$220:$AI$220,0))</f>
        <v>1.6889816975801497E-2</v>
      </c>
      <c r="E74" s="62">
        <f>IFERROR(VLOOKUP(A74,Input!$D$241:$I$245,6,FALSE),"")</f>
        <v>3.8700000000000005E-2</v>
      </c>
      <c r="F74" s="62">
        <f>IFERROR(VLOOKUP(A74,Input!$D$249:$I$253,6,FALSE),"")</f>
        <v>1.4999999999999999E-2</v>
      </c>
      <c r="G74" s="62">
        <f t="shared" si="1"/>
        <v>7.0589816975801495E-2</v>
      </c>
    </row>
    <row r="75" spans="1:7" x14ac:dyDescent="0.25">
      <c r="A75" s="3" t="s">
        <v>63</v>
      </c>
      <c r="B75" s="3" t="s">
        <v>66</v>
      </c>
      <c r="C75" s="3">
        <v>2047</v>
      </c>
      <c r="D75" s="61">
        <f>INDEX(Input!$I$221:$AI$235,MATCH(A75&amp;B75,Input!$H$221:$H$239,0),MATCH(C75,Input!$I$220:$AI$220,0))</f>
        <v>1.658272939442329E-2</v>
      </c>
      <c r="E75" s="62">
        <f>IFERROR(VLOOKUP(A75,Input!$D$241:$I$245,6,FALSE),"")</f>
        <v>3.8700000000000005E-2</v>
      </c>
      <c r="F75" s="62">
        <f>IFERROR(VLOOKUP(A75,Input!$D$249:$I$253,6,FALSE),"")</f>
        <v>1.4999999999999999E-2</v>
      </c>
      <c r="G75" s="62">
        <f t="shared" si="1"/>
        <v>7.0282729394423288E-2</v>
      </c>
    </row>
    <row r="76" spans="1:7" x14ac:dyDescent="0.25">
      <c r="A76" s="3" t="s">
        <v>63</v>
      </c>
      <c r="B76" s="3" t="s">
        <v>66</v>
      </c>
      <c r="C76" s="3">
        <v>2048</v>
      </c>
      <c r="D76" s="61">
        <f>INDEX(Input!$I$221:$AI$235,MATCH(A76&amp;B76,Input!$H$221:$H$239,0),MATCH(C76,Input!$I$220:$AI$220,0))</f>
        <v>1.627564181304508E-2</v>
      </c>
      <c r="E76" s="62">
        <f>IFERROR(VLOOKUP(A76,Input!$D$241:$I$245,6,FALSE),"")</f>
        <v>3.8700000000000005E-2</v>
      </c>
      <c r="F76" s="62">
        <f>IFERROR(VLOOKUP(A76,Input!$D$249:$I$253,6,FALSE),"")</f>
        <v>1.4999999999999999E-2</v>
      </c>
      <c r="G76" s="62">
        <f t="shared" si="1"/>
        <v>6.9975641813045081E-2</v>
      </c>
    </row>
    <row r="77" spans="1:7" x14ac:dyDescent="0.25">
      <c r="A77" s="3" t="s">
        <v>63</v>
      </c>
      <c r="B77" s="3" t="s">
        <v>66</v>
      </c>
      <c r="C77" s="3">
        <v>2049</v>
      </c>
      <c r="D77" s="61">
        <f>INDEX(Input!$I$221:$AI$235,MATCH(A77&amp;B77,Input!$H$221:$H$239,0),MATCH(C77,Input!$I$220:$AI$220,0))</f>
        <v>1.5968554231666873E-2</v>
      </c>
      <c r="E77" s="62">
        <f>IFERROR(VLOOKUP(A77,Input!$D$241:$I$245,6,FALSE),"")</f>
        <v>3.8700000000000005E-2</v>
      </c>
      <c r="F77" s="62">
        <f>IFERROR(VLOOKUP(A77,Input!$D$249:$I$253,6,FALSE),"")</f>
        <v>1.4999999999999999E-2</v>
      </c>
      <c r="G77" s="62">
        <f t="shared" si="1"/>
        <v>6.9668554231666874E-2</v>
      </c>
    </row>
    <row r="78" spans="1:7" x14ac:dyDescent="0.25">
      <c r="A78" s="3" t="s">
        <v>63</v>
      </c>
      <c r="B78" s="3" t="s">
        <v>66</v>
      </c>
      <c r="C78" s="3">
        <v>2050</v>
      </c>
      <c r="D78" s="61">
        <f>INDEX(Input!$I$221:$AI$235,MATCH(A78&amp;B78,Input!$H$221:$H$239,0),MATCH(C78,Input!$I$220:$AI$220,0))</f>
        <v>1.5354379068910453E-2</v>
      </c>
      <c r="E78" s="62">
        <f>IFERROR(VLOOKUP(A78,Input!$D$241:$I$245,6,FALSE),"")</f>
        <v>3.8700000000000005E-2</v>
      </c>
      <c r="F78" s="62">
        <f>IFERROR(VLOOKUP(A78,Input!$D$249:$I$253,6,FALSE),"")</f>
        <v>1.4999999999999999E-2</v>
      </c>
      <c r="G78" s="62">
        <f t="shared" si="1"/>
        <v>6.905437906891046E-2</v>
      </c>
    </row>
    <row r="79" spans="1:7" x14ac:dyDescent="0.25">
      <c r="A79" s="3" t="s">
        <v>25</v>
      </c>
      <c r="B79" s="3" t="s">
        <v>65</v>
      </c>
      <c r="C79" s="3">
        <v>2024</v>
      </c>
      <c r="D79" s="61">
        <f>INDEX(Input!$I$221:$AI$235,MATCH(A79&amp;B79,Input!$H$221:$H$239,0),MATCH(C79,Input!$I$220:$AI$220,0))</f>
        <v>4.1296928327645047E-2</v>
      </c>
      <c r="E79" s="62">
        <f>IFERROR(VLOOKUP(A79,Input!$D$241:$I$245,6,FALSE),"")</f>
        <v>3.8700000000000005E-2</v>
      </c>
      <c r="F79" s="62">
        <f>IFERROR(VLOOKUP(A79,Input!$D$249:$I$253,6,FALSE),"")</f>
        <v>4.1269841269841276E-2</v>
      </c>
      <c r="G79" s="62">
        <f t="shared" si="1"/>
        <v>0.12126676959748632</v>
      </c>
    </row>
    <row r="80" spans="1:7" x14ac:dyDescent="0.25">
      <c r="A80" s="3" t="s">
        <v>25</v>
      </c>
      <c r="B80" s="3" t="s">
        <v>65</v>
      </c>
      <c r="C80" s="3">
        <v>2025</v>
      </c>
      <c r="D80" s="61">
        <f>INDEX(Input!$I$221:$AI$235,MATCH(A80&amp;B80,Input!$H$221:$H$239,0),MATCH(C80,Input!$I$220:$AI$220,0))</f>
        <v>3.811149032992036E-2</v>
      </c>
      <c r="E80" s="62">
        <f>IFERROR(VLOOKUP(A80,Input!$D$241:$I$245,6,FALSE),"")</f>
        <v>3.8700000000000005E-2</v>
      </c>
      <c r="F80" s="62">
        <f>IFERROR(VLOOKUP(A80,Input!$D$249:$I$253,6,FALSE),"")</f>
        <v>4.1269841269841276E-2</v>
      </c>
      <c r="G80" s="62">
        <f t="shared" si="1"/>
        <v>0.11808133159976164</v>
      </c>
    </row>
    <row r="81" spans="1:7" x14ac:dyDescent="0.25">
      <c r="A81" s="3" t="s">
        <v>25</v>
      </c>
      <c r="B81" s="3" t="s">
        <v>65</v>
      </c>
      <c r="C81" s="3">
        <v>2026</v>
      </c>
      <c r="D81" s="61">
        <f>INDEX(Input!$I$221:$AI$235,MATCH(A81&amp;B81,Input!$H$221:$H$239,0),MATCH(C81,Input!$I$220:$AI$220,0))</f>
        <v>3.4926052332195673E-2</v>
      </c>
      <c r="E81" s="62">
        <f>IFERROR(VLOOKUP(A81,Input!$D$241:$I$245,6,FALSE),"")</f>
        <v>3.8700000000000005E-2</v>
      </c>
      <c r="F81" s="62">
        <f>IFERROR(VLOOKUP(A81,Input!$D$249:$I$253,6,FALSE),"")</f>
        <v>4.1269841269841276E-2</v>
      </c>
      <c r="G81" s="62">
        <f t="shared" si="1"/>
        <v>0.11489589360203696</v>
      </c>
    </row>
    <row r="82" spans="1:7" x14ac:dyDescent="0.25">
      <c r="A82" s="3" t="s">
        <v>25</v>
      </c>
      <c r="B82" s="3" t="s">
        <v>65</v>
      </c>
      <c r="C82" s="3">
        <v>2027</v>
      </c>
      <c r="D82" s="61">
        <f>INDEX(Input!$I$221:$AI$235,MATCH(A82&amp;B82,Input!$H$221:$H$239,0),MATCH(C82,Input!$I$220:$AI$220,0))</f>
        <v>3.1740614334470993E-2</v>
      </c>
      <c r="E82" s="62">
        <f>IFERROR(VLOOKUP(A82,Input!$D$241:$I$245,6,FALSE),"")</f>
        <v>3.8700000000000005E-2</v>
      </c>
      <c r="F82" s="62">
        <f>IFERROR(VLOOKUP(A82,Input!$D$249:$I$253,6,FALSE),"")</f>
        <v>4.1269841269841276E-2</v>
      </c>
      <c r="G82" s="62">
        <f t="shared" si="1"/>
        <v>0.11171045560431227</v>
      </c>
    </row>
    <row r="83" spans="1:7" x14ac:dyDescent="0.25">
      <c r="A83" s="3" t="s">
        <v>25</v>
      </c>
      <c r="B83" s="3" t="s">
        <v>65</v>
      </c>
      <c r="C83" s="3">
        <v>2028</v>
      </c>
      <c r="D83" s="61">
        <f>INDEX(Input!$I$221:$AI$235,MATCH(A83&amp;B83,Input!$H$221:$H$239,0),MATCH(C83,Input!$I$220:$AI$220,0))</f>
        <v>2.8555176336746303E-2</v>
      </c>
      <c r="E83" s="62">
        <f>IFERROR(VLOOKUP(A83,Input!$D$241:$I$245,6,FALSE),"")</f>
        <v>3.8700000000000005E-2</v>
      </c>
      <c r="F83" s="62">
        <f>IFERROR(VLOOKUP(A83,Input!$D$249:$I$253,6,FALSE),"")</f>
        <v>4.1269841269841276E-2</v>
      </c>
      <c r="G83" s="62">
        <f t="shared" si="1"/>
        <v>0.10852501760658759</v>
      </c>
    </row>
    <row r="84" spans="1:7" x14ac:dyDescent="0.25">
      <c r="A84" s="3" t="s">
        <v>25</v>
      </c>
      <c r="B84" s="3" t="s">
        <v>65</v>
      </c>
      <c r="C84" s="3">
        <v>2029</v>
      </c>
      <c r="D84" s="61">
        <f>INDEX(Input!$I$221:$AI$235,MATCH(A84&amp;B84,Input!$H$221:$H$239,0),MATCH(C84,Input!$I$220:$AI$220,0))</f>
        <v>2.5369738339021616E-2</v>
      </c>
      <c r="E84" s="62">
        <f>IFERROR(VLOOKUP(A84,Input!$D$241:$I$245,6,FALSE),"")</f>
        <v>3.8700000000000005E-2</v>
      </c>
      <c r="F84" s="62">
        <f>IFERROR(VLOOKUP(A84,Input!$D$249:$I$253,6,FALSE),"")</f>
        <v>4.1269841269841276E-2</v>
      </c>
      <c r="G84" s="62">
        <f t="shared" si="1"/>
        <v>0.10533957960886289</v>
      </c>
    </row>
    <row r="85" spans="1:7" x14ac:dyDescent="0.25">
      <c r="A85" s="3" t="s">
        <v>25</v>
      </c>
      <c r="B85" s="3" t="s">
        <v>65</v>
      </c>
      <c r="C85" s="3">
        <v>2030</v>
      </c>
      <c r="D85" s="61">
        <f>INDEX(Input!$I$221:$AI$235,MATCH(A85&amp;B85,Input!$H$221:$H$239,0),MATCH(C85,Input!$I$220:$AI$220,0))</f>
        <v>2.2184300341296929E-2</v>
      </c>
      <c r="E85" s="62">
        <f>IFERROR(VLOOKUP(A85,Input!$D$241:$I$245,6,FALSE),"")</f>
        <v>3.8700000000000005E-2</v>
      </c>
      <c r="F85" s="62">
        <f>IFERROR(VLOOKUP(A85,Input!$D$249:$I$253,6,FALSE),"")</f>
        <v>4.1269841269841276E-2</v>
      </c>
      <c r="G85" s="62">
        <f t="shared" si="1"/>
        <v>0.10215414161113821</v>
      </c>
    </row>
    <row r="86" spans="1:7" x14ac:dyDescent="0.25">
      <c r="A86" s="3" t="s">
        <v>25</v>
      </c>
      <c r="B86" s="3" t="s">
        <v>65</v>
      </c>
      <c r="C86" s="3">
        <v>2031</v>
      </c>
      <c r="D86" s="61">
        <f>INDEX(Input!$I$221:$AI$235,MATCH(A86&amp;B86,Input!$H$221:$H$239,0),MATCH(C86,Input!$I$220:$AI$220,0))</f>
        <v>2.2184300341296929E-2</v>
      </c>
      <c r="E86" s="62">
        <f>IFERROR(VLOOKUP(A86,Input!$D$241:$I$245,6,FALSE),"")</f>
        <v>3.8700000000000005E-2</v>
      </c>
      <c r="F86" s="62">
        <f>IFERROR(VLOOKUP(A86,Input!$D$249:$I$253,6,FALSE),"")</f>
        <v>4.1269841269841276E-2</v>
      </c>
      <c r="G86" s="62">
        <f t="shared" si="1"/>
        <v>0.10215414161113821</v>
      </c>
    </row>
    <row r="87" spans="1:7" x14ac:dyDescent="0.25">
      <c r="A87" s="3" t="s">
        <v>25</v>
      </c>
      <c r="B87" s="3" t="s">
        <v>65</v>
      </c>
      <c r="C87" s="3">
        <v>2032</v>
      </c>
      <c r="D87" s="61">
        <f>INDEX(Input!$I$221:$AI$235,MATCH(A87&amp;B87,Input!$H$221:$H$239,0),MATCH(C87,Input!$I$220:$AI$220,0))</f>
        <v>2.2559726962457338E-2</v>
      </c>
      <c r="E87" s="62">
        <f>IFERROR(VLOOKUP(A87,Input!$D$241:$I$245,6,FALSE),"")</f>
        <v>3.8700000000000005E-2</v>
      </c>
      <c r="F87" s="62">
        <f>IFERROR(VLOOKUP(A87,Input!$D$249:$I$253,6,FALSE),"")</f>
        <v>4.1269841269841276E-2</v>
      </c>
      <c r="G87" s="62">
        <f t="shared" si="1"/>
        <v>0.10252956823229861</v>
      </c>
    </row>
    <row r="88" spans="1:7" x14ac:dyDescent="0.25">
      <c r="A88" s="3" t="s">
        <v>25</v>
      </c>
      <c r="B88" s="3" t="s">
        <v>65</v>
      </c>
      <c r="C88" s="3">
        <v>2033</v>
      </c>
      <c r="D88" s="61">
        <f>INDEX(Input!$I$221:$AI$235,MATCH(A88&amp;B88,Input!$H$221:$H$239,0),MATCH(C88,Input!$I$220:$AI$220,0))</f>
        <v>2.2935153583617748E-2</v>
      </c>
      <c r="E88" s="62">
        <f>IFERROR(VLOOKUP(A88,Input!$D$241:$I$245,6,FALSE),"")</f>
        <v>3.8700000000000005E-2</v>
      </c>
      <c r="F88" s="62">
        <f>IFERROR(VLOOKUP(A88,Input!$D$249:$I$253,6,FALSE),"")</f>
        <v>4.1269841269841276E-2</v>
      </c>
      <c r="G88" s="62">
        <f t="shared" si="1"/>
        <v>0.10290499485345903</v>
      </c>
    </row>
    <row r="89" spans="1:7" x14ac:dyDescent="0.25">
      <c r="A89" s="3" t="s">
        <v>25</v>
      </c>
      <c r="B89" s="3" t="s">
        <v>65</v>
      </c>
      <c r="C89" s="3">
        <v>2034</v>
      </c>
      <c r="D89" s="61">
        <f>INDEX(Input!$I$221:$AI$235,MATCH(A89&amp;B89,Input!$H$221:$H$239,0),MATCH(C89,Input!$I$220:$AI$220,0))</f>
        <v>2.3310580204778157E-2</v>
      </c>
      <c r="E89" s="62">
        <f>IFERROR(VLOOKUP(A89,Input!$D$241:$I$245,6,FALSE),"")</f>
        <v>3.8700000000000005E-2</v>
      </c>
      <c r="F89" s="62">
        <f>IFERROR(VLOOKUP(A89,Input!$D$249:$I$253,6,FALSE),"")</f>
        <v>4.1269841269841276E-2</v>
      </c>
      <c r="G89" s="62">
        <f t="shared" si="1"/>
        <v>0.10328042147461944</v>
      </c>
    </row>
    <row r="90" spans="1:7" x14ac:dyDescent="0.25">
      <c r="A90" s="3" t="s">
        <v>25</v>
      </c>
      <c r="B90" s="3" t="s">
        <v>65</v>
      </c>
      <c r="C90" s="3">
        <v>2035</v>
      </c>
      <c r="D90" s="61">
        <f>INDEX(Input!$I$221:$AI$235,MATCH(A90&amp;B90,Input!$H$221:$H$239,0),MATCH(C90,Input!$I$220:$AI$220,0))</f>
        <v>2.3686006825938567E-2</v>
      </c>
      <c r="E90" s="62">
        <f>IFERROR(VLOOKUP(A90,Input!$D$241:$I$245,6,FALSE),"")</f>
        <v>3.8700000000000005E-2</v>
      </c>
      <c r="F90" s="62">
        <f>IFERROR(VLOOKUP(A90,Input!$D$249:$I$253,6,FALSE),"")</f>
        <v>4.1269841269841276E-2</v>
      </c>
      <c r="G90" s="62">
        <f t="shared" si="1"/>
        <v>0.10365584809577985</v>
      </c>
    </row>
    <row r="91" spans="1:7" x14ac:dyDescent="0.25">
      <c r="A91" s="3" t="s">
        <v>25</v>
      </c>
      <c r="B91" s="3" t="s">
        <v>65</v>
      </c>
      <c r="C91" s="3">
        <v>2036</v>
      </c>
      <c r="D91" s="61">
        <f>INDEX(Input!$I$221:$AI$235,MATCH(A91&amp;B91,Input!$H$221:$H$239,0),MATCH(C91,Input!$I$220:$AI$220,0))</f>
        <v>2.4061433447098976E-2</v>
      </c>
      <c r="E91" s="62">
        <f>IFERROR(VLOOKUP(A91,Input!$D$241:$I$245,6,FALSE),"")</f>
        <v>3.8700000000000005E-2</v>
      </c>
      <c r="F91" s="62">
        <f>IFERROR(VLOOKUP(A91,Input!$D$249:$I$253,6,FALSE),"")</f>
        <v>4.1269841269841276E-2</v>
      </c>
      <c r="G91" s="62">
        <f t="shared" si="1"/>
        <v>0.10403127471694025</v>
      </c>
    </row>
    <row r="92" spans="1:7" x14ac:dyDescent="0.25">
      <c r="A92" s="3" t="s">
        <v>25</v>
      </c>
      <c r="B92" s="3" t="s">
        <v>65</v>
      </c>
      <c r="C92" s="3">
        <v>2037</v>
      </c>
      <c r="D92" s="61">
        <f>INDEX(Input!$I$221:$AI$235,MATCH(A92&amp;B92,Input!$H$221:$H$239,0),MATCH(C92,Input!$I$220:$AI$220,0))</f>
        <v>2.4436860068259385E-2</v>
      </c>
      <c r="E92" s="62">
        <f>IFERROR(VLOOKUP(A92,Input!$D$241:$I$245,6,FALSE),"")</f>
        <v>3.8700000000000005E-2</v>
      </c>
      <c r="F92" s="62">
        <f>IFERROR(VLOOKUP(A92,Input!$D$249:$I$253,6,FALSE),"")</f>
        <v>4.1269841269841276E-2</v>
      </c>
      <c r="G92" s="62">
        <f t="shared" si="1"/>
        <v>0.10440670133810066</v>
      </c>
    </row>
    <row r="93" spans="1:7" x14ac:dyDescent="0.25">
      <c r="A93" s="3" t="s">
        <v>25</v>
      </c>
      <c r="B93" s="3" t="s">
        <v>65</v>
      </c>
      <c r="C93" s="3">
        <v>2038</v>
      </c>
      <c r="D93" s="61">
        <f>INDEX(Input!$I$221:$AI$235,MATCH(A93&amp;B93,Input!$H$221:$H$239,0),MATCH(C93,Input!$I$220:$AI$220,0))</f>
        <v>2.4812286689419795E-2</v>
      </c>
      <c r="E93" s="62">
        <f>IFERROR(VLOOKUP(A93,Input!$D$241:$I$245,6,FALSE),"")</f>
        <v>3.8700000000000005E-2</v>
      </c>
      <c r="F93" s="62">
        <f>IFERROR(VLOOKUP(A93,Input!$D$249:$I$253,6,FALSE),"")</f>
        <v>4.1269841269841276E-2</v>
      </c>
      <c r="G93" s="62">
        <f t="shared" si="1"/>
        <v>0.10478212795926108</v>
      </c>
    </row>
    <row r="94" spans="1:7" x14ac:dyDescent="0.25">
      <c r="A94" s="3" t="s">
        <v>25</v>
      </c>
      <c r="B94" s="3" t="s">
        <v>65</v>
      </c>
      <c r="C94" s="3">
        <v>2039</v>
      </c>
      <c r="D94" s="61">
        <f>INDEX(Input!$I$221:$AI$235,MATCH(A94&amp;B94,Input!$H$221:$H$239,0),MATCH(C94,Input!$I$220:$AI$220,0))</f>
        <v>2.5187713310580204E-2</v>
      </c>
      <c r="E94" s="62">
        <f>IFERROR(VLOOKUP(A94,Input!$D$241:$I$245,6,FALSE),"")</f>
        <v>3.8700000000000005E-2</v>
      </c>
      <c r="F94" s="62">
        <f>IFERROR(VLOOKUP(A94,Input!$D$249:$I$253,6,FALSE),"")</f>
        <v>4.1269841269841276E-2</v>
      </c>
      <c r="G94" s="62">
        <f t="shared" si="1"/>
        <v>0.10515755458042149</v>
      </c>
    </row>
    <row r="95" spans="1:7" x14ac:dyDescent="0.25">
      <c r="A95" s="3" t="s">
        <v>25</v>
      </c>
      <c r="B95" s="3" t="s">
        <v>65</v>
      </c>
      <c r="C95" s="3">
        <v>2040</v>
      </c>
      <c r="D95" s="61">
        <f>INDEX(Input!$I$221:$AI$235,MATCH(A95&amp;B95,Input!$H$221:$H$239,0),MATCH(C95,Input!$I$220:$AI$220,0))</f>
        <v>2.5938566552901023E-2</v>
      </c>
      <c r="E95" s="62">
        <f>IFERROR(VLOOKUP(A95,Input!$D$241:$I$245,6,FALSE),"")</f>
        <v>3.8700000000000005E-2</v>
      </c>
      <c r="F95" s="62">
        <f>IFERROR(VLOOKUP(A95,Input!$D$249:$I$253,6,FALSE),"")</f>
        <v>4.1269841269841276E-2</v>
      </c>
      <c r="G95" s="62">
        <f t="shared" si="1"/>
        <v>0.1059084078227423</v>
      </c>
    </row>
    <row r="96" spans="1:7" x14ac:dyDescent="0.25">
      <c r="A96" s="3" t="s">
        <v>25</v>
      </c>
      <c r="B96" s="3" t="s">
        <v>65</v>
      </c>
      <c r="C96" s="3">
        <v>2041</v>
      </c>
      <c r="D96" s="61">
        <f>INDEX(Input!$I$221:$AI$235,MATCH(A96&amp;B96,Input!$H$221:$H$239,0),MATCH(C96,Input!$I$220:$AI$220,0))</f>
        <v>2.5938566552901023E-2</v>
      </c>
      <c r="E96" s="62">
        <f>IFERROR(VLOOKUP(A96,Input!$D$241:$I$245,6,FALSE),"")</f>
        <v>3.8700000000000005E-2</v>
      </c>
      <c r="F96" s="62">
        <f>IFERROR(VLOOKUP(A96,Input!$D$249:$I$253,6,FALSE),"")</f>
        <v>4.1269841269841276E-2</v>
      </c>
      <c r="G96" s="62">
        <f t="shared" si="1"/>
        <v>0.1059084078227423</v>
      </c>
    </row>
    <row r="97" spans="1:7" x14ac:dyDescent="0.25">
      <c r="A97" s="3" t="s">
        <v>25</v>
      </c>
      <c r="B97" s="3" t="s">
        <v>65</v>
      </c>
      <c r="C97" s="3">
        <v>2042</v>
      </c>
      <c r="D97" s="61">
        <f>INDEX(Input!$I$221:$AI$235,MATCH(A97&amp;B97,Input!$H$221:$H$239,0),MATCH(C97,Input!$I$220:$AI$220,0))</f>
        <v>2.5972696245733787E-2</v>
      </c>
      <c r="E97" s="62">
        <f>IFERROR(VLOOKUP(A97,Input!$D$241:$I$245,6,FALSE),"")</f>
        <v>3.8700000000000005E-2</v>
      </c>
      <c r="F97" s="62">
        <f>IFERROR(VLOOKUP(A97,Input!$D$249:$I$253,6,FALSE),"")</f>
        <v>4.1269841269841276E-2</v>
      </c>
      <c r="G97" s="62">
        <f t="shared" si="1"/>
        <v>0.10594253751557507</v>
      </c>
    </row>
    <row r="98" spans="1:7" x14ac:dyDescent="0.25">
      <c r="A98" s="3" t="s">
        <v>25</v>
      </c>
      <c r="B98" s="3" t="s">
        <v>65</v>
      </c>
      <c r="C98" s="3">
        <v>2043</v>
      </c>
      <c r="D98" s="61">
        <f>INDEX(Input!$I$221:$AI$235,MATCH(A98&amp;B98,Input!$H$221:$H$239,0),MATCH(C98,Input!$I$220:$AI$220,0))</f>
        <v>2.6006825938566552E-2</v>
      </c>
      <c r="E98" s="62">
        <f>IFERROR(VLOOKUP(A98,Input!$D$241:$I$245,6,FALSE),"")</f>
        <v>3.8700000000000005E-2</v>
      </c>
      <c r="F98" s="62">
        <f>IFERROR(VLOOKUP(A98,Input!$D$249:$I$253,6,FALSE),"")</f>
        <v>4.1269841269841276E-2</v>
      </c>
      <c r="G98" s="62">
        <f t="shared" si="1"/>
        <v>0.10597666720840783</v>
      </c>
    </row>
    <row r="99" spans="1:7" x14ac:dyDescent="0.25">
      <c r="A99" s="3" t="s">
        <v>25</v>
      </c>
      <c r="B99" s="3" t="s">
        <v>65</v>
      </c>
      <c r="C99" s="3">
        <v>2044</v>
      </c>
      <c r="D99" s="61">
        <f>INDEX(Input!$I$221:$AI$235,MATCH(A99&amp;B99,Input!$H$221:$H$239,0),MATCH(C99,Input!$I$220:$AI$220,0))</f>
        <v>2.6040955631399316E-2</v>
      </c>
      <c r="E99" s="62">
        <f>IFERROR(VLOOKUP(A99,Input!$D$241:$I$245,6,FALSE),"")</f>
        <v>3.8700000000000005E-2</v>
      </c>
      <c r="F99" s="62">
        <f>IFERROR(VLOOKUP(A99,Input!$D$249:$I$253,6,FALSE),"")</f>
        <v>4.1269841269841276E-2</v>
      </c>
      <c r="G99" s="62">
        <f t="shared" si="1"/>
        <v>0.1060107969012406</v>
      </c>
    </row>
    <row r="100" spans="1:7" x14ac:dyDescent="0.25">
      <c r="A100" s="3" t="s">
        <v>25</v>
      </c>
      <c r="B100" s="3" t="s">
        <v>65</v>
      </c>
      <c r="C100" s="3">
        <v>2045</v>
      </c>
      <c r="D100" s="61">
        <f>INDEX(Input!$I$221:$AI$235,MATCH(A100&amp;B100,Input!$H$221:$H$239,0),MATCH(C100,Input!$I$220:$AI$220,0))</f>
        <v>2.607508532423208E-2</v>
      </c>
      <c r="E100" s="62">
        <f>IFERROR(VLOOKUP(A100,Input!$D$241:$I$245,6,FALSE),"")</f>
        <v>3.8700000000000005E-2</v>
      </c>
      <c r="F100" s="62">
        <f>IFERROR(VLOOKUP(A100,Input!$D$249:$I$253,6,FALSE),"")</f>
        <v>4.1269841269841276E-2</v>
      </c>
      <c r="G100" s="62">
        <f t="shared" si="1"/>
        <v>0.10604492659407336</v>
      </c>
    </row>
    <row r="101" spans="1:7" x14ac:dyDescent="0.25">
      <c r="A101" s="3" t="s">
        <v>25</v>
      </c>
      <c r="B101" s="3" t="s">
        <v>65</v>
      </c>
      <c r="C101" s="3">
        <v>2046</v>
      </c>
      <c r="D101" s="61">
        <f>INDEX(Input!$I$221:$AI$235,MATCH(A101&amp;B101,Input!$H$221:$H$239,0),MATCH(C101,Input!$I$220:$AI$220,0))</f>
        <v>2.6109215017064848E-2</v>
      </c>
      <c r="E101" s="62">
        <f>IFERROR(VLOOKUP(A101,Input!$D$241:$I$245,6,FALSE),"")</f>
        <v>3.8700000000000005E-2</v>
      </c>
      <c r="F101" s="62">
        <f>IFERROR(VLOOKUP(A101,Input!$D$249:$I$253,6,FALSE),"")</f>
        <v>4.1269841269841276E-2</v>
      </c>
      <c r="G101" s="62">
        <f t="shared" si="1"/>
        <v>0.10607905628690613</v>
      </c>
    </row>
    <row r="102" spans="1:7" x14ac:dyDescent="0.25">
      <c r="A102" s="3" t="s">
        <v>25</v>
      </c>
      <c r="B102" s="3" t="s">
        <v>65</v>
      </c>
      <c r="C102" s="3">
        <v>2047</v>
      </c>
      <c r="D102" s="61">
        <f>INDEX(Input!$I$221:$AI$235,MATCH(A102&amp;B102,Input!$H$221:$H$239,0),MATCH(C102,Input!$I$220:$AI$220,0))</f>
        <v>2.6143344709897612E-2</v>
      </c>
      <c r="E102" s="62">
        <f>IFERROR(VLOOKUP(A102,Input!$D$241:$I$245,6,FALSE),"")</f>
        <v>3.8700000000000005E-2</v>
      </c>
      <c r="F102" s="62">
        <f>IFERROR(VLOOKUP(A102,Input!$D$249:$I$253,6,FALSE),"")</f>
        <v>4.1269841269841276E-2</v>
      </c>
      <c r="G102" s="62">
        <f t="shared" si="1"/>
        <v>0.10611318597973889</v>
      </c>
    </row>
    <row r="103" spans="1:7" x14ac:dyDescent="0.25">
      <c r="A103" s="3" t="s">
        <v>25</v>
      </c>
      <c r="B103" s="3" t="s">
        <v>65</v>
      </c>
      <c r="C103" s="3">
        <v>2048</v>
      </c>
      <c r="D103" s="61">
        <f>INDEX(Input!$I$221:$AI$235,MATCH(A103&amp;B103,Input!$H$221:$H$239,0),MATCH(C103,Input!$I$220:$AI$220,0))</f>
        <v>2.6177474402730376E-2</v>
      </c>
      <c r="E103" s="62">
        <f>IFERROR(VLOOKUP(A103,Input!$D$241:$I$245,6,FALSE),"")</f>
        <v>3.8700000000000005E-2</v>
      </c>
      <c r="F103" s="62">
        <f>IFERROR(VLOOKUP(A103,Input!$D$249:$I$253,6,FALSE),"")</f>
        <v>4.1269841269841276E-2</v>
      </c>
      <c r="G103" s="62">
        <f t="shared" si="1"/>
        <v>0.10614731567257166</v>
      </c>
    </row>
    <row r="104" spans="1:7" x14ac:dyDescent="0.25">
      <c r="A104" s="3" t="s">
        <v>25</v>
      </c>
      <c r="B104" s="3" t="s">
        <v>65</v>
      </c>
      <c r="C104" s="3">
        <v>2049</v>
      </c>
      <c r="D104" s="61">
        <f>INDEX(Input!$I$221:$AI$235,MATCH(A104&amp;B104,Input!$H$221:$H$239,0),MATCH(C104,Input!$I$220:$AI$220,0))</f>
        <v>2.621160409556314E-2</v>
      </c>
      <c r="E104" s="62">
        <f>IFERROR(VLOOKUP(A104,Input!$D$241:$I$245,6,FALSE),"")</f>
        <v>3.8700000000000005E-2</v>
      </c>
      <c r="F104" s="62">
        <f>IFERROR(VLOOKUP(A104,Input!$D$249:$I$253,6,FALSE),"")</f>
        <v>4.1269841269841276E-2</v>
      </c>
      <c r="G104" s="62">
        <f t="shared" si="1"/>
        <v>0.10618144536540443</v>
      </c>
    </row>
    <row r="105" spans="1:7" x14ac:dyDescent="0.25">
      <c r="A105" s="3" t="s">
        <v>25</v>
      </c>
      <c r="B105" s="3" t="s">
        <v>65</v>
      </c>
      <c r="C105" s="3">
        <v>2050</v>
      </c>
      <c r="D105" s="61">
        <f>INDEX(Input!$I$221:$AI$235,MATCH(A105&amp;B105,Input!$H$221:$H$239,0),MATCH(C105,Input!$I$220:$AI$220,0))</f>
        <v>2.6279863481228669E-2</v>
      </c>
      <c r="E105" s="62">
        <f>IFERROR(VLOOKUP(A105,Input!$D$241:$I$245,6,FALSE),"")</f>
        <v>3.8700000000000005E-2</v>
      </c>
      <c r="F105" s="62">
        <f>IFERROR(VLOOKUP(A105,Input!$D$249:$I$253,6,FALSE),"")</f>
        <v>4.1269841269841276E-2</v>
      </c>
      <c r="G105" s="62">
        <f t="shared" si="1"/>
        <v>0.10624970475106994</v>
      </c>
    </row>
    <row r="106" spans="1:7" x14ac:dyDescent="0.25">
      <c r="A106" s="3" t="s">
        <v>25</v>
      </c>
      <c r="B106" s="3" t="s">
        <v>8</v>
      </c>
      <c r="C106" s="3">
        <v>2024</v>
      </c>
      <c r="D106" s="61">
        <f>INDEX(Input!$I$221:$AI$235,MATCH(A106&amp;B106,Input!$H$221:$H$239,0),MATCH(C106,Input!$I$220:$AI$220,0))</f>
        <v>4.1296928327645047E-2</v>
      </c>
      <c r="E106" s="62">
        <f>IFERROR(VLOOKUP(A106,Input!$D$241:$I$245,6,FALSE),"")</f>
        <v>3.8700000000000005E-2</v>
      </c>
      <c r="F106" s="62">
        <f>IFERROR(VLOOKUP(A106,Input!$D$249:$I$253,6,FALSE),"")</f>
        <v>4.1269841269841276E-2</v>
      </c>
      <c r="G106" s="62">
        <f t="shared" si="1"/>
        <v>0.12126676959748632</v>
      </c>
    </row>
    <row r="107" spans="1:7" x14ac:dyDescent="0.25">
      <c r="A107" s="3" t="s">
        <v>25</v>
      </c>
      <c r="B107" s="3" t="s">
        <v>8</v>
      </c>
      <c r="C107" s="3">
        <v>2025</v>
      </c>
      <c r="D107" s="61">
        <f>INDEX(Input!$I$221:$AI$235,MATCH(A107&amp;B107,Input!$H$221:$H$239,0),MATCH(C107,Input!$I$220:$AI$220,0))</f>
        <v>3.7827076222980656E-2</v>
      </c>
      <c r="E107" s="62">
        <f>IFERROR(VLOOKUP(A107,Input!$D$241:$I$245,6,FALSE),"")</f>
        <v>3.8700000000000005E-2</v>
      </c>
      <c r="F107" s="62">
        <f>IFERROR(VLOOKUP(A107,Input!$D$249:$I$253,6,FALSE),"")</f>
        <v>4.1269841269841276E-2</v>
      </c>
      <c r="G107" s="62">
        <f t="shared" si="1"/>
        <v>0.11779691749282194</v>
      </c>
    </row>
    <row r="108" spans="1:7" x14ac:dyDescent="0.25">
      <c r="A108" s="3" t="s">
        <v>25</v>
      </c>
      <c r="B108" s="3" t="s">
        <v>8</v>
      </c>
      <c r="C108" s="3">
        <v>2026</v>
      </c>
      <c r="D108" s="61">
        <f>INDEX(Input!$I$221:$AI$235,MATCH(A108&amp;B108,Input!$H$221:$H$239,0),MATCH(C108,Input!$I$220:$AI$220,0))</f>
        <v>3.4357224118316265E-2</v>
      </c>
      <c r="E108" s="62">
        <f>IFERROR(VLOOKUP(A108,Input!$D$241:$I$245,6,FALSE),"")</f>
        <v>3.8700000000000005E-2</v>
      </c>
      <c r="F108" s="62">
        <f>IFERROR(VLOOKUP(A108,Input!$D$249:$I$253,6,FALSE),"")</f>
        <v>4.1269841269841276E-2</v>
      </c>
      <c r="G108" s="62">
        <f t="shared" si="1"/>
        <v>0.11432706538815755</v>
      </c>
    </row>
    <row r="109" spans="1:7" x14ac:dyDescent="0.25">
      <c r="A109" s="3" t="s">
        <v>25</v>
      </c>
      <c r="B109" s="3" t="s">
        <v>8</v>
      </c>
      <c r="C109" s="3">
        <v>2027</v>
      </c>
      <c r="D109" s="61">
        <f>INDEX(Input!$I$221:$AI$235,MATCH(A109&amp;B109,Input!$H$221:$H$239,0),MATCH(C109,Input!$I$220:$AI$220,0))</f>
        <v>3.0887372013651878E-2</v>
      </c>
      <c r="E109" s="62">
        <f>IFERROR(VLOOKUP(A109,Input!$D$241:$I$245,6,FALSE),"")</f>
        <v>3.8700000000000005E-2</v>
      </c>
      <c r="F109" s="62">
        <f>IFERROR(VLOOKUP(A109,Input!$D$249:$I$253,6,FALSE),"")</f>
        <v>4.1269841269841276E-2</v>
      </c>
      <c r="G109" s="62">
        <f t="shared" si="1"/>
        <v>0.11085721328349316</v>
      </c>
    </row>
    <row r="110" spans="1:7" x14ac:dyDescent="0.25">
      <c r="A110" s="3" t="s">
        <v>25</v>
      </c>
      <c r="B110" s="3" t="s">
        <v>8</v>
      </c>
      <c r="C110" s="3">
        <v>2028</v>
      </c>
      <c r="D110" s="61">
        <f>INDEX(Input!$I$221:$AI$235,MATCH(A110&amp;B110,Input!$H$221:$H$239,0),MATCH(C110,Input!$I$220:$AI$220,0))</f>
        <v>2.7417519908987484E-2</v>
      </c>
      <c r="E110" s="62">
        <f>IFERROR(VLOOKUP(A110,Input!$D$241:$I$245,6,FALSE),"")</f>
        <v>3.8700000000000005E-2</v>
      </c>
      <c r="F110" s="62">
        <f>IFERROR(VLOOKUP(A110,Input!$D$249:$I$253,6,FALSE),"")</f>
        <v>4.1269841269841276E-2</v>
      </c>
      <c r="G110" s="62">
        <f t="shared" si="1"/>
        <v>0.10738736117882876</v>
      </c>
    </row>
    <row r="111" spans="1:7" x14ac:dyDescent="0.25">
      <c r="A111" s="3" t="s">
        <v>25</v>
      </c>
      <c r="B111" s="3" t="s">
        <v>8</v>
      </c>
      <c r="C111" s="3">
        <v>2029</v>
      </c>
      <c r="D111" s="61">
        <f>INDEX(Input!$I$221:$AI$235,MATCH(A111&amp;B111,Input!$H$221:$H$239,0),MATCH(C111,Input!$I$220:$AI$220,0))</f>
        <v>2.3947667804323093E-2</v>
      </c>
      <c r="E111" s="62">
        <f>IFERROR(VLOOKUP(A111,Input!$D$241:$I$245,6,FALSE),"")</f>
        <v>3.8700000000000005E-2</v>
      </c>
      <c r="F111" s="62">
        <f>IFERROR(VLOOKUP(A111,Input!$D$249:$I$253,6,FALSE),"")</f>
        <v>4.1269841269841276E-2</v>
      </c>
      <c r="G111" s="62">
        <f t="shared" si="1"/>
        <v>0.10391750907416437</v>
      </c>
    </row>
    <row r="112" spans="1:7" x14ac:dyDescent="0.25">
      <c r="A112" s="3" t="s">
        <v>25</v>
      </c>
      <c r="B112" s="3" t="s">
        <v>8</v>
      </c>
      <c r="C112" s="3">
        <v>2030</v>
      </c>
      <c r="D112" s="61">
        <f>INDEX(Input!$I$221:$AI$235,MATCH(A112&amp;B112,Input!$H$221:$H$239,0),MATCH(C112,Input!$I$220:$AI$220,0))</f>
        <v>2.0477815699658702E-2</v>
      </c>
      <c r="E112" s="62">
        <f>IFERROR(VLOOKUP(A112,Input!$D$241:$I$245,6,FALSE),"")</f>
        <v>3.8700000000000005E-2</v>
      </c>
      <c r="F112" s="62">
        <f>IFERROR(VLOOKUP(A112,Input!$D$249:$I$253,6,FALSE),"")</f>
        <v>4.1269841269841276E-2</v>
      </c>
      <c r="G112" s="62">
        <f t="shared" si="1"/>
        <v>0.10044765696949998</v>
      </c>
    </row>
    <row r="113" spans="1:7" x14ac:dyDescent="0.25">
      <c r="A113" s="3" t="s">
        <v>25</v>
      </c>
      <c r="B113" s="3" t="s">
        <v>8</v>
      </c>
      <c r="C113" s="3">
        <v>2031</v>
      </c>
      <c r="D113" s="61">
        <f>INDEX(Input!$I$221:$AI$235,MATCH(A113&amp;B113,Input!$H$221:$H$239,0),MATCH(C113,Input!$I$220:$AI$220,0))</f>
        <v>2.0477815699658702E-2</v>
      </c>
      <c r="E113" s="62">
        <f>IFERROR(VLOOKUP(A113,Input!$D$241:$I$245,6,FALSE),"")</f>
        <v>3.8700000000000005E-2</v>
      </c>
      <c r="F113" s="62">
        <f>IFERROR(VLOOKUP(A113,Input!$D$249:$I$253,6,FALSE),"")</f>
        <v>4.1269841269841276E-2</v>
      </c>
      <c r="G113" s="62">
        <f t="shared" si="1"/>
        <v>0.10044765696949998</v>
      </c>
    </row>
    <row r="114" spans="1:7" x14ac:dyDescent="0.25">
      <c r="A114" s="3" t="s">
        <v>25</v>
      </c>
      <c r="B114" s="3" t="s">
        <v>8</v>
      </c>
      <c r="C114" s="3">
        <v>2032</v>
      </c>
      <c r="D114" s="61">
        <f>INDEX(Input!$I$221:$AI$235,MATCH(A114&amp;B114,Input!$H$221:$H$239,0),MATCH(C114,Input!$I$220:$AI$220,0))</f>
        <v>2.0204778156996585E-2</v>
      </c>
      <c r="E114" s="62">
        <f>IFERROR(VLOOKUP(A114,Input!$D$241:$I$245,6,FALSE),"")</f>
        <v>3.8700000000000005E-2</v>
      </c>
      <c r="F114" s="62">
        <f>IFERROR(VLOOKUP(A114,Input!$D$249:$I$253,6,FALSE),"")</f>
        <v>4.1269841269841276E-2</v>
      </c>
      <c r="G114" s="62">
        <f t="shared" si="1"/>
        <v>0.10017461942683786</v>
      </c>
    </row>
    <row r="115" spans="1:7" x14ac:dyDescent="0.25">
      <c r="A115" s="3" t="s">
        <v>25</v>
      </c>
      <c r="B115" s="3" t="s">
        <v>8</v>
      </c>
      <c r="C115" s="3">
        <v>2033</v>
      </c>
      <c r="D115" s="61">
        <f>INDEX(Input!$I$221:$AI$235,MATCH(A115&amp;B115,Input!$H$221:$H$239,0),MATCH(C115,Input!$I$220:$AI$220,0))</f>
        <v>1.9931740614334472E-2</v>
      </c>
      <c r="E115" s="62">
        <f>IFERROR(VLOOKUP(A115,Input!$D$241:$I$245,6,FALSE),"")</f>
        <v>3.8700000000000005E-2</v>
      </c>
      <c r="F115" s="62">
        <f>IFERROR(VLOOKUP(A115,Input!$D$249:$I$253,6,FALSE),"")</f>
        <v>4.1269841269841276E-2</v>
      </c>
      <c r="G115" s="62">
        <f t="shared" si="1"/>
        <v>9.990158188417575E-2</v>
      </c>
    </row>
    <row r="116" spans="1:7" x14ac:dyDescent="0.25">
      <c r="A116" s="3" t="s">
        <v>25</v>
      </c>
      <c r="B116" s="3" t="s">
        <v>8</v>
      </c>
      <c r="C116" s="3">
        <v>2034</v>
      </c>
      <c r="D116" s="61">
        <f>INDEX(Input!$I$221:$AI$235,MATCH(A116&amp;B116,Input!$H$221:$H$239,0),MATCH(C116,Input!$I$220:$AI$220,0))</f>
        <v>1.9658703071672355E-2</v>
      </c>
      <c r="E116" s="62">
        <f>IFERROR(VLOOKUP(A116,Input!$D$241:$I$245,6,FALSE),"")</f>
        <v>3.8700000000000005E-2</v>
      </c>
      <c r="F116" s="62">
        <f>IFERROR(VLOOKUP(A116,Input!$D$249:$I$253,6,FALSE),"")</f>
        <v>4.1269841269841276E-2</v>
      </c>
      <c r="G116" s="62">
        <f t="shared" si="1"/>
        <v>9.9628544341513636E-2</v>
      </c>
    </row>
    <row r="117" spans="1:7" x14ac:dyDescent="0.25">
      <c r="A117" s="3" t="s">
        <v>25</v>
      </c>
      <c r="B117" s="3" t="s">
        <v>8</v>
      </c>
      <c r="C117" s="3">
        <v>2035</v>
      </c>
      <c r="D117" s="61">
        <f>INDEX(Input!$I$221:$AI$235,MATCH(A117&amp;B117,Input!$H$221:$H$239,0),MATCH(C117,Input!$I$220:$AI$220,0))</f>
        <v>1.9385665529010238E-2</v>
      </c>
      <c r="E117" s="62">
        <f>IFERROR(VLOOKUP(A117,Input!$D$241:$I$245,6,FALSE),"")</f>
        <v>3.8700000000000005E-2</v>
      </c>
      <c r="F117" s="62">
        <f>IFERROR(VLOOKUP(A117,Input!$D$249:$I$253,6,FALSE),"")</f>
        <v>4.1269841269841276E-2</v>
      </c>
      <c r="G117" s="62">
        <f t="shared" si="1"/>
        <v>9.9355506798851523E-2</v>
      </c>
    </row>
    <row r="118" spans="1:7" x14ac:dyDescent="0.25">
      <c r="A118" s="3" t="s">
        <v>25</v>
      </c>
      <c r="B118" s="3" t="s">
        <v>8</v>
      </c>
      <c r="C118" s="3">
        <v>2036</v>
      </c>
      <c r="D118" s="61">
        <f>INDEX(Input!$I$221:$AI$235,MATCH(A118&amp;B118,Input!$H$221:$H$239,0),MATCH(C118,Input!$I$220:$AI$220,0))</f>
        <v>1.9112627986348121E-2</v>
      </c>
      <c r="E118" s="62">
        <f>IFERROR(VLOOKUP(A118,Input!$D$241:$I$245,6,FALSE),"")</f>
        <v>3.8700000000000005E-2</v>
      </c>
      <c r="F118" s="62">
        <f>IFERROR(VLOOKUP(A118,Input!$D$249:$I$253,6,FALSE),"")</f>
        <v>4.1269841269841276E-2</v>
      </c>
      <c r="G118" s="62">
        <f t="shared" si="1"/>
        <v>9.9082469256189409E-2</v>
      </c>
    </row>
    <row r="119" spans="1:7" x14ac:dyDescent="0.25">
      <c r="A119" s="3" t="s">
        <v>25</v>
      </c>
      <c r="B119" s="3" t="s">
        <v>8</v>
      </c>
      <c r="C119" s="3">
        <v>2037</v>
      </c>
      <c r="D119" s="61">
        <f>INDEX(Input!$I$221:$AI$235,MATCH(A119&amp;B119,Input!$H$221:$H$239,0),MATCH(C119,Input!$I$220:$AI$220,0))</f>
        <v>1.8839590443686008E-2</v>
      </c>
      <c r="E119" s="62">
        <f>IFERROR(VLOOKUP(A119,Input!$D$241:$I$245,6,FALSE),"")</f>
        <v>3.8700000000000005E-2</v>
      </c>
      <c r="F119" s="62">
        <f>IFERROR(VLOOKUP(A119,Input!$D$249:$I$253,6,FALSE),"")</f>
        <v>4.1269841269841276E-2</v>
      </c>
      <c r="G119" s="62">
        <f t="shared" si="1"/>
        <v>9.8809431713527296E-2</v>
      </c>
    </row>
    <row r="120" spans="1:7" x14ac:dyDescent="0.25">
      <c r="A120" s="3" t="s">
        <v>25</v>
      </c>
      <c r="B120" s="3" t="s">
        <v>8</v>
      </c>
      <c r="C120" s="3">
        <v>2038</v>
      </c>
      <c r="D120" s="61">
        <f>INDEX(Input!$I$221:$AI$235,MATCH(A120&amp;B120,Input!$H$221:$H$239,0),MATCH(C120,Input!$I$220:$AI$220,0))</f>
        <v>1.8566552901023891E-2</v>
      </c>
      <c r="E120" s="62">
        <f>IFERROR(VLOOKUP(A120,Input!$D$241:$I$245,6,FALSE),"")</f>
        <v>3.8700000000000005E-2</v>
      </c>
      <c r="F120" s="62">
        <f>IFERROR(VLOOKUP(A120,Input!$D$249:$I$253,6,FALSE),"")</f>
        <v>4.1269841269841276E-2</v>
      </c>
      <c r="G120" s="62">
        <f t="shared" si="1"/>
        <v>9.8536394170865169E-2</v>
      </c>
    </row>
    <row r="121" spans="1:7" x14ac:dyDescent="0.25">
      <c r="A121" s="3" t="s">
        <v>25</v>
      </c>
      <c r="B121" s="3" t="s">
        <v>8</v>
      </c>
      <c r="C121" s="3">
        <v>2039</v>
      </c>
      <c r="D121" s="61">
        <f>INDEX(Input!$I$221:$AI$235,MATCH(A121&amp;B121,Input!$H$221:$H$239,0),MATCH(C121,Input!$I$220:$AI$220,0))</f>
        <v>1.8293515358361778E-2</v>
      </c>
      <c r="E121" s="62">
        <f>IFERROR(VLOOKUP(A121,Input!$D$241:$I$245,6,FALSE),"")</f>
        <v>3.8700000000000005E-2</v>
      </c>
      <c r="F121" s="62">
        <f>IFERROR(VLOOKUP(A121,Input!$D$249:$I$253,6,FALSE),"")</f>
        <v>4.1269841269841276E-2</v>
      </c>
      <c r="G121" s="62">
        <f t="shared" si="1"/>
        <v>9.8263356628203055E-2</v>
      </c>
    </row>
    <row r="122" spans="1:7" x14ac:dyDescent="0.25">
      <c r="A122" s="3" t="s">
        <v>25</v>
      </c>
      <c r="B122" s="3" t="s">
        <v>8</v>
      </c>
      <c r="C122" s="3">
        <v>2040</v>
      </c>
      <c r="D122" s="61">
        <f>INDEX(Input!$I$221:$AI$235,MATCH(A122&amp;B122,Input!$H$221:$H$239,0),MATCH(C122,Input!$I$220:$AI$220,0))</f>
        <v>1.7747440273037544E-2</v>
      </c>
      <c r="E122" s="62">
        <f>IFERROR(VLOOKUP(A122,Input!$D$241:$I$245,6,FALSE),"")</f>
        <v>3.8700000000000005E-2</v>
      </c>
      <c r="F122" s="62">
        <f>IFERROR(VLOOKUP(A122,Input!$D$249:$I$253,6,FALSE),"")</f>
        <v>4.1269841269841276E-2</v>
      </c>
      <c r="G122" s="62">
        <f t="shared" si="1"/>
        <v>9.7717281542878828E-2</v>
      </c>
    </row>
    <row r="123" spans="1:7" x14ac:dyDescent="0.25">
      <c r="A123" s="3" t="s">
        <v>25</v>
      </c>
      <c r="B123" s="3" t="s">
        <v>8</v>
      </c>
      <c r="C123" s="3">
        <v>2041</v>
      </c>
      <c r="D123" s="61">
        <f>INDEX(Input!$I$221:$AI$235,MATCH(A123&amp;B123,Input!$H$221:$H$239,0),MATCH(C123,Input!$I$220:$AI$220,0))</f>
        <v>1.7747440273037544E-2</v>
      </c>
      <c r="E123" s="62">
        <f>IFERROR(VLOOKUP(A123,Input!$D$241:$I$245,6,FALSE),"")</f>
        <v>3.8700000000000005E-2</v>
      </c>
      <c r="F123" s="62">
        <f>IFERROR(VLOOKUP(A123,Input!$D$249:$I$253,6,FALSE),"")</f>
        <v>4.1269841269841276E-2</v>
      </c>
      <c r="G123" s="62">
        <f t="shared" si="1"/>
        <v>9.7717281542878828E-2</v>
      </c>
    </row>
    <row r="124" spans="1:7" x14ac:dyDescent="0.25">
      <c r="A124" s="3" t="s">
        <v>25</v>
      </c>
      <c r="B124" s="3" t="s">
        <v>8</v>
      </c>
      <c r="C124" s="3">
        <v>2042</v>
      </c>
      <c r="D124" s="61">
        <f>INDEX(Input!$I$221:$AI$235,MATCH(A124&amp;B124,Input!$H$221:$H$239,0),MATCH(C124,Input!$I$220:$AI$220,0))</f>
        <v>1.7747440273037544E-2</v>
      </c>
      <c r="E124" s="62">
        <f>IFERROR(VLOOKUP(A124,Input!$D$241:$I$245,6,FALSE),"")</f>
        <v>3.8700000000000005E-2</v>
      </c>
      <c r="F124" s="62">
        <f>IFERROR(VLOOKUP(A124,Input!$D$249:$I$253,6,FALSE),"")</f>
        <v>4.1269841269841276E-2</v>
      </c>
      <c r="G124" s="62">
        <f t="shared" si="1"/>
        <v>9.7717281542878828E-2</v>
      </c>
    </row>
    <row r="125" spans="1:7" x14ac:dyDescent="0.25">
      <c r="A125" s="3" t="s">
        <v>25</v>
      </c>
      <c r="B125" s="3" t="s">
        <v>8</v>
      </c>
      <c r="C125" s="3">
        <v>2043</v>
      </c>
      <c r="D125" s="61">
        <f>INDEX(Input!$I$221:$AI$235,MATCH(A125&amp;B125,Input!$H$221:$H$239,0),MATCH(C125,Input!$I$220:$AI$220,0))</f>
        <v>1.7747440273037544E-2</v>
      </c>
      <c r="E125" s="62">
        <f>IFERROR(VLOOKUP(A125,Input!$D$241:$I$245,6,FALSE),"")</f>
        <v>3.8700000000000005E-2</v>
      </c>
      <c r="F125" s="62">
        <f>IFERROR(VLOOKUP(A125,Input!$D$249:$I$253,6,FALSE),"")</f>
        <v>4.1269841269841276E-2</v>
      </c>
      <c r="G125" s="62">
        <f t="shared" si="1"/>
        <v>9.7717281542878828E-2</v>
      </c>
    </row>
    <row r="126" spans="1:7" x14ac:dyDescent="0.25">
      <c r="A126" s="3" t="s">
        <v>25</v>
      </c>
      <c r="B126" s="3" t="s">
        <v>8</v>
      </c>
      <c r="C126" s="3">
        <v>2044</v>
      </c>
      <c r="D126" s="61">
        <f>INDEX(Input!$I$221:$AI$235,MATCH(A126&amp;B126,Input!$H$221:$H$239,0),MATCH(C126,Input!$I$220:$AI$220,0))</f>
        <v>1.7747440273037544E-2</v>
      </c>
      <c r="E126" s="62">
        <f>IFERROR(VLOOKUP(A126,Input!$D$241:$I$245,6,FALSE),"")</f>
        <v>3.8700000000000005E-2</v>
      </c>
      <c r="F126" s="62">
        <f>IFERROR(VLOOKUP(A126,Input!$D$249:$I$253,6,FALSE),"")</f>
        <v>4.1269841269841276E-2</v>
      </c>
      <c r="G126" s="62">
        <f t="shared" si="1"/>
        <v>9.7717281542878828E-2</v>
      </c>
    </row>
    <row r="127" spans="1:7" x14ac:dyDescent="0.25">
      <c r="A127" s="3" t="s">
        <v>25</v>
      </c>
      <c r="B127" s="3" t="s">
        <v>8</v>
      </c>
      <c r="C127" s="3">
        <v>2045</v>
      </c>
      <c r="D127" s="61">
        <f>INDEX(Input!$I$221:$AI$235,MATCH(A127&amp;B127,Input!$H$221:$H$239,0),MATCH(C127,Input!$I$220:$AI$220,0))</f>
        <v>1.7747440273037544E-2</v>
      </c>
      <c r="E127" s="62">
        <f>IFERROR(VLOOKUP(A127,Input!$D$241:$I$245,6,FALSE),"")</f>
        <v>3.8700000000000005E-2</v>
      </c>
      <c r="F127" s="62">
        <f>IFERROR(VLOOKUP(A127,Input!$D$249:$I$253,6,FALSE),"")</f>
        <v>4.1269841269841276E-2</v>
      </c>
      <c r="G127" s="62">
        <f t="shared" si="1"/>
        <v>9.7717281542878828E-2</v>
      </c>
    </row>
    <row r="128" spans="1:7" x14ac:dyDescent="0.25">
      <c r="A128" s="3" t="s">
        <v>25</v>
      </c>
      <c r="B128" s="3" t="s">
        <v>8</v>
      </c>
      <c r="C128" s="3">
        <v>2046</v>
      </c>
      <c r="D128" s="61">
        <f>INDEX(Input!$I$221:$AI$235,MATCH(A128&amp;B128,Input!$H$221:$H$239,0),MATCH(C128,Input!$I$220:$AI$220,0))</f>
        <v>1.7747440273037544E-2</v>
      </c>
      <c r="E128" s="62">
        <f>IFERROR(VLOOKUP(A128,Input!$D$241:$I$245,6,FALSE),"")</f>
        <v>3.8700000000000005E-2</v>
      </c>
      <c r="F128" s="62">
        <f>IFERROR(VLOOKUP(A128,Input!$D$249:$I$253,6,FALSE),"")</f>
        <v>4.1269841269841276E-2</v>
      </c>
      <c r="G128" s="62">
        <f t="shared" si="1"/>
        <v>9.7717281542878828E-2</v>
      </c>
    </row>
    <row r="129" spans="1:7" x14ac:dyDescent="0.25">
      <c r="A129" s="3" t="s">
        <v>25</v>
      </c>
      <c r="B129" s="3" t="s">
        <v>8</v>
      </c>
      <c r="C129" s="3">
        <v>2047</v>
      </c>
      <c r="D129" s="61">
        <f>INDEX(Input!$I$221:$AI$235,MATCH(A129&amp;B129,Input!$H$221:$H$239,0),MATCH(C129,Input!$I$220:$AI$220,0))</f>
        <v>1.7747440273037544E-2</v>
      </c>
      <c r="E129" s="62">
        <f>IFERROR(VLOOKUP(A129,Input!$D$241:$I$245,6,FALSE),"")</f>
        <v>3.8700000000000005E-2</v>
      </c>
      <c r="F129" s="62">
        <f>IFERROR(VLOOKUP(A129,Input!$D$249:$I$253,6,FALSE),"")</f>
        <v>4.1269841269841276E-2</v>
      </c>
      <c r="G129" s="62">
        <f t="shared" si="1"/>
        <v>9.7717281542878828E-2</v>
      </c>
    </row>
    <row r="130" spans="1:7" x14ac:dyDescent="0.25">
      <c r="A130" s="3" t="s">
        <v>25</v>
      </c>
      <c r="B130" s="3" t="s">
        <v>8</v>
      </c>
      <c r="C130" s="3">
        <v>2048</v>
      </c>
      <c r="D130" s="61">
        <f>INDEX(Input!$I$221:$AI$235,MATCH(A130&amp;B130,Input!$H$221:$H$239,0),MATCH(C130,Input!$I$220:$AI$220,0))</f>
        <v>1.7747440273037544E-2</v>
      </c>
      <c r="E130" s="62">
        <f>IFERROR(VLOOKUP(A130,Input!$D$241:$I$245,6,FALSE),"")</f>
        <v>3.8700000000000005E-2</v>
      </c>
      <c r="F130" s="62">
        <f>IFERROR(VLOOKUP(A130,Input!$D$249:$I$253,6,FALSE),"")</f>
        <v>4.1269841269841276E-2</v>
      </c>
      <c r="G130" s="62">
        <f t="shared" si="1"/>
        <v>9.7717281542878828E-2</v>
      </c>
    </row>
    <row r="131" spans="1:7" x14ac:dyDescent="0.25">
      <c r="A131" s="3" t="s">
        <v>25</v>
      </c>
      <c r="B131" s="3" t="s">
        <v>8</v>
      </c>
      <c r="C131" s="3">
        <v>2049</v>
      </c>
      <c r="D131" s="61">
        <f>INDEX(Input!$I$221:$AI$235,MATCH(A131&amp;B131,Input!$H$221:$H$239,0),MATCH(C131,Input!$I$220:$AI$220,0))</f>
        <v>1.7747440273037544E-2</v>
      </c>
      <c r="E131" s="62">
        <f>IFERROR(VLOOKUP(A131,Input!$D$241:$I$245,6,FALSE),"")</f>
        <v>3.8700000000000005E-2</v>
      </c>
      <c r="F131" s="62">
        <f>IFERROR(VLOOKUP(A131,Input!$D$249:$I$253,6,FALSE),"")</f>
        <v>4.1269841269841276E-2</v>
      </c>
      <c r="G131" s="62">
        <f t="shared" ref="G131:G194" si="2">IFERROR(D131+E131+F131,"")</f>
        <v>9.7717281542878828E-2</v>
      </c>
    </row>
    <row r="132" spans="1:7" x14ac:dyDescent="0.25">
      <c r="A132" s="3" t="s">
        <v>25</v>
      </c>
      <c r="B132" s="3" t="s">
        <v>8</v>
      </c>
      <c r="C132" s="3">
        <v>2050</v>
      </c>
      <c r="D132" s="61">
        <f>INDEX(Input!$I$221:$AI$235,MATCH(A132&amp;B132,Input!$H$221:$H$239,0),MATCH(C132,Input!$I$220:$AI$220,0))</f>
        <v>1.7747440273037544E-2</v>
      </c>
      <c r="E132" s="62">
        <f>IFERROR(VLOOKUP(A132,Input!$D$241:$I$245,6,FALSE),"")</f>
        <v>3.8700000000000005E-2</v>
      </c>
      <c r="F132" s="62">
        <f>IFERROR(VLOOKUP(A132,Input!$D$249:$I$253,6,FALSE),"")</f>
        <v>4.1269841269841276E-2</v>
      </c>
      <c r="G132" s="62">
        <f t="shared" si="2"/>
        <v>9.7717281542878828E-2</v>
      </c>
    </row>
    <row r="133" spans="1:7" x14ac:dyDescent="0.25">
      <c r="A133" s="3" t="s">
        <v>25</v>
      </c>
      <c r="B133" s="3" t="s">
        <v>66</v>
      </c>
      <c r="C133" s="3">
        <v>2024</v>
      </c>
      <c r="D133" s="61">
        <f>INDEX(Input!$I$221:$AI$235,MATCH(A133&amp;B133,Input!$H$221:$H$239,0),MATCH(C133,Input!$I$220:$AI$220,0))</f>
        <v>4.1296928327645047E-2</v>
      </c>
      <c r="E133" s="62">
        <f>IFERROR(VLOOKUP(A133,Input!$D$241:$I$245,6,FALSE),"")</f>
        <v>3.8700000000000005E-2</v>
      </c>
      <c r="F133" s="62">
        <f>IFERROR(VLOOKUP(A133,Input!$D$249:$I$253,6,FALSE),"")</f>
        <v>4.1269841269841276E-2</v>
      </c>
      <c r="G133" s="62">
        <f t="shared" si="2"/>
        <v>0.12126676959748632</v>
      </c>
    </row>
    <row r="134" spans="1:7" x14ac:dyDescent="0.25">
      <c r="A134" s="3" t="s">
        <v>25</v>
      </c>
      <c r="B134" s="3" t="s">
        <v>66</v>
      </c>
      <c r="C134" s="3">
        <v>2025</v>
      </c>
      <c r="D134" s="61">
        <f>INDEX(Input!$I$221:$AI$235,MATCH(A134&amp;B134,Input!$H$221:$H$239,0),MATCH(C134,Input!$I$220:$AI$220,0))</f>
        <v>3.6916951080773606E-2</v>
      </c>
      <c r="E134" s="62">
        <f>IFERROR(VLOOKUP(A134,Input!$D$241:$I$245,6,FALSE),"")</f>
        <v>3.8700000000000005E-2</v>
      </c>
      <c r="F134" s="62">
        <f>IFERROR(VLOOKUP(A134,Input!$D$249:$I$253,6,FALSE),"")</f>
        <v>4.1269841269841276E-2</v>
      </c>
      <c r="G134" s="62">
        <f t="shared" si="2"/>
        <v>0.11688679235061489</v>
      </c>
    </row>
    <row r="135" spans="1:7" x14ac:dyDescent="0.25">
      <c r="A135" s="3" t="s">
        <v>25</v>
      </c>
      <c r="B135" s="3" t="s">
        <v>66</v>
      </c>
      <c r="C135" s="3">
        <v>2026</v>
      </c>
      <c r="D135" s="61">
        <f>INDEX(Input!$I$221:$AI$235,MATCH(A135&amp;B135,Input!$H$221:$H$239,0),MATCH(C135,Input!$I$220:$AI$220,0))</f>
        <v>3.2536973833902159E-2</v>
      </c>
      <c r="E135" s="62">
        <f>IFERROR(VLOOKUP(A135,Input!$D$241:$I$245,6,FALSE),"")</f>
        <v>3.8700000000000005E-2</v>
      </c>
      <c r="F135" s="62">
        <f>IFERROR(VLOOKUP(A135,Input!$D$249:$I$253,6,FALSE),"")</f>
        <v>4.1269841269841276E-2</v>
      </c>
      <c r="G135" s="62">
        <f t="shared" si="2"/>
        <v>0.11250681510374344</v>
      </c>
    </row>
    <row r="136" spans="1:7" x14ac:dyDescent="0.25">
      <c r="A136" s="3" t="s">
        <v>25</v>
      </c>
      <c r="B136" s="3" t="s">
        <v>66</v>
      </c>
      <c r="C136" s="3">
        <v>2027</v>
      </c>
      <c r="D136" s="61">
        <f>INDEX(Input!$I$221:$AI$235,MATCH(A136&amp;B136,Input!$H$221:$H$239,0),MATCH(C136,Input!$I$220:$AI$220,0))</f>
        <v>2.8156996587030716E-2</v>
      </c>
      <c r="E136" s="62">
        <f>IFERROR(VLOOKUP(A136,Input!$D$241:$I$245,6,FALSE),"")</f>
        <v>3.8700000000000005E-2</v>
      </c>
      <c r="F136" s="62">
        <f>IFERROR(VLOOKUP(A136,Input!$D$249:$I$253,6,FALSE),"")</f>
        <v>4.1269841269841276E-2</v>
      </c>
      <c r="G136" s="62">
        <f t="shared" si="2"/>
        <v>0.10812683785687199</v>
      </c>
    </row>
    <row r="137" spans="1:7" x14ac:dyDescent="0.25">
      <c r="A137" s="3" t="s">
        <v>25</v>
      </c>
      <c r="B137" s="3" t="s">
        <v>66</v>
      </c>
      <c r="C137" s="3">
        <v>2028</v>
      </c>
      <c r="D137" s="61">
        <f>INDEX(Input!$I$221:$AI$235,MATCH(A137&amp;B137,Input!$H$221:$H$239,0),MATCH(C137,Input!$I$220:$AI$220,0))</f>
        <v>2.3777019340159272E-2</v>
      </c>
      <c r="E137" s="62">
        <f>IFERROR(VLOOKUP(A137,Input!$D$241:$I$245,6,FALSE),"")</f>
        <v>3.8700000000000005E-2</v>
      </c>
      <c r="F137" s="62">
        <f>IFERROR(VLOOKUP(A137,Input!$D$249:$I$253,6,FALSE),"")</f>
        <v>4.1269841269841276E-2</v>
      </c>
      <c r="G137" s="62">
        <f t="shared" si="2"/>
        <v>0.10374686061000055</v>
      </c>
    </row>
    <row r="138" spans="1:7" x14ac:dyDescent="0.25">
      <c r="A138" s="3" t="s">
        <v>25</v>
      </c>
      <c r="B138" s="3" t="s">
        <v>66</v>
      </c>
      <c r="C138" s="3">
        <v>2029</v>
      </c>
      <c r="D138" s="61">
        <f>INDEX(Input!$I$221:$AI$235,MATCH(A138&amp;B138,Input!$H$221:$H$239,0),MATCH(C138,Input!$I$220:$AI$220,0))</f>
        <v>1.9397042093287829E-2</v>
      </c>
      <c r="E138" s="62">
        <f>IFERROR(VLOOKUP(A138,Input!$D$241:$I$245,6,FALSE),"")</f>
        <v>3.8700000000000005E-2</v>
      </c>
      <c r="F138" s="62">
        <f>IFERROR(VLOOKUP(A138,Input!$D$249:$I$253,6,FALSE),"")</f>
        <v>4.1269841269841276E-2</v>
      </c>
      <c r="G138" s="62">
        <f t="shared" si="2"/>
        <v>9.9366883363129113E-2</v>
      </c>
    </row>
    <row r="139" spans="1:7" x14ac:dyDescent="0.25">
      <c r="A139" s="3" t="s">
        <v>25</v>
      </c>
      <c r="B139" s="3" t="s">
        <v>66</v>
      </c>
      <c r="C139" s="3">
        <v>2030</v>
      </c>
      <c r="D139" s="61">
        <f>INDEX(Input!$I$221:$AI$235,MATCH(A139&amp;B139,Input!$H$221:$H$239,0),MATCH(C139,Input!$I$220:$AI$220,0))</f>
        <v>1.5017064846416383E-2</v>
      </c>
      <c r="E139" s="62">
        <f>IFERROR(VLOOKUP(A139,Input!$D$241:$I$245,6,FALSE),"")</f>
        <v>3.8700000000000005E-2</v>
      </c>
      <c r="F139" s="62">
        <f>IFERROR(VLOOKUP(A139,Input!$D$249:$I$253,6,FALSE),"")</f>
        <v>4.1269841269841276E-2</v>
      </c>
      <c r="G139" s="62">
        <f t="shared" si="2"/>
        <v>9.4986906116257666E-2</v>
      </c>
    </row>
    <row r="140" spans="1:7" x14ac:dyDescent="0.25">
      <c r="A140" s="3" t="s">
        <v>25</v>
      </c>
      <c r="B140" s="3" t="s">
        <v>66</v>
      </c>
      <c r="C140" s="3">
        <v>2031</v>
      </c>
      <c r="D140" s="61">
        <f>INDEX(Input!$I$221:$AI$235,MATCH(A140&amp;B140,Input!$H$221:$H$239,0),MATCH(C140,Input!$I$220:$AI$220,0))</f>
        <v>1.5017064846416383E-2</v>
      </c>
      <c r="E140" s="62">
        <f>IFERROR(VLOOKUP(A140,Input!$D$241:$I$245,6,FALSE),"")</f>
        <v>3.8700000000000005E-2</v>
      </c>
      <c r="F140" s="62">
        <f>IFERROR(VLOOKUP(A140,Input!$D$249:$I$253,6,FALSE),"")</f>
        <v>4.1269841269841276E-2</v>
      </c>
      <c r="G140" s="62">
        <f t="shared" si="2"/>
        <v>9.4986906116257666E-2</v>
      </c>
    </row>
    <row r="141" spans="1:7" x14ac:dyDescent="0.25">
      <c r="A141" s="3" t="s">
        <v>25</v>
      </c>
      <c r="B141" s="3" t="s">
        <v>66</v>
      </c>
      <c r="C141" s="3">
        <v>2032</v>
      </c>
      <c r="D141" s="61">
        <f>INDEX(Input!$I$221:$AI$235,MATCH(A141&amp;B141,Input!$H$221:$H$239,0),MATCH(C141,Input!$I$220:$AI$220,0))</f>
        <v>1.4914675767918089E-2</v>
      </c>
      <c r="E141" s="62">
        <f>IFERROR(VLOOKUP(A141,Input!$D$241:$I$245,6,FALSE),"")</f>
        <v>3.8700000000000005E-2</v>
      </c>
      <c r="F141" s="62">
        <f>IFERROR(VLOOKUP(A141,Input!$D$249:$I$253,6,FALSE),"")</f>
        <v>4.1269841269841276E-2</v>
      </c>
      <c r="G141" s="62">
        <f t="shared" si="2"/>
        <v>9.4884517037759367E-2</v>
      </c>
    </row>
    <row r="142" spans="1:7" x14ac:dyDescent="0.25">
      <c r="A142" s="3" t="s">
        <v>25</v>
      </c>
      <c r="B142" s="3" t="s">
        <v>66</v>
      </c>
      <c r="C142" s="3">
        <v>2033</v>
      </c>
      <c r="D142" s="61">
        <f>INDEX(Input!$I$221:$AI$235,MATCH(A142&amp;B142,Input!$H$221:$H$239,0),MATCH(C142,Input!$I$220:$AI$220,0))</f>
        <v>1.4812286689419795E-2</v>
      </c>
      <c r="E142" s="62">
        <f>IFERROR(VLOOKUP(A142,Input!$D$241:$I$245,6,FALSE),"")</f>
        <v>3.8700000000000005E-2</v>
      </c>
      <c r="F142" s="62">
        <f>IFERROR(VLOOKUP(A142,Input!$D$249:$I$253,6,FALSE),"")</f>
        <v>4.1269841269841276E-2</v>
      </c>
      <c r="G142" s="62">
        <f t="shared" si="2"/>
        <v>9.4782127959261081E-2</v>
      </c>
    </row>
    <row r="143" spans="1:7" x14ac:dyDescent="0.25">
      <c r="A143" s="3" t="s">
        <v>25</v>
      </c>
      <c r="B143" s="3" t="s">
        <v>66</v>
      </c>
      <c r="C143" s="3">
        <v>2034</v>
      </c>
      <c r="D143" s="61">
        <f>INDEX(Input!$I$221:$AI$235,MATCH(A143&amp;B143,Input!$H$221:$H$239,0),MATCH(C143,Input!$I$220:$AI$220,0))</f>
        <v>1.4709897610921504E-2</v>
      </c>
      <c r="E143" s="62">
        <f>IFERROR(VLOOKUP(A143,Input!$D$241:$I$245,6,FALSE),"")</f>
        <v>3.8700000000000005E-2</v>
      </c>
      <c r="F143" s="62">
        <f>IFERROR(VLOOKUP(A143,Input!$D$249:$I$253,6,FALSE),"")</f>
        <v>4.1269841269841276E-2</v>
      </c>
      <c r="G143" s="62">
        <f t="shared" si="2"/>
        <v>9.4679738880762782E-2</v>
      </c>
    </row>
    <row r="144" spans="1:7" x14ac:dyDescent="0.25">
      <c r="A144" s="3" t="s">
        <v>25</v>
      </c>
      <c r="B144" s="3" t="s">
        <v>66</v>
      </c>
      <c r="C144" s="3">
        <v>2035</v>
      </c>
      <c r="D144" s="61">
        <f>INDEX(Input!$I$221:$AI$235,MATCH(A144&amp;B144,Input!$H$221:$H$239,0),MATCH(C144,Input!$I$220:$AI$220,0))</f>
        <v>1.460750853242321E-2</v>
      </c>
      <c r="E144" s="62">
        <f>IFERROR(VLOOKUP(A144,Input!$D$241:$I$245,6,FALSE),"")</f>
        <v>3.8700000000000005E-2</v>
      </c>
      <c r="F144" s="62">
        <f>IFERROR(VLOOKUP(A144,Input!$D$249:$I$253,6,FALSE),"")</f>
        <v>4.1269841269841276E-2</v>
      </c>
      <c r="G144" s="62">
        <f t="shared" si="2"/>
        <v>9.4577349802264482E-2</v>
      </c>
    </row>
    <row r="145" spans="1:7" x14ac:dyDescent="0.25">
      <c r="A145" s="3" t="s">
        <v>25</v>
      </c>
      <c r="B145" s="3" t="s">
        <v>66</v>
      </c>
      <c r="C145" s="3">
        <v>2036</v>
      </c>
      <c r="D145" s="61">
        <f>INDEX(Input!$I$221:$AI$235,MATCH(A145&amp;B145,Input!$H$221:$H$239,0),MATCH(C145,Input!$I$220:$AI$220,0))</f>
        <v>1.4505119453924915E-2</v>
      </c>
      <c r="E145" s="62">
        <f>IFERROR(VLOOKUP(A145,Input!$D$241:$I$245,6,FALSE),"")</f>
        <v>3.8700000000000005E-2</v>
      </c>
      <c r="F145" s="62">
        <f>IFERROR(VLOOKUP(A145,Input!$D$249:$I$253,6,FALSE),"")</f>
        <v>4.1269841269841276E-2</v>
      </c>
      <c r="G145" s="62">
        <f t="shared" si="2"/>
        <v>9.4474960723766196E-2</v>
      </c>
    </row>
    <row r="146" spans="1:7" x14ac:dyDescent="0.25">
      <c r="A146" s="3" t="s">
        <v>25</v>
      </c>
      <c r="B146" s="3" t="s">
        <v>66</v>
      </c>
      <c r="C146" s="3">
        <v>2037</v>
      </c>
      <c r="D146" s="61">
        <f>INDEX(Input!$I$221:$AI$235,MATCH(A146&amp;B146,Input!$H$221:$H$239,0),MATCH(C146,Input!$I$220:$AI$220,0))</f>
        <v>1.4402730375426621E-2</v>
      </c>
      <c r="E146" s="62">
        <f>IFERROR(VLOOKUP(A146,Input!$D$241:$I$245,6,FALSE),"")</f>
        <v>3.8700000000000005E-2</v>
      </c>
      <c r="F146" s="62">
        <f>IFERROR(VLOOKUP(A146,Input!$D$249:$I$253,6,FALSE),"")</f>
        <v>4.1269841269841276E-2</v>
      </c>
      <c r="G146" s="62">
        <f t="shared" si="2"/>
        <v>9.4372571645267911E-2</v>
      </c>
    </row>
    <row r="147" spans="1:7" x14ac:dyDescent="0.25">
      <c r="A147" s="3" t="s">
        <v>25</v>
      </c>
      <c r="B147" s="3" t="s">
        <v>66</v>
      </c>
      <c r="C147" s="3">
        <v>2038</v>
      </c>
      <c r="D147" s="61">
        <f>INDEX(Input!$I$221:$AI$235,MATCH(A147&amp;B147,Input!$H$221:$H$239,0),MATCH(C147,Input!$I$220:$AI$220,0))</f>
        <v>1.4300341296928327E-2</v>
      </c>
      <c r="E147" s="62">
        <f>IFERROR(VLOOKUP(A147,Input!$D$241:$I$245,6,FALSE),"")</f>
        <v>3.8700000000000005E-2</v>
      </c>
      <c r="F147" s="62">
        <f>IFERROR(VLOOKUP(A147,Input!$D$249:$I$253,6,FALSE),"")</f>
        <v>4.1269841269841276E-2</v>
      </c>
      <c r="G147" s="62">
        <f t="shared" si="2"/>
        <v>9.4270182566769611E-2</v>
      </c>
    </row>
    <row r="148" spans="1:7" x14ac:dyDescent="0.25">
      <c r="A148" s="3" t="s">
        <v>25</v>
      </c>
      <c r="B148" s="3" t="s">
        <v>66</v>
      </c>
      <c r="C148" s="3">
        <v>2039</v>
      </c>
      <c r="D148" s="61">
        <f>INDEX(Input!$I$221:$AI$235,MATCH(A148&amp;B148,Input!$H$221:$H$239,0),MATCH(C148,Input!$I$220:$AI$220,0))</f>
        <v>1.4197952218430034E-2</v>
      </c>
      <c r="E148" s="62">
        <f>IFERROR(VLOOKUP(A148,Input!$D$241:$I$245,6,FALSE),"")</f>
        <v>3.8700000000000005E-2</v>
      </c>
      <c r="F148" s="62">
        <f>IFERROR(VLOOKUP(A148,Input!$D$249:$I$253,6,FALSE),"")</f>
        <v>4.1269841269841276E-2</v>
      </c>
      <c r="G148" s="62">
        <f t="shared" si="2"/>
        <v>9.4167793488271312E-2</v>
      </c>
    </row>
    <row r="149" spans="1:7" x14ac:dyDescent="0.25">
      <c r="A149" s="3" t="s">
        <v>25</v>
      </c>
      <c r="B149" s="3" t="s">
        <v>66</v>
      </c>
      <c r="C149" s="3">
        <v>2040</v>
      </c>
      <c r="D149" s="61">
        <f>INDEX(Input!$I$221:$AI$235,MATCH(A149&amp;B149,Input!$H$221:$H$239,0),MATCH(C149,Input!$I$220:$AI$220,0))</f>
        <v>1.3993174061433446E-2</v>
      </c>
      <c r="E149" s="62">
        <f>IFERROR(VLOOKUP(A149,Input!$D$241:$I$245,6,FALSE),"")</f>
        <v>3.8700000000000005E-2</v>
      </c>
      <c r="F149" s="62">
        <f>IFERROR(VLOOKUP(A149,Input!$D$249:$I$253,6,FALSE),"")</f>
        <v>4.1269841269841276E-2</v>
      </c>
      <c r="G149" s="62">
        <f t="shared" si="2"/>
        <v>9.3963015331274727E-2</v>
      </c>
    </row>
    <row r="150" spans="1:7" x14ac:dyDescent="0.25">
      <c r="A150" s="3" t="s">
        <v>25</v>
      </c>
      <c r="B150" s="3" t="s">
        <v>66</v>
      </c>
      <c r="C150" s="3">
        <v>2041</v>
      </c>
      <c r="D150" s="61">
        <f>INDEX(Input!$I$221:$AI$235,MATCH(A150&amp;B150,Input!$H$221:$H$239,0),MATCH(C150,Input!$I$220:$AI$220,0))</f>
        <v>1.3993174061433446E-2</v>
      </c>
      <c r="E150" s="62">
        <f>IFERROR(VLOOKUP(A150,Input!$D$241:$I$245,6,FALSE),"")</f>
        <v>3.8700000000000005E-2</v>
      </c>
      <c r="F150" s="62">
        <f>IFERROR(VLOOKUP(A150,Input!$D$249:$I$253,6,FALSE),"")</f>
        <v>4.1269841269841276E-2</v>
      </c>
      <c r="G150" s="62">
        <f t="shared" si="2"/>
        <v>9.3963015331274727E-2</v>
      </c>
    </row>
    <row r="151" spans="1:7" x14ac:dyDescent="0.25">
      <c r="A151" s="3" t="s">
        <v>25</v>
      </c>
      <c r="B151" s="3" t="s">
        <v>66</v>
      </c>
      <c r="C151" s="3">
        <v>2042</v>
      </c>
      <c r="D151" s="61">
        <f>INDEX(Input!$I$221:$AI$235,MATCH(A151&amp;B151,Input!$H$221:$H$239,0),MATCH(C151,Input!$I$220:$AI$220,0))</f>
        <v>1.3959044368600682E-2</v>
      </c>
      <c r="E151" s="62">
        <f>IFERROR(VLOOKUP(A151,Input!$D$241:$I$245,6,FALSE),"")</f>
        <v>3.8700000000000005E-2</v>
      </c>
      <c r="F151" s="62">
        <f>IFERROR(VLOOKUP(A151,Input!$D$249:$I$253,6,FALSE),"")</f>
        <v>4.1269841269841276E-2</v>
      </c>
      <c r="G151" s="62">
        <f t="shared" si="2"/>
        <v>9.3928885638441956E-2</v>
      </c>
    </row>
    <row r="152" spans="1:7" x14ac:dyDescent="0.25">
      <c r="A152" s="3" t="s">
        <v>25</v>
      </c>
      <c r="B152" s="3" t="s">
        <v>66</v>
      </c>
      <c r="C152" s="3">
        <v>2043</v>
      </c>
      <c r="D152" s="61">
        <f>INDEX(Input!$I$221:$AI$235,MATCH(A152&amp;B152,Input!$H$221:$H$239,0),MATCH(C152,Input!$I$220:$AI$220,0))</f>
        <v>1.3924914675767919E-2</v>
      </c>
      <c r="E152" s="62">
        <f>IFERROR(VLOOKUP(A152,Input!$D$241:$I$245,6,FALSE),"")</f>
        <v>3.8700000000000005E-2</v>
      </c>
      <c r="F152" s="62">
        <f>IFERROR(VLOOKUP(A152,Input!$D$249:$I$253,6,FALSE),"")</f>
        <v>4.1269841269841276E-2</v>
      </c>
      <c r="G152" s="62">
        <f t="shared" si="2"/>
        <v>9.3894755945609198E-2</v>
      </c>
    </row>
    <row r="153" spans="1:7" x14ac:dyDescent="0.25">
      <c r="A153" s="3" t="s">
        <v>25</v>
      </c>
      <c r="B153" s="3" t="s">
        <v>66</v>
      </c>
      <c r="C153" s="3">
        <v>2044</v>
      </c>
      <c r="D153" s="61">
        <f>INDEX(Input!$I$221:$AI$235,MATCH(A153&amp;B153,Input!$H$221:$H$239,0),MATCH(C153,Input!$I$220:$AI$220,0))</f>
        <v>1.3890784982935151E-2</v>
      </c>
      <c r="E153" s="62">
        <f>IFERROR(VLOOKUP(A153,Input!$D$241:$I$245,6,FALSE),"")</f>
        <v>3.8700000000000005E-2</v>
      </c>
      <c r="F153" s="62">
        <f>IFERROR(VLOOKUP(A153,Input!$D$249:$I$253,6,FALSE),"")</f>
        <v>4.1269841269841276E-2</v>
      </c>
      <c r="G153" s="62">
        <f t="shared" si="2"/>
        <v>9.3860626252776441E-2</v>
      </c>
    </row>
    <row r="154" spans="1:7" x14ac:dyDescent="0.25">
      <c r="A154" s="3" t="s">
        <v>25</v>
      </c>
      <c r="B154" s="3" t="s">
        <v>66</v>
      </c>
      <c r="C154" s="3">
        <v>2045</v>
      </c>
      <c r="D154" s="61">
        <f>INDEX(Input!$I$221:$AI$235,MATCH(A154&amp;B154,Input!$H$221:$H$239,0),MATCH(C154,Input!$I$220:$AI$220,0))</f>
        <v>1.3856655290102387E-2</v>
      </c>
      <c r="E154" s="62">
        <f>IFERROR(VLOOKUP(A154,Input!$D$241:$I$245,6,FALSE),"")</f>
        <v>3.8700000000000005E-2</v>
      </c>
      <c r="F154" s="62">
        <f>IFERROR(VLOOKUP(A154,Input!$D$249:$I$253,6,FALSE),"")</f>
        <v>4.1269841269841276E-2</v>
      </c>
      <c r="G154" s="62">
        <f t="shared" si="2"/>
        <v>9.382649655994367E-2</v>
      </c>
    </row>
    <row r="155" spans="1:7" x14ac:dyDescent="0.25">
      <c r="A155" s="3" t="s">
        <v>25</v>
      </c>
      <c r="B155" s="3" t="s">
        <v>66</v>
      </c>
      <c r="C155" s="3">
        <v>2046</v>
      </c>
      <c r="D155" s="61">
        <f>INDEX(Input!$I$221:$AI$235,MATCH(A155&amp;B155,Input!$H$221:$H$239,0),MATCH(C155,Input!$I$220:$AI$220,0))</f>
        <v>1.3822525597269625E-2</v>
      </c>
      <c r="E155" s="62">
        <f>IFERROR(VLOOKUP(A155,Input!$D$241:$I$245,6,FALSE),"")</f>
        <v>3.8700000000000005E-2</v>
      </c>
      <c r="F155" s="62">
        <f>IFERROR(VLOOKUP(A155,Input!$D$249:$I$253,6,FALSE),"")</f>
        <v>4.1269841269841276E-2</v>
      </c>
      <c r="G155" s="62">
        <f t="shared" si="2"/>
        <v>9.3792366867110899E-2</v>
      </c>
    </row>
    <row r="156" spans="1:7" x14ac:dyDescent="0.25">
      <c r="A156" s="3" t="s">
        <v>25</v>
      </c>
      <c r="B156" s="3" t="s">
        <v>66</v>
      </c>
      <c r="C156" s="3">
        <v>2047</v>
      </c>
      <c r="D156" s="61">
        <f>INDEX(Input!$I$221:$AI$235,MATCH(A156&amp;B156,Input!$H$221:$H$239,0),MATCH(C156,Input!$I$220:$AI$220,0))</f>
        <v>1.3788395904436861E-2</v>
      </c>
      <c r="E156" s="62">
        <f>IFERROR(VLOOKUP(A156,Input!$D$241:$I$245,6,FALSE),"")</f>
        <v>3.8700000000000005E-2</v>
      </c>
      <c r="F156" s="62">
        <f>IFERROR(VLOOKUP(A156,Input!$D$249:$I$253,6,FALSE),"")</f>
        <v>4.1269841269841276E-2</v>
      </c>
      <c r="G156" s="62">
        <f t="shared" si="2"/>
        <v>9.3758237174278142E-2</v>
      </c>
    </row>
    <row r="157" spans="1:7" x14ac:dyDescent="0.25">
      <c r="A157" s="3" t="s">
        <v>25</v>
      </c>
      <c r="B157" s="3" t="s">
        <v>66</v>
      </c>
      <c r="C157" s="3">
        <v>2048</v>
      </c>
      <c r="D157" s="61">
        <f>INDEX(Input!$I$221:$AI$235,MATCH(A157&amp;B157,Input!$H$221:$H$239,0),MATCH(C157,Input!$I$220:$AI$220,0))</f>
        <v>1.3754266211604096E-2</v>
      </c>
      <c r="E157" s="62">
        <f>IFERROR(VLOOKUP(A157,Input!$D$241:$I$245,6,FALSE),"")</f>
        <v>3.8700000000000005E-2</v>
      </c>
      <c r="F157" s="62">
        <f>IFERROR(VLOOKUP(A157,Input!$D$249:$I$253,6,FALSE),"")</f>
        <v>4.1269841269841276E-2</v>
      </c>
      <c r="G157" s="62">
        <f t="shared" si="2"/>
        <v>9.3724107481445385E-2</v>
      </c>
    </row>
    <row r="158" spans="1:7" x14ac:dyDescent="0.25">
      <c r="A158" s="3" t="s">
        <v>25</v>
      </c>
      <c r="B158" s="3" t="s">
        <v>66</v>
      </c>
      <c r="C158" s="3">
        <v>2049</v>
      </c>
      <c r="D158" s="61">
        <f>INDEX(Input!$I$221:$AI$235,MATCH(A158&amp;B158,Input!$H$221:$H$239,0),MATCH(C158,Input!$I$220:$AI$220,0))</f>
        <v>1.3720136518771329E-2</v>
      </c>
      <c r="E158" s="62">
        <f>IFERROR(VLOOKUP(A158,Input!$D$241:$I$245,6,FALSE),"")</f>
        <v>3.8700000000000005E-2</v>
      </c>
      <c r="F158" s="62">
        <f>IFERROR(VLOOKUP(A158,Input!$D$249:$I$253,6,FALSE),"")</f>
        <v>4.1269841269841276E-2</v>
      </c>
      <c r="G158" s="62">
        <f t="shared" si="2"/>
        <v>9.3689977788612613E-2</v>
      </c>
    </row>
    <row r="159" spans="1:7" x14ac:dyDescent="0.25">
      <c r="A159" s="3" t="s">
        <v>25</v>
      </c>
      <c r="B159" s="3" t="s">
        <v>66</v>
      </c>
      <c r="C159" s="3">
        <v>2050</v>
      </c>
      <c r="D159" s="61">
        <f>INDEX(Input!$I$221:$AI$235,MATCH(A159&amp;B159,Input!$H$221:$H$239,0),MATCH(C159,Input!$I$220:$AI$220,0))</f>
        <v>1.3651877133105802E-2</v>
      </c>
      <c r="E159" s="62">
        <f>IFERROR(VLOOKUP(A159,Input!$D$241:$I$245,6,FALSE),"")</f>
        <v>3.8700000000000005E-2</v>
      </c>
      <c r="F159" s="62">
        <f>IFERROR(VLOOKUP(A159,Input!$D$249:$I$253,6,FALSE),"")</f>
        <v>4.1269841269841276E-2</v>
      </c>
      <c r="G159" s="62">
        <f t="shared" si="2"/>
        <v>9.3621718402947085E-2</v>
      </c>
    </row>
    <row r="160" spans="1:7" x14ac:dyDescent="0.25">
      <c r="A160" s="3" t="s">
        <v>67</v>
      </c>
      <c r="B160" s="3" t="s">
        <v>65</v>
      </c>
      <c r="C160" s="3">
        <v>2024</v>
      </c>
      <c r="D160" s="61">
        <f>INDEX(Input!$I$221:$AI$235,MATCH(A160&amp;B160,Input!$H$221:$H$239,0),MATCH(C160,Input!$I$220:$AI$220,0))</f>
        <v>0.184</v>
      </c>
      <c r="E160" s="62">
        <f>IFERROR(VLOOKUP(A160,Input!$D$241:$I$245,6,FALSE),"")</f>
        <v>0.01</v>
      </c>
      <c r="F160" s="62">
        <f>IFERROR(VLOOKUP(A160,Input!$D$249:$I$253,6,FALSE),"")</f>
        <v>0.05</v>
      </c>
      <c r="G160" s="62">
        <f t="shared" si="2"/>
        <v>0.24399999999999999</v>
      </c>
    </row>
    <row r="161" spans="1:7" x14ac:dyDescent="0.25">
      <c r="A161" s="3" t="s">
        <v>67</v>
      </c>
      <c r="B161" s="3" t="s">
        <v>65</v>
      </c>
      <c r="C161" s="3">
        <v>2025</v>
      </c>
      <c r="D161" s="61">
        <f>INDEX(Input!$I$221:$AI$235,MATCH(A161&amp;B161,Input!$H$221:$H$239,0),MATCH(C161,Input!$I$220:$AI$220,0))</f>
        <v>0.2</v>
      </c>
      <c r="E161" s="62">
        <f>IFERROR(VLOOKUP(A161,Input!$D$241:$I$245,6,FALSE),"")</f>
        <v>0.01</v>
      </c>
      <c r="F161" s="62">
        <f>IFERROR(VLOOKUP(A161,Input!$D$249:$I$253,6,FALSE),"")</f>
        <v>0.05</v>
      </c>
      <c r="G161" s="62">
        <f t="shared" si="2"/>
        <v>0.26</v>
      </c>
    </row>
    <row r="162" spans="1:7" x14ac:dyDescent="0.25">
      <c r="A162" s="3" t="s">
        <v>67</v>
      </c>
      <c r="B162" s="3" t="s">
        <v>65</v>
      </c>
      <c r="C162" s="3">
        <v>2026</v>
      </c>
      <c r="D162" s="61">
        <f>INDEX(Input!$I$221:$AI$235,MATCH(A162&amp;B162,Input!$H$221:$H$239,0),MATCH(C162,Input!$I$220:$AI$220,0))</f>
        <v>0.184</v>
      </c>
      <c r="E162" s="62">
        <f>IFERROR(VLOOKUP(A162,Input!$D$241:$I$245,6,FALSE),"")</f>
        <v>0.01</v>
      </c>
      <c r="F162" s="62">
        <f>IFERROR(VLOOKUP(A162,Input!$D$249:$I$253,6,FALSE),"")</f>
        <v>0.05</v>
      </c>
      <c r="G162" s="62">
        <f t="shared" si="2"/>
        <v>0.24399999999999999</v>
      </c>
    </row>
    <row r="163" spans="1:7" x14ac:dyDescent="0.25">
      <c r="A163" s="3" t="s">
        <v>67</v>
      </c>
      <c r="B163" s="3" t="s">
        <v>65</v>
      </c>
      <c r="C163" s="3">
        <v>2027</v>
      </c>
      <c r="D163" s="61">
        <f>INDEX(Input!$I$221:$AI$235,MATCH(A163&amp;B163,Input!$H$221:$H$239,0),MATCH(C163,Input!$I$220:$AI$220,0))</f>
        <v>0.16800000000000001</v>
      </c>
      <c r="E163" s="62">
        <f>IFERROR(VLOOKUP(A163,Input!$D$241:$I$245,6,FALSE),"")</f>
        <v>0.01</v>
      </c>
      <c r="F163" s="62">
        <f>IFERROR(VLOOKUP(A163,Input!$D$249:$I$253,6,FALSE),"")</f>
        <v>0.05</v>
      </c>
      <c r="G163" s="62">
        <f t="shared" si="2"/>
        <v>0.22800000000000004</v>
      </c>
    </row>
    <row r="164" spans="1:7" x14ac:dyDescent="0.25">
      <c r="A164" s="3" t="s">
        <v>67</v>
      </c>
      <c r="B164" s="3" t="s">
        <v>65</v>
      </c>
      <c r="C164" s="3">
        <v>2028</v>
      </c>
      <c r="D164" s="61">
        <f>INDEX(Input!$I$221:$AI$235,MATCH(A164&amp;B164,Input!$H$221:$H$239,0),MATCH(C164,Input!$I$220:$AI$220,0))</f>
        <v>0.152</v>
      </c>
      <c r="E164" s="62">
        <f>IFERROR(VLOOKUP(A164,Input!$D$241:$I$245,6,FALSE),"")</f>
        <v>0.01</v>
      </c>
      <c r="F164" s="62">
        <f>IFERROR(VLOOKUP(A164,Input!$D$249:$I$253,6,FALSE),"")</f>
        <v>0.05</v>
      </c>
      <c r="G164" s="62">
        <f t="shared" si="2"/>
        <v>0.21200000000000002</v>
      </c>
    </row>
    <row r="165" spans="1:7" x14ac:dyDescent="0.25">
      <c r="A165" s="3" t="s">
        <v>67</v>
      </c>
      <c r="B165" s="3" t="s">
        <v>65</v>
      </c>
      <c r="C165" s="3">
        <v>2029</v>
      </c>
      <c r="D165" s="61">
        <f>INDEX(Input!$I$221:$AI$235,MATCH(A165&amp;B165,Input!$H$221:$H$239,0),MATCH(C165,Input!$I$220:$AI$220,0))</f>
        <v>0.13600000000000001</v>
      </c>
      <c r="E165" s="62">
        <f>IFERROR(VLOOKUP(A165,Input!$D$241:$I$245,6,FALSE),"")</f>
        <v>0.01</v>
      </c>
      <c r="F165" s="62">
        <f>IFERROR(VLOOKUP(A165,Input!$D$249:$I$253,6,FALSE),"")</f>
        <v>0.05</v>
      </c>
      <c r="G165" s="62">
        <f t="shared" si="2"/>
        <v>0.19600000000000001</v>
      </c>
    </row>
    <row r="166" spans="1:7" x14ac:dyDescent="0.25">
      <c r="A166" s="3" t="s">
        <v>67</v>
      </c>
      <c r="B166" s="3" t="s">
        <v>65</v>
      </c>
      <c r="C166" s="3">
        <v>2030</v>
      </c>
      <c r="D166" s="61">
        <f>INDEX(Input!$I$221:$AI$235,MATCH(A166&amp;B166,Input!$H$221:$H$239,0),MATCH(C166,Input!$I$220:$AI$220,0))</f>
        <v>7.0000000000000007E-2</v>
      </c>
      <c r="E166" s="62">
        <f>IFERROR(VLOOKUP(A166,Input!$D$241:$I$245,6,FALSE),"")</f>
        <v>0.01</v>
      </c>
      <c r="F166" s="62">
        <f>IFERROR(VLOOKUP(A166,Input!$D$249:$I$253,6,FALSE),"")</f>
        <v>0.05</v>
      </c>
      <c r="G166" s="62">
        <f t="shared" si="2"/>
        <v>0.13</v>
      </c>
    </row>
    <row r="167" spans="1:7" x14ac:dyDescent="0.25">
      <c r="A167" s="3" t="s">
        <v>67</v>
      </c>
      <c r="B167" s="3" t="s">
        <v>65</v>
      </c>
      <c r="C167" s="3">
        <v>2031</v>
      </c>
      <c r="D167" s="61">
        <f>INDEX(Input!$I$221:$AI$235,MATCH(A167&amp;B167,Input!$H$221:$H$239,0),MATCH(C167,Input!$I$220:$AI$220,0))</f>
        <v>7.0000000000000007E-2</v>
      </c>
      <c r="E167" s="62">
        <f>IFERROR(VLOOKUP(A167,Input!$D$241:$I$245,6,FALSE),"")</f>
        <v>0.01</v>
      </c>
      <c r="F167" s="62">
        <f>IFERROR(VLOOKUP(A167,Input!$D$249:$I$253,6,FALSE),"")</f>
        <v>0.05</v>
      </c>
      <c r="G167" s="62">
        <f t="shared" si="2"/>
        <v>0.13</v>
      </c>
    </row>
    <row r="168" spans="1:7" x14ac:dyDescent="0.25">
      <c r="A168" s="3" t="s">
        <v>67</v>
      </c>
      <c r="B168" s="3" t="s">
        <v>65</v>
      </c>
      <c r="C168" s="3">
        <v>2032</v>
      </c>
      <c r="D168" s="61">
        <f>INDEX(Input!$I$221:$AI$235,MATCH(A168&amp;B168,Input!$H$221:$H$239,0),MATCH(C168,Input!$I$220:$AI$220,0))</f>
        <v>7.0000000000000007E-2</v>
      </c>
      <c r="E168" s="62">
        <f>IFERROR(VLOOKUP(A168,Input!$D$241:$I$245,6,FALSE),"")</f>
        <v>0.01</v>
      </c>
      <c r="F168" s="62">
        <f>IFERROR(VLOOKUP(A168,Input!$D$249:$I$253,6,FALSE),"")</f>
        <v>0.05</v>
      </c>
      <c r="G168" s="62">
        <f t="shared" si="2"/>
        <v>0.13</v>
      </c>
    </row>
    <row r="169" spans="1:7" x14ac:dyDescent="0.25">
      <c r="A169" s="3" t="s">
        <v>67</v>
      </c>
      <c r="B169" s="3" t="s">
        <v>65</v>
      </c>
      <c r="C169" s="3">
        <v>2033</v>
      </c>
      <c r="D169" s="61">
        <f>INDEX(Input!$I$221:$AI$235,MATCH(A169&amp;B169,Input!$H$221:$H$239,0),MATCH(C169,Input!$I$220:$AI$220,0))</f>
        <v>7.0000000000000007E-2</v>
      </c>
      <c r="E169" s="62">
        <f>IFERROR(VLOOKUP(A169,Input!$D$241:$I$245,6,FALSE),"")</f>
        <v>0.01</v>
      </c>
      <c r="F169" s="62">
        <f>IFERROR(VLOOKUP(A169,Input!$D$249:$I$253,6,FALSE),"")</f>
        <v>0.05</v>
      </c>
      <c r="G169" s="62">
        <f t="shared" si="2"/>
        <v>0.13</v>
      </c>
    </row>
    <row r="170" spans="1:7" x14ac:dyDescent="0.25">
      <c r="A170" s="3" t="s">
        <v>67</v>
      </c>
      <c r="B170" s="3" t="s">
        <v>65</v>
      </c>
      <c r="C170" s="3">
        <v>2034</v>
      </c>
      <c r="D170" s="61">
        <f>INDEX(Input!$I$221:$AI$235,MATCH(A170&amp;B170,Input!$H$221:$H$239,0),MATCH(C170,Input!$I$220:$AI$220,0))</f>
        <v>7.0000000000000007E-2</v>
      </c>
      <c r="E170" s="62">
        <f>IFERROR(VLOOKUP(A170,Input!$D$241:$I$245,6,FALSE),"")</f>
        <v>0.01</v>
      </c>
      <c r="F170" s="62">
        <f>IFERROR(VLOOKUP(A170,Input!$D$249:$I$253,6,FALSE),"")</f>
        <v>0.05</v>
      </c>
      <c r="G170" s="62">
        <f t="shared" si="2"/>
        <v>0.13</v>
      </c>
    </row>
    <row r="171" spans="1:7" x14ac:dyDescent="0.25">
      <c r="A171" s="3" t="s">
        <v>67</v>
      </c>
      <c r="B171" s="3" t="s">
        <v>65</v>
      </c>
      <c r="C171" s="3">
        <v>2035</v>
      </c>
      <c r="D171" s="61">
        <f>INDEX(Input!$I$221:$AI$235,MATCH(A171&amp;B171,Input!$H$221:$H$239,0),MATCH(C171,Input!$I$220:$AI$220,0))</f>
        <v>7.0000000000000007E-2</v>
      </c>
      <c r="E171" s="62">
        <f>IFERROR(VLOOKUP(A171,Input!$D$241:$I$245,6,FALSE),"")</f>
        <v>0.01</v>
      </c>
      <c r="F171" s="62">
        <f>IFERROR(VLOOKUP(A171,Input!$D$249:$I$253,6,FALSE),"")</f>
        <v>0.05</v>
      </c>
      <c r="G171" s="62">
        <f t="shared" si="2"/>
        <v>0.13</v>
      </c>
    </row>
    <row r="172" spans="1:7" x14ac:dyDescent="0.25">
      <c r="A172" s="3" t="s">
        <v>67</v>
      </c>
      <c r="B172" s="3" t="s">
        <v>65</v>
      </c>
      <c r="C172" s="3">
        <v>2036</v>
      </c>
      <c r="D172" s="61">
        <f>INDEX(Input!$I$221:$AI$235,MATCH(A172&amp;B172,Input!$H$221:$H$239,0),MATCH(C172,Input!$I$220:$AI$220,0))</f>
        <v>7.0000000000000007E-2</v>
      </c>
      <c r="E172" s="62">
        <f>IFERROR(VLOOKUP(A172,Input!$D$241:$I$245,6,FALSE),"")</f>
        <v>0.01</v>
      </c>
      <c r="F172" s="62">
        <f>IFERROR(VLOOKUP(A172,Input!$D$249:$I$253,6,FALSE),"")</f>
        <v>0.05</v>
      </c>
      <c r="G172" s="62">
        <f t="shared" si="2"/>
        <v>0.13</v>
      </c>
    </row>
    <row r="173" spans="1:7" x14ac:dyDescent="0.25">
      <c r="A173" s="3" t="s">
        <v>67</v>
      </c>
      <c r="B173" s="3" t="s">
        <v>65</v>
      </c>
      <c r="C173" s="3">
        <v>2037</v>
      </c>
      <c r="D173" s="61">
        <f>INDEX(Input!$I$221:$AI$235,MATCH(A173&amp;B173,Input!$H$221:$H$239,0),MATCH(C173,Input!$I$220:$AI$220,0))</f>
        <v>7.0000000000000007E-2</v>
      </c>
      <c r="E173" s="62">
        <f>IFERROR(VLOOKUP(A173,Input!$D$241:$I$245,6,FALSE),"")</f>
        <v>0.01</v>
      </c>
      <c r="F173" s="62">
        <f>IFERROR(VLOOKUP(A173,Input!$D$249:$I$253,6,FALSE),"")</f>
        <v>0.05</v>
      </c>
      <c r="G173" s="62">
        <f t="shared" si="2"/>
        <v>0.13</v>
      </c>
    </row>
    <row r="174" spans="1:7" x14ac:dyDescent="0.25">
      <c r="A174" s="3" t="s">
        <v>67</v>
      </c>
      <c r="B174" s="3" t="s">
        <v>65</v>
      </c>
      <c r="C174" s="3">
        <v>2038</v>
      </c>
      <c r="D174" s="61">
        <f>INDEX(Input!$I$221:$AI$235,MATCH(A174&amp;B174,Input!$H$221:$H$239,0),MATCH(C174,Input!$I$220:$AI$220,0))</f>
        <v>7.0000000000000007E-2</v>
      </c>
      <c r="E174" s="62">
        <f>IFERROR(VLOOKUP(A174,Input!$D$241:$I$245,6,FALSE),"")</f>
        <v>0.01</v>
      </c>
      <c r="F174" s="62">
        <f>IFERROR(VLOOKUP(A174,Input!$D$249:$I$253,6,FALSE),"")</f>
        <v>0.05</v>
      </c>
      <c r="G174" s="62">
        <f t="shared" si="2"/>
        <v>0.13</v>
      </c>
    </row>
    <row r="175" spans="1:7" x14ac:dyDescent="0.25">
      <c r="A175" s="3" t="s">
        <v>67</v>
      </c>
      <c r="B175" s="3" t="s">
        <v>65</v>
      </c>
      <c r="C175" s="3">
        <v>2039</v>
      </c>
      <c r="D175" s="61">
        <f>INDEX(Input!$I$221:$AI$235,MATCH(A175&amp;B175,Input!$H$221:$H$239,0),MATCH(C175,Input!$I$220:$AI$220,0))</f>
        <v>7.0000000000000007E-2</v>
      </c>
      <c r="E175" s="62">
        <f>IFERROR(VLOOKUP(A175,Input!$D$241:$I$245,6,FALSE),"")</f>
        <v>0.01</v>
      </c>
      <c r="F175" s="62">
        <f>IFERROR(VLOOKUP(A175,Input!$D$249:$I$253,6,FALSE),"")</f>
        <v>0.05</v>
      </c>
      <c r="G175" s="62">
        <f t="shared" si="2"/>
        <v>0.13</v>
      </c>
    </row>
    <row r="176" spans="1:7" x14ac:dyDescent="0.25">
      <c r="A176" s="3" t="s">
        <v>67</v>
      </c>
      <c r="B176" s="3" t="s">
        <v>65</v>
      </c>
      <c r="C176" s="3">
        <v>2040</v>
      </c>
      <c r="D176" s="61">
        <f>INDEX(Input!$I$221:$AI$235,MATCH(A176&amp;B176,Input!$H$221:$H$239,0),MATCH(C176,Input!$I$220:$AI$220,0))</f>
        <v>7.0000000000000007E-2</v>
      </c>
      <c r="E176" s="62">
        <f>IFERROR(VLOOKUP(A176,Input!$D$241:$I$245,6,FALSE),"")</f>
        <v>0.01</v>
      </c>
      <c r="F176" s="62">
        <f>IFERROR(VLOOKUP(A176,Input!$D$249:$I$253,6,FALSE),"")</f>
        <v>0.05</v>
      </c>
      <c r="G176" s="62">
        <f t="shared" si="2"/>
        <v>0.13</v>
      </c>
    </row>
    <row r="177" spans="1:7" x14ac:dyDescent="0.25">
      <c r="A177" s="3" t="s">
        <v>67</v>
      </c>
      <c r="B177" s="3" t="s">
        <v>65</v>
      </c>
      <c r="C177" s="3">
        <v>2041</v>
      </c>
      <c r="D177" s="61">
        <f>INDEX(Input!$I$221:$AI$235,MATCH(A177&amp;B177,Input!$H$221:$H$239,0),MATCH(C177,Input!$I$220:$AI$220,0))</f>
        <v>7.0000000000000007E-2</v>
      </c>
      <c r="E177" s="62">
        <f>IFERROR(VLOOKUP(A177,Input!$D$241:$I$245,6,FALSE),"")</f>
        <v>0.01</v>
      </c>
      <c r="F177" s="62">
        <f>IFERROR(VLOOKUP(A177,Input!$D$249:$I$253,6,FALSE),"")</f>
        <v>0.05</v>
      </c>
      <c r="G177" s="62">
        <f t="shared" si="2"/>
        <v>0.13</v>
      </c>
    </row>
    <row r="178" spans="1:7" x14ac:dyDescent="0.25">
      <c r="A178" s="3" t="s">
        <v>67</v>
      </c>
      <c r="B178" s="3" t="s">
        <v>65</v>
      </c>
      <c r="C178" s="3">
        <v>2042</v>
      </c>
      <c r="D178" s="61">
        <f>INDEX(Input!$I$221:$AI$235,MATCH(A178&amp;B178,Input!$H$221:$H$239,0),MATCH(C178,Input!$I$220:$AI$220,0))</f>
        <v>7.0000000000000007E-2</v>
      </c>
      <c r="E178" s="62">
        <f>IFERROR(VLOOKUP(A178,Input!$D$241:$I$245,6,FALSE),"")</f>
        <v>0.01</v>
      </c>
      <c r="F178" s="62">
        <f>IFERROR(VLOOKUP(A178,Input!$D$249:$I$253,6,FALSE),"")</f>
        <v>0.05</v>
      </c>
      <c r="G178" s="62">
        <f t="shared" si="2"/>
        <v>0.13</v>
      </c>
    </row>
    <row r="179" spans="1:7" x14ac:dyDescent="0.25">
      <c r="A179" s="3" t="s">
        <v>67</v>
      </c>
      <c r="B179" s="3" t="s">
        <v>65</v>
      </c>
      <c r="C179" s="3">
        <v>2043</v>
      </c>
      <c r="D179" s="61">
        <f>INDEX(Input!$I$221:$AI$235,MATCH(A179&amp;B179,Input!$H$221:$H$239,0),MATCH(C179,Input!$I$220:$AI$220,0))</f>
        <v>7.0000000000000007E-2</v>
      </c>
      <c r="E179" s="62">
        <f>IFERROR(VLOOKUP(A179,Input!$D$241:$I$245,6,FALSE),"")</f>
        <v>0.01</v>
      </c>
      <c r="F179" s="62">
        <f>IFERROR(VLOOKUP(A179,Input!$D$249:$I$253,6,FALSE),"")</f>
        <v>0.05</v>
      </c>
      <c r="G179" s="62">
        <f t="shared" si="2"/>
        <v>0.13</v>
      </c>
    </row>
    <row r="180" spans="1:7" x14ac:dyDescent="0.25">
      <c r="A180" s="3" t="s">
        <v>67</v>
      </c>
      <c r="B180" s="3" t="s">
        <v>65</v>
      </c>
      <c r="C180" s="3">
        <v>2044</v>
      </c>
      <c r="D180" s="61">
        <f>INDEX(Input!$I$221:$AI$235,MATCH(A180&amp;B180,Input!$H$221:$H$239,0),MATCH(C180,Input!$I$220:$AI$220,0))</f>
        <v>7.0000000000000007E-2</v>
      </c>
      <c r="E180" s="62">
        <f>IFERROR(VLOOKUP(A180,Input!$D$241:$I$245,6,FALSE),"")</f>
        <v>0.01</v>
      </c>
      <c r="F180" s="62">
        <f>IFERROR(VLOOKUP(A180,Input!$D$249:$I$253,6,FALSE),"")</f>
        <v>0.05</v>
      </c>
      <c r="G180" s="62">
        <f t="shared" si="2"/>
        <v>0.13</v>
      </c>
    </row>
    <row r="181" spans="1:7" x14ac:dyDescent="0.25">
      <c r="A181" s="3" t="s">
        <v>67</v>
      </c>
      <c r="B181" s="3" t="s">
        <v>65</v>
      </c>
      <c r="C181" s="3">
        <v>2045</v>
      </c>
      <c r="D181" s="61">
        <f>INDEX(Input!$I$221:$AI$235,MATCH(A181&amp;B181,Input!$H$221:$H$239,0),MATCH(C181,Input!$I$220:$AI$220,0))</f>
        <v>7.0000000000000007E-2</v>
      </c>
      <c r="E181" s="62">
        <f>IFERROR(VLOOKUP(A181,Input!$D$241:$I$245,6,FALSE),"")</f>
        <v>0.01</v>
      </c>
      <c r="F181" s="62">
        <f>IFERROR(VLOOKUP(A181,Input!$D$249:$I$253,6,FALSE),"")</f>
        <v>0.05</v>
      </c>
      <c r="G181" s="62">
        <f t="shared" si="2"/>
        <v>0.13</v>
      </c>
    </row>
    <row r="182" spans="1:7" x14ac:dyDescent="0.25">
      <c r="A182" s="3" t="s">
        <v>67</v>
      </c>
      <c r="B182" s="3" t="s">
        <v>65</v>
      </c>
      <c r="C182" s="3">
        <v>2046</v>
      </c>
      <c r="D182" s="61">
        <f>INDEX(Input!$I$221:$AI$235,MATCH(A182&amp;B182,Input!$H$221:$H$239,0),MATCH(C182,Input!$I$220:$AI$220,0))</f>
        <v>7.0000000000000007E-2</v>
      </c>
      <c r="E182" s="62">
        <f>IFERROR(VLOOKUP(A182,Input!$D$241:$I$245,6,FALSE),"")</f>
        <v>0.01</v>
      </c>
      <c r="F182" s="62">
        <f>IFERROR(VLOOKUP(A182,Input!$D$249:$I$253,6,FALSE),"")</f>
        <v>0.05</v>
      </c>
      <c r="G182" s="62">
        <f t="shared" si="2"/>
        <v>0.13</v>
      </c>
    </row>
    <row r="183" spans="1:7" x14ac:dyDescent="0.25">
      <c r="A183" s="3" t="s">
        <v>67</v>
      </c>
      <c r="B183" s="3" t="s">
        <v>65</v>
      </c>
      <c r="C183" s="3">
        <v>2047</v>
      </c>
      <c r="D183" s="61">
        <f>INDEX(Input!$I$221:$AI$235,MATCH(A183&amp;B183,Input!$H$221:$H$239,0),MATCH(C183,Input!$I$220:$AI$220,0))</f>
        <v>7.0000000000000007E-2</v>
      </c>
      <c r="E183" s="62">
        <f>IFERROR(VLOOKUP(A183,Input!$D$241:$I$245,6,FALSE),"")</f>
        <v>0.01</v>
      </c>
      <c r="F183" s="62">
        <f>IFERROR(VLOOKUP(A183,Input!$D$249:$I$253,6,FALSE),"")</f>
        <v>0.05</v>
      </c>
      <c r="G183" s="62">
        <f t="shared" si="2"/>
        <v>0.13</v>
      </c>
    </row>
    <row r="184" spans="1:7" x14ac:dyDescent="0.25">
      <c r="A184" s="3" t="s">
        <v>67</v>
      </c>
      <c r="B184" s="3" t="s">
        <v>65</v>
      </c>
      <c r="C184" s="3">
        <v>2048</v>
      </c>
      <c r="D184" s="61">
        <f>INDEX(Input!$I$221:$AI$235,MATCH(A184&amp;B184,Input!$H$221:$H$239,0),MATCH(C184,Input!$I$220:$AI$220,0))</f>
        <v>7.0000000000000007E-2</v>
      </c>
      <c r="E184" s="62">
        <f>IFERROR(VLOOKUP(A184,Input!$D$241:$I$245,6,FALSE),"")</f>
        <v>0.01</v>
      </c>
      <c r="F184" s="62">
        <f>IFERROR(VLOOKUP(A184,Input!$D$249:$I$253,6,FALSE),"")</f>
        <v>0.05</v>
      </c>
      <c r="G184" s="62">
        <f t="shared" si="2"/>
        <v>0.13</v>
      </c>
    </row>
    <row r="185" spans="1:7" x14ac:dyDescent="0.25">
      <c r="A185" s="3" t="s">
        <v>67</v>
      </c>
      <c r="B185" s="3" t="s">
        <v>65</v>
      </c>
      <c r="C185" s="3">
        <v>2049</v>
      </c>
      <c r="D185" s="61">
        <f>INDEX(Input!$I$221:$AI$235,MATCH(A185&amp;B185,Input!$H$221:$H$239,0),MATCH(C185,Input!$I$220:$AI$220,0))</f>
        <v>7.0000000000000007E-2</v>
      </c>
      <c r="E185" s="62">
        <f>IFERROR(VLOOKUP(A185,Input!$D$241:$I$245,6,FALSE),"")</f>
        <v>0.01</v>
      </c>
      <c r="F185" s="62">
        <f>IFERROR(VLOOKUP(A185,Input!$D$249:$I$253,6,FALSE),"")</f>
        <v>0.05</v>
      </c>
      <c r="G185" s="62">
        <f t="shared" si="2"/>
        <v>0.13</v>
      </c>
    </row>
    <row r="186" spans="1:7" x14ac:dyDescent="0.25">
      <c r="A186" s="3" t="s">
        <v>67</v>
      </c>
      <c r="B186" s="3" t="s">
        <v>65</v>
      </c>
      <c r="C186" s="3">
        <v>2050</v>
      </c>
      <c r="D186" s="61">
        <f>INDEX(Input!$I$221:$AI$235,MATCH(A186&amp;B186,Input!$H$221:$H$239,0),MATCH(C186,Input!$I$220:$AI$220,0))</f>
        <v>7.0000000000000007E-2</v>
      </c>
      <c r="E186" s="62">
        <f>IFERROR(VLOOKUP(A186,Input!$D$241:$I$245,6,FALSE),"")</f>
        <v>0.01</v>
      </c>
      <c r="F186" s="62">
        <f>IFERROR(VLOOKUP(A186,Input!$D$249:$I$253,6,FALSE),"")</f>
        <v>0.05</v>
      </c>
      <c r="G186" s="62">
        <f t="shared" si="2"/>
        <v>0.13</v>
      </c>
    </row>
    <row r="187" spans="1:7" x14ac:dyDescent="0.25">
      <c r="A187" s="3" t="s">
        <v>67</v>
      </c>
      <c r="B187" s="3" t="s">
        <v>8</v>
      </c>
      <c r="C187" s="3">
        <v>2024</v>
      </c>
      <c r="D187" s="61">
        <f>INDEX(Input!$I$221:$AI$235,MATCH(A187&amp;B187,Input!$H$221:$H$239,0),MATCH(C187,Input!$I$220:$AI$220,0))</f>
        <v>0.127</v>
      </c>
      <c r="E187" s="62">
        <f>IFERROR(VLOOKUP(A187,Input!$D$241:$I$245,6,FALSE),"")</f>
        <v>0.01</v>
      </c>
      <c r="F187" s="62">
        <f>IFERROR(VLOOKUP(A187,Input!$D$249:$I$253,6,FALSE),"")</f>
        <v>0.05</v>
      </c>
      <c r="G187" s="62">
        <f t="shared" si="2"/>
        <v>0.187</v>
      </c>
    </row>
    <row r="188" spans="1:7" x14ac:dyDescent="0.25">
      <c r="A188" s="3" t="s">
        <v>67</v>
      </c>
      <c r="B188" s="3" t="s">
        <v>8</v>
      </c>
      <c r="C188" s="3">
        <v>2025</v>
      </c>
      <c r="D188" s="61">
        <f>INDEX(Input!$I$221:$AI$235,MATCH(A188&amp;B188,Input!$H$221:$H$239,0),MATCH(C188,Input!$I$220:$AI$220,0))</f>
        <v>0.14000000000000001</v>
      </c>
      <c r="E188" s="62">
        <f>IFERROR(VLOOKUP(A188,Input!$D$241:$I$245,6,FALSE),"")</f>
        <v>0.01</v>
      </c>
      <c r="F188" s="62">
        <f>IFERROR(VLOOKUP(A188,Input!$D$249:$I$253,6,FALSE),"")</f>
        <v>0.05</v>
      </c>
      <c r="G188" s="62">
        <f t="shared" si="2"/>
        <v>0.2</v>
      </c>
    </row>
    <row r="189" spans="1:7" x14ac:dyDescent="0.25">
      <c r="A189" s="3" t="s">
        <v>67</v>
      </c>
      <c r="B189" s="3" t="s">
        <v>8</v>
      </c>
      <c r="C189" s="3">
        <v>2026</v>
      </c>
      <c r="D189" s="61">
        <f>INDEX(Input!$I$221:$AI$235,MATCH(A189&amp;B189,Input!$H$221:$H$239,0),MATCH(C189,Input!$I$220:$AI$220,0))</f>
        <v>0.127</v>
      </c>
      <c r="E189" s="62">
        <f>IFERROR(VLOOKUP(A189,Input!$D$241:$I$245,6,FALSE),"")</f>
        <v>0.01</v>
      </c>
      <c r="F189" s="62">
        <f>IFERROR(VLOOKUP(A189,Input!$D$249:$I$253,6,FALSE),"")</f>
        <v>0.05</v>
      </c>
      <c r="G189" s="62">
        <f t="shared" si="2"/>
        <v>0.187</v>
      </c>
    </row>
    <row r="190" spans="1:7" x14ac:dyDescent="0.25">
      <c r="A190" s="3" t="s">
        <v>67</v>
      </c>
      <c r="B190" s="3" t="s">
        <v>8</v>
      </c>
      <c r="C190" s="3">
        <v>2027</v>
      </c>
      <c r="D190" s="61">
        <f>INDEX(Input!$I$221:$AI$235,MATCH(A190&amp;B190,Input!$H$221:$H$239,0),MATCH(C190,Input!$I$220:$AI$220,0))</f>
        <v>0.114</v>
      </c>
      <c r="E190" s="62">
        <f>IFERROR(VLOOKUP(A190,Input!$D$241:$I$245,6,FALSE),"")</f>
        <v>0.01</v>
      </c>
      <c r="F190" s="62">
        <f>IFERROR(VLOOKUP(A190,Input!$D$249:$I$253,6,FALSE),"")</f>
        <v>0.05</v>
      </c>
      <c r="G190" s="62">
        <f t="shared" si="2"/>
        <v>0.17399999999999999</v>
      </c>
    </row>
    <row r="191" spans="1:7" x14ac:dyDescent="0.25">
      <c r="A191" s="3" t="s">
        <v>67</v>
      </c>
      <c r="B191" s="3" t="s">
        <v>8</v>
      </c>
      <c r="C191" s="3">
        <v>2028</v>
      </c>
      <c r="D191" s="61">
        <f>INDEX(Input!$I$221:$AI$235,MATCH(A191&amp;B191,Input!$H$221:$H$239,0),MATCH(C191,Input!$I$220:$AI$220,0))</f>
        <v>0.10100000000000001</v>
      </c>
      <c r="E191" s="62">
        <f>IFERROR(VLOOKUP(A191,Input!$D$241:$I$245,6,FALSE),"")</f>
        <v>0.01</v>
      </c>
      <c r="F191" s="62">
        <f>IFERROR(VLOOKUP(A191,Input!$D$249:$I$253,6,FALSE),"")</f>
        <v>0.05</v>
      </c>
      <c r="G191" s="62">
        <f t="shared" si="2"/>
        <v>0.161</v>
      </c>
    </row>
    <row r="192" spans="1:7" x14ac:dyDescent="0.25">
      <c r="A192" s="3" t="s">
        <v>67</v>
      </c>
      <c r="B192" s="3" t="s">
        <v>8</v>
      </c>
      <c r="C192" s="3">
        <v>2029</v>
      </c>
      <c r="D192" s="61">
        <f>INDEX(Input!$I$221:$AI$235,MATCH(A192&amp;B192,Input!$H$221:$H$239,0),MATCH(C192,Input!$I$220:$AI$220,0))</f>
        <v>8.7999999999999995E-2</v>
      </c>
      <c r="E192" s="62">
        <f>IFERROR(VLOOKUP(A192,Input!$D$241:$I$245,6,FALSE),"")</f>
        <v>0.01</v>
      </c>
      <c r="F192" s="62">
        <f>IFERROR(VLOOKUP(A192,Input!$D$249:$I$253,6,FALSE),"")</f>
        <v>0.05</v>
      </c>
      <c r="G192" s="62">
        <f t="shared" si="2"/>
        <v>0.14799999999999999</v>
      </c>
    </row>
    <row r="193" spans="1:7" x14ac:dyDescent="0.25">
      <c r="A193" s="3" t="s">
        <v>67</v>
      </c>
      <c r="B193" s="3" t="s">
        <v>8</v>
      </c>
      <c r="C193" s="3">
        <v>2030</v>
      </c>
      <c r="D193" s="61">
        <f>INDEX(Input!$I$221:$AI$235,MATCH(A193&amp;B193,Input!$H$221:$H$239,0),MATCH(C193,Input!$I$220:$AI$220,0))</f>
        <v>0.05</v>
      </c>
      <c r="E193" s="62">
        <f>IFERROR(VLOOKUP(A193,Input!$D$241:$I$245,6,FALSE),"")</f>
        <v>0.01</v>
      </c>
      <c r="F193" s="62">
        <f>IFERROR(VLOOKUP(A193,Input!$D$249:$I$253,6,FALSE),"")</f>
        <v>0.05</v>
      </c>
      <c r="G193" s="62">
        <f t="shared" si="2"/>
        <v>0.11000000000000001</v>
      </c>
    </row>
    <row r="194" spans="1:7" x14ac:dyDescent="0.25">
      <c r="A194" s="3" t="s">
        <v>67</v>
      </c>
      <c r="B194" s="3" t="s">
        <v>8</v>
      </c>
      <c r="C194" s="3">
        <v>2031</v>
      </c>
      <c r="D194" s="61">
        <f>INDEX(Input!$I$221:$AI$235,MATCH(A194&amp;B194,Input!$H$221:$H$239,0),MATCH(C194,Input!$I$220:$AI$220,0))</f>
        <v>0.05</v>
      </c>
      <c r="E194" s="62">
        <f>IFERROR(VLOOKUP(A194,Input!$D$241:$I$245,6,FALSE),"")</f>
        <v>0.01</v>
      </c>
      <c r="F194" s="62">
        <f>IFERROR(VLOOKUP(A194,Input!$D$249:$I$253,6,FALSE),"")</f>
        <v>0.05</v>
      </c>
      <c r="G194" s="62">
        <f t="shared" si="2"/>
        <v>0.11000000000000001</v>
      </c>
    </row>
    <row r="195" spans="1:7" x14ac:dyDescent="0.25">
      <c r="A195" s="3" t="s">
        <v>67</v>
      </c>
      <c r="B195" s="3" t="s">
        <v>8</v>
      </c>
      <c r="C195" s="3">
        <v>2032</v>
      </c>
      <c r="D195" s="61">
        <f>INDEX(Input!$I$221:$AI$235,MATCH(A195&amp;B195,Input!$H$221:$H$239,0),MATCH(C195,Input!$I$220:$AI$220,0))</f>
        <v>0.05</v>
      </c>
      <c r="E195" s="62">
        <f>IFERROR(VLOOKUP(A195,Input!$D$241:$I$245,6,FALSE),"")</f>
        <v>0.01</v>
      </c>
      <c r="F195" s="62">
        <f>IFERROR(VLOOKUP(A195,Input!$D$249:$I$253,6,FALSE),"")</f>
        <v>0.05</v>
      </c>
      <c r="G195" s="62">
        <f t="shared" ref="G195:G258" si="3">IFERROR(D195+E195+F195,"")</f>
        <v>0.11000000000000001</v>
      </c>
    </row>
    <row r="196" spans="1:7" x14ac:dyDescent="0.25">
      <c r="A196" s="3" t="s">
        <v>67</v>
      </c>
      <c r="B196" s="3" t="s">
        <v>8</v>
      </c>
      <c r="C196" s="3">
        <v>2033</v>
      </c>
      <c r="D196" s="61">
        <f>INDEX(Input!$I$221:$AI$235,MATCH(A196&amp;B196,Input!$H$221:$H$239,0),MATCH(C196,Input!$I$220:$AI$220,0))</f>
        <v>0.05</v>
      </c>
      <c r="E196" s="62">
        <f>IFERROR(VLOOKUP(A196,Input!$D$241:$I$245,6,FALSE),"")</f>
        <v>0.01</v>
      </c>
      <c r="F196" s="62">
        <f>IFERROR(VLOOKUP(A196,Input!$D$249:$I$253,6,FALSE),"")</f>
        <v>0.05</v>
      </c>
      <c r="G196" s="62">
        <f t="shared" si="3"/>
        <v>0.11000000000000001</v>
      </c>
    </row>
    <row r="197" spans="1:7" x14ac:dyDescent="0.25">
      <c r="A197" s="3" t="s">
        <v>67</v>
      </c>
      <c r="B197" s="3" t="s">
        <v>8</v>
      </c>
      <c r="C197" s="3">
        <v>2034</v>
      </c>
      <c r="D197" s="61">
        <f>INDEX(Input!$I$221:$AI$235,MATCH(A197&amp;B197,Input!$H$221:$H$239,0),MATCH(C197,Input!$I$220:$AI$220,0))</f>
        <v>0.05</v>
      </c>
      <c r="E197" s="62">
        <f>IFERROR(VLOOKUP(A197,Input!$D$241:$I$245,6,FALSE),"")</f>
        <v>0.01</v>
      </c>
      <c r="F197" s="62">
        <f>IFERROR(VLOOKUP(A197,Input!$D$249:$I$253,6,FALSE),"")</f>
        <v>0.05</v>
      </c>
      <c r="G197" s="62">
        <f t="shared" si="3"/>
        <v>0.11000000000000001</v>
      </c>
    </row>
    <row r="198" spans="1:7" x14ac:dyDescent="0.25">
      <c r="A198" s="3" t="s">
        <v>67</v>
      </c>
      <c r="B198" s="3" t="s">
        <v>8</v>
      </c>
      <c r="C198" s="3">
        <v>2035</v>
      </c>
      <c r="D198" s="61">
        <f>INDEX(Input!$I$221:$AI$235,MATCH(A198&amp;B198,Input!$H$221:$H$239,0),MATCH(C198,Input!$I$220:$AI$220,0))</f>
        <v>0.05</v>
      </c>
      <c r="E198" s="62">
        <f>IFERROR(VLOOKUP(A198,Input!$D$241:$I$245,6,FALSE),"")</f>
        <v>0.01</v>
      </c>
      <c r="F198" s="62">
        <f>IFERROR(VLOOKUP(A198,Input!$D$249:$I$253,6,FALSE),"")</f>
        <v>0.05</v>
      </c>
      <c r="G198" s="62">
        <f t="shared" si="3"/>
        <v>0.11000000000000001</v>
      </c>
    </row>
    <row r="199" spans="1:7" x14ac:dyDescent="0.25">
      <c r="A199" s="3" t="s">
        <v>67</v>
      </c>
      <c r="B199" s="3" t="s">
        <v>8</v>
      </c>
      <c r="C199" s="3">
        <v>2036</v>
      </c>
      <c r="D199" s="61">
        <f>INDEX(Input!$I$221:$AI$235,MATCH(A199&amp;B199,Input!$H$221:$H$239,0),MATCH(C199,Input!$I$220:$AI$220,0))</f>
        <v>0.05</v>
      </c>
      <c r="E199" s="62">
        <f>IFERROR(VLOOKUP(A199,Input!$D$241:$I$245,6,FALSE),"")</f>
        <v>0.01</v>
      </c>
      <c r="F199" s="62">
        <f>IFERROR(VLOOKUP(A199,Input!$D$249:$I$253,6,FALSE),"")</f>
        <v>0.05</v>
      </c>
      <c r="G199" s="62">
        <f t="shared" si="3"/>
        <v>0.11000000000000001</v>
      </c>
    </row>
    <row r="200" spans="1:7" x14ac:dyDescent="0.25">
      <c r="A200" s="3" t="s">
        <v>67</v>
      </c>
      <c r="B200" s="3" t="s">
        <v>8</v>
      </c>
      <c r="C200" s="3">
        <v>2037</v>
      </c>
      <c r="D200" s="61">
        <f>INDEX(Input!$I$221:$AI$235,MATCH(A200&amp;B200,Input!$H$221:$H$239,0),MATCH(C200,Input!$I$220:$AI$220,0))</f>
        <v>0.05</v>
      </c>
      <c r="E200" s="62">
        <f>IFERROR(VLOOKUP(A200,Input!$D$241:$I$245,6,FALSE),"")</f>
        <v>0.01</v>
      </c>
      <c r="F200" s="62">
        <f>IFERROR(VLOOKUP(A200,Input!$D$249:$I$253,6,FALSE),"")</f>
        <v>0.05</v>
      </c>
      <c r="G200" s="62">
        <f t="shared" si="3"/>
        <v>0.11000000000000001</v>
      </c>
    </row>
    <row r="201" spans="1:7" x14ac:dyDescent="0.25">
      <c r="A201" s="3" t="s">
        <v>67</v>
      </c>
      <c r="B201" s="3" t="s">
        <v>8</v>
      </c>
      <c r="C201" s="3">
        <v>2038</v>
      </c>
      <c r="D201" s="61">
        <f>INDEX(Input!$I$221:$AI$235,MATCH(A201&amp;B201,Input!$H$221:$H$239,0),MATCH(C201,Input!$I$220:$AI$220,0))</f>
        <v>0.05</v>
      </c>
      <c r="E201" s="62">
        <f>IFERROR(VLOOKUP(A201,Input!$D$241:$I$245,6,FALSE),"")</f>
        <v>0.01</v>
      </c>
      <c r="F201" s="62">
        <f>IFERROR(VLOOKUP(A201,Input!$D$249:$I$253,6,FALSE),"")</f>
        <v>0.05</v>
      </c>
      <c r="G201" s="62">
        <f t="shared" si="3"/>
        <v>0.11000000000000001</v>
      </c>
    </row>
    <row r="202" spans="1:7" x14ac:dyDescent="0.25">
      <c r="A202" s="3" t="s">
        <v>67</v>
      </c>
      <c r="B202" s="3" t="s">
        <v>8</v>
      </c>
      <c r="C202" s="3">
        <v>2039</v>
      </c>
      <c r="D202" s="61">
        <f>INDEX(Input!$I$221:$AI$235,MATCH(A202&amp;B202,Input!$H$221:$H$239,0),MATCH(C202,Input!$I$220:$AI$220,0))</f>
        <v>0.05</v>
      </c>
      <c r="E202" s="62">
        <f>IFERROR(VLOOKUP(A202,Input!$D$241:$I$245,6,FALSE),"")</f>
        <v>0.01</v>
      </c>
      <c r="F202" s="62">
        <f>IFERROR(VLOOKUP(A202,Input!$D$249:$I$253,6,FALSE),"")</f>
        <v>0.05</v>
      </c>
      <c r="G202" s="62">
        <f t="shared" si="3"/>
        <v>0.11000000000000001</v>
      </c>
    </row>
    <row r="203" spans="1:7" x14ac:dyDescent="0.25">
      <c r="A203" s="3" t="s">
        <v>67</v>
      </c>
      <c r="B203" s="3" t="s">
        <v>8</v>
      </c>
      <c r="C203" s="3">
        <v>2040</v>
      </c>
      <c r="D203" s="61">
        <f>INDEX(Input!$I$221:$AI$235,MATCH(A203&amp;B203,Input!$H$221:$H$239,0),MATCH(C203,Input!$I$220:$AI$220,0))</f>
        <v>0.05</v>
      </c>
      <c r="E203" s="62">
        <f>IFERROR(VLOOKUP(A203,Input!$D$241:$I$245,6,FALSE),"")</f>
        <v>0.01</v>
      </c>
      <c r="F203" s="62">
        <f>IFERROR(VLOOKUP(A203,Input!$D$249:$I$253,6,FALSE),"")</f>
        <v>0.05</v>
      </c>
      <c r="G203" s="62">
        <f t="shared" si="3"/>
        <v>0.11000000000000001</v>
      </c>
    </row>
    <row r="204" spans="1:7" x14ac:dyDescent="0.25">
      <c r="A204" s="3" t="s">
        <v>67</v>
      </c>
      <c r="B204" s="3" t="s">
        <v>8</v>
      </c>
      <c r="C204" s="3">
        <v>2041</v>
      </c>
      <c r="D204" s="61">
        <f>INDEX(Input!$I$221:$AI$235,MATCH(A204&amp;B204,Input!$H$221:$H$239,0),MATCH(C204,Input!$I$220:$AI$220,0))</f>
        <v>0.05</v>
      </c>
      <c r="E204" s="62">
        <f>IFERROR(VLOOKUP(A204,Input!$D$241:$I$245,6,FALSE),"")</f>
        <v>0.01</v>
      </c>
      <c r="F204" s="62">
        <f>IFERROR(VLOOKUP(A204,Input!$D$249:$I$253,6,FALSE),"")</f>
        <v>0.05</v>
      </c>
      <c r="G204" s="62">
        <f t="shared" si="3"/>
        <v>0.11000000000000001</v>
      </c>
    </row>
    <row r="205" spans="1:7" x14ac:dyDescent="0.25">
      <c r="A205" s="3" t="s">
        <v>67</v>
      </c>
      <c r="B205" s="3" t="s">
        <v>8</v>
      </c>
      <c r="C205" s="3">
        <v>2042</v>
      </c>
      <c r="D205" s="61">
        <f>INDEX(Input!$I$221:$AI$235,MATCH(A205&amp;B205,Input!$H$221:$H$239,0),MATCH(C205,Input!$I$220:$AI$220,0))</f>
        <v>0.05</v>
      </c>
      <c r="E205" s="62">
        <f>IFERROR(VLOOKUP(A205,Input!$D$241:$I$245,6,FALSE),"")</f>
        <v>0.01</v>
      </c>
      <c r="F205" s="62">
        <f>IFERROR(VLOOKUP(A205,Input!$D$249:$I$253,6,FALSE),"")</f>
        <v>0.05</v>
      </c>
      <c r="G205" s="62">
        <f t="shared" si="3"/>
        <v>0.11000000000000001</v>
      </c>
    </row>
    <row r="206" spans="1:7" x14ac:dyDescent="0.25">
      <c r="A206" s="3" t="s">
        <v>67</v>
      </c>
      <c r="B206" s="3" t="s">
        <v>8</v>
      </c>
      <c r="C206" s="3">
        <v>2043</v>
      </c>
      <c r="D206" s="61">
        <f>INDEX(Input!$I$221:$AI$235,MATCH(A206&amp;B206,Input!$H$221:$H$239,0),MATCH(C206,Input!$I$220:$AI$220,0))</f>
        <v>0.05</v>
      </c>
      <c r="E206" s="62">
        <f>IFERROR(VLOOKUP(A206,Input!$D$241:$I$245,6,FALSE),"")</f>
        <v>0.01</v>
      </c>
      <c r="F206" s="62">
        <f>IFERROR(VLOOKUP(A206,Input!$D$249:$I$253,6,FALSE),"")</f>
        <v>0.05</v>
      </c>
      <c r="G206" s="62">
        <f t="shared" si="3"/>
        <v>0.11000000000000001</v>
      </c>
    </row>
    <row r="207" spans="1:7" x14ac:dyDescent="0.25">
      <c r="A207" s="3" t="s">
        <v>67</v>
      </c>
      <c r="B207" s="3" t="s">
        <v>8</v>
      </c>
      <c r="C207" s="3">
        <v>2044</v>
      </c>
      <c r="D207" s="61">
        <f>INDEX(Input!$I$221:$AI$235,MATCH(A207&amp;B207,Input!$H$221:$H$239,0),MATCH(C207,Input!$I$220:$AI$220,0))</f>
        <v>0.05</v>
      </c>
      <c r="E207" s="62">
        <f>IFERROR(VLOOKUP(A207,Input!$D$241:$I$245,6,FALSE),"")</f>
        <v>0.01</v>
      </c>
      <c r="F207" s="62">
        <f>IFERROR(VLOOKUP(A207,Input!$D$249:$I$253,6,FALSE),"")</f>
        <v>0.05</v>
      </c>
      <c r="G207" s="62">
        <f t="shared" si="3"/>
        <v>0.11000000000000001</v>
      </c>
    </row>
    <row r="208" spans="1:7" x14ac:dyDescent="0.25">
      <c r="A208" s="3" t="s">
        <v>67</v>
      </c>
      <c r="B208" s="3" t="s">
        <v>8</v>
      </c>
      <c r="C208" s="3">
        <v>2045</v>
      </c>
      <c r="D208" s="61">
        <f>INDEX(Input!$I$221:$AI$235,MATCH(A208&amp;B208,Input!$H$221:$H$239,0),MATCH(C208,Input!$I$220:$AI$220,0))</f>
        <v>0.05</v>
      </c>
      <c r="E208" s="62">
        <f>IFERROR(VLOOKUP(A208,Input!$D$241:$I$245,6,FALSE),"")</f>
        <v>0.01</v>
      </c>
      <c r="F208" s="62">
        <f>IFERROR(VLOOKUP(A208,Input!$D$249:$I$253,6,FALSE),"")</f>
        <v>0.05</v>
      </c>
      <c r="G208" s="62">
        <f t="shared" si="3"/>
        <v>0.11000000000000001</v>
      </c>
    </row>
    <row r="209" spans="1:7" x14ac:dyDescent="0.25">
      <c r="A209" s="3" t="s">
        <v>67</v>
      </c>
      <c r="B209" s="3" t="s">
        <v>8</v>
      </c>
      <c r="C209" s="3">
        <v>2046</v>
      </c>
      <c r="D209" s="61">
        <f>INDEX(Input!$I$221:$AI$235,MATCH(A209&amp;B209,Input!$H$221:$H$239,0),MATCH(C209,Input!$I$220:$AI$220,0))</f>
        <v>0.05</v>
      </c>
      <c r="E209" s="62">
        <f>IFERROR(VLOOKUP(A209,Input!$D$241:$I$245,6,FALSE),"")</f>
        <v>0.01</v>
      </c>
      <c r="F209" s="62">
        <f>IFERROR(VLOOKUP(A209,Input!$D$249:$I$253,6,FALSE),"")</f>
        <v>0.05</v>
      </c>
      <c r="G209" s="62">
        <f t="shared" si="3"/>
        <v>0.11000000000000001</v>
      </c>
    </row>
    <row r="210" spans="1:7" x14ac:dyDescent="0.25">
      <c r="A210" s="3" t="s">
        <v>67</v>
      </c>
      <c r="B210" s="3" t="s">
        <v>8</v>
      </c>
      <c r="C210" s="3">
        <v>2047</v>
      </c>
      <c r="D210" s="61">
        <f>INDEX(Input!$I$221:$AI$235,MATCH(A210&amp;B210,Input!$H$221:$H$239,0),MATCH(C210,Input!$I$220:$AI$220,0))</f>
        <v>0.05</v>
      </c>
      <c r="E210" s="62">
        <f>IFERROR(VLOOKUP(A210,Input!$D$241:$I$245,6,FALSE),"")</f>
        <v>0.01</v>
      </c>
      <c r="F210" s="62">
        <f>IFERROR(VLOOKUP(A210,Input!$D$249:$I$253,6,FALSE),"")</f>
        <v>0.05</v>
      </c>
      <c r="G210" s="62">
        <f t="shared" si="3"/>
        <v>0.11000000000000001</v>
      </c>
    </row>
    <row r="211" spans="1:7" x14ac:dyDescent="0.25">
      <c r="A211" s="3" t="s">
        <v>67</v>
      </c>
      <c r="B211" s="3" t="s">
        <v>8</v>
      </c>
      <c r="C211" s="3">
        <v>2048</v>
      </c>
      <c r="D211" s="61">
        <f>INDEX(Input!$I$221:$AI$235,MATCH(A211&amp;B211,Input!$H$221:$H$239,0),MATCH(C211,Input!$I$220:$AI$220,0))</f>
        <v>0.05</v>
      </c>
      <c r="E211" s="62">
        <f>IFERROR(VLOOKUP(A211,Input!$D$241:$I$245,6,FALSE),"")</f>
        <v>0.01</v>
      </c>
      <c r="F211" s="62">
        <f>IFERROR(VLOOKUP(A211,Input!$D$249:$I$253,6,FALSE),"")</f>
        <v>0.05</v>
      </c>
      <c r="G211" s="62">
        <f t="shared" si="3"/>
        <v>0.11000000000000001</v>
      </c>
    </row>
    <row r="212" spans="1:7" x14ac:dyDescent="0.25">
      <c r="A212" s="3" t="s">
        <v>67</v>
      </c>
      <c r="B212" s="3" t="s">
        <v>8</v>
      </c>
      <c r="C212" s="3">
        <v>2049</v>
      </c>
      <c r="D212" s="61">
        <f>INDEX(Input!$I$221:$AI$235,MATCH(A212&amp;B212,Input!$H$221:$H$239,0),MATCH(C212,Input!$I$220:$AI$220,0))</f>
        <v>0.05</v>
      </c>
      <c r="E212" s="62">
        <f>IFERROR(VLOOKUP(A212,Input!$D$241:$I$245,6,FALSE),"")</f>
        <v>0.01</v>
      </c>
      <c r="F212" s="62">
        <f>IFERROR(VLOOKUP(A212,Input!$D$249:$I$253,6,FALSE),"")</f>
        <v>0.05</v>
      </c>
      <c r="G212" s="62">
        <f t="shared" si="3"/>
        <v>0.11000000000000001</v>
      </c>
    </row>
    <row r="213" spans="1:7" x14ac:dyDescent="0.25">
      <c r="A213" s="3" t="s">
        <v>67</v>
      </c>
      <c r="B213" s="3" t="s">
        <v>8</v>
      </c>
      <c r="C213" s="3">
        <v>2050</v>
      </c>
      <c r="D213" s="61">
        <f>INDEX(Input!$I$221:$AI$235,MATCH(A213&amp;B213,Input!$H$221:$H$239,0),MATCH(C213,Input!$I$220:$AI$220,0))</f>
        <v>0.05</v>
      </c>
      <c r="E213" s="62">
        <f>IFERROR(VLOOKUP(A213,Input!$D$241:$I$245,6,FALSE),"")</f>
        <v>0.01</v>
      </c>
      <c r="F213" s="62">
        <f>IFERROR(VLOOKUP(A213,Input!$D$249:$I$253,6,FALSE),"")</f>
        <v>0.05</v>
      </c>
      <c r="G213" s="62">
        <f t="shared" si="3"/>
        <v>0.11000000000000001</v>
      </c>
    </row>
    <row r="214" spans="1:7" x14ac:dyDescent="0.25">
      <c r="A214" s="3" t="s">
        <v>67</v>
      </c>
      <c r="B214" s="3" t="s">
        <v>66</v>
      </c>
      <c r="C214" s="3">
        <v>2024</v>
      </c>
      <c r="D214" s="61">
        <f>INDEX(Input!$I$221:$AI$235,MATCH(A214&amp;B214,Input!$H$221:$H$239,0),MATCH(C214,Input!$I$220:$AI$220,0))</f>
        <v>0.112</v>
      </c>
      <c r="E214" s="62">
        <f>IFERROR(VLOOKUP(A214,Input!$D$241:$I$245,6,FALSE),"")</f>
        <v>0.01</v>
      </c>
      <c r="F214" s="62">
        <f>IFERROR(VLOOKUP(A214,Input!$D$249:$I$253,6,FALSE),"")</f>
        <v>0.05</v>
      </c>
      <c r="G214" s="62">
        <f t="shared" si="3"/>
        <v>0.17199999999999999</v>
      </c>
    </row>
    <row r="215" spans="1:7" x14ac:dyDescent="0.25">
      <c r="A215" s="3" t="s">
        <v>67</v>
      </c>
      <c r="B215" s="3" t="s">
        <v>66</v>
      </c>
      <c r="C215" s="3">
        <v>2025</v>
      </c>
      <c r="D215" s="61">
        <f>INDEX(Input!$I$221:$AI$235,MATCH(A215&amp;B215,Input!$H$221:$H$239,0),MATCH(C215,Input!$I$220:$AI$220,0))</f>
        <v>0.125</v>
      </c>
      <c r="E215" s="62">
        <f>IFERROR(VLOOKUP(A215,Input!$D$241:$I$245,6,FALSE),"")</f>
        <v>0.01</v>
      </c>
      <c r="F215" s="62">
        <f>IFERROR(VLOOKUP(A215,Input!$D$249:$I$253,6,FALSE),"")</f>
        <v>0.05</v>
      </c>
      <c r="G215" s="62">
        <f t="shared" si="3"/>
        <v>0.185</v>
      </c>
    </row>
    <row r="216" spans="1:7" x14ac:dyDescent="0.25">
      <c r="A216" s="3" t="s">
        <v>67</v>
      </c>
      <c r="B216" s="3" t="s">
        <v>66</v>
      </c>
      <c r="C216" s="3">
        <v>2026</v>
      </c>
      <c r="D216" s="61">
        <f>INDEX(Input!$I$221:$AI$235,MATCH(A216&amp;B216,Input!$H$221:$H$239,0),MATCH(C216,Input!$I$220:$AI$220,0))</f>
        <v>0.112</v>
      </c>
      <c r="E216" s="62">
        <f>IFERROR(VLOOKUP(A216,Input!$D$241:$I$245,6,FALSE),"")</f>
        <v>0.01</v>
      </c>
      <c r="F216" s="62">
        <f>IFERROR(VLOOKUP(A216,Input!$D$249:$I$253,6,FALSE),"")</f>
        <v>0.05</v>
      </c>
      <c r="G216" s="62">
        <f t="shared" si="3"/>
        <v>0.17199999999999999</v>
      </c>
    </row>
    <row r="217" spans="1:7" x14ac:dyDescent="0.25">
      <c r="A217" s="3" t="s">
        <v>67</v>
      </c>
      <c r="B217" s="3" t="s">
        <v>66</v>
      </c>
      <c r="C217" s="3">
        <v>2027</v>
      </c>
      <c r="D217" s="61">
        <f>INDEX(Input!$I$221:$AI$235,MATCH(A217&amp;B217,Input!$H$221:$H$239,0),MATCH(C217,Input!$I$220:$AI$220,0))</f>
        <v>9.9000000000000005E-2</v>
      </c>
      <c r="E217" s="62">
        <f>IFERROR(VLOOKUP(A217,Input!$D$241:$I$245,6,FALSE),"")</f>
        <v>0.01</v>
      </c>
      <c r="F217" s="62">
        <f>IFERROR(VLOOKUP(A217,Input!$D$249:$I$253,6,FALSE),"")</f>
        <v>0.05</v>
      </c>
      <c r="G217" s="62">
        <f t="shared" si="3"/>
        <v>0.159</v>
      </c>
    </row>
    <row r="218" spans="1:7" x14ac:dyDescent="0.25">
      <c r="A218" s="3" t="s">
        <v>67</v>
      </c>
      <c r="B218" s="3" t="s">
        <v>66</v>
      </c>
      <c r="C218" s="3">
        <v>2028</v>
      </c>
      <c r="D218" s="61">
        <f>INDEX(Input!$I$221:$AI$235,MATCH(A218&amp;B218,Input!$H$221:$H$239,0),MATCH(C218,Input!$I$220:$AI$220,0))</f>
        <v>8.5999999999999993E-2</v>
      </c>
      <c r="E218" s="62">
        <f>IFERROR(VLOOKUP(A218,Input!$D$241:$I$245,6,FALSE),"")</f>
        <v>0.01</v>
      </c>
      <c r="F218" s="62">
        <f>IFERROR(VLOOKUP(A218,Input!$D$249:$I$253,6,FALSE),"")</f>
        <v>0.05</v>
      </c>
      <c r="G218" s="62">
        <f t="shared" si="3"/>
        <v>0.14599999999999999</v>
      </c>
    </row>
    <row r="219" spans="1:7" x14ac:dyDescent="0.25">
      <c r="A219" s="3" t="s">
        <v>67</v>
      </c>
      <c r="B219" s="3" t="s">
        <v>66</v>
      </c>
      <c r="C219" s="3">
        <v>2029</v>
      </c>
      <c r="D219" s="61">
        <f>INDEX(Input!$I$221:$AI$235,MATCH(A219&amp;B219,Input!$H$221:$H$239,0),MATCH(C219,Input!$I$220:$AI$220,0))</f>
        <v>7.2999999999999995E-2</v>
      </c>
      <c r="E219" s="62">
        <f>IFERROR(VLOOKUP(A219,Input!$D$241:$I$245,6,FALSE),"")</f>
        <v>0.01</v>
      </c>
      <c r="F219" s="62">
        <f>IFERROR(VLOOKUP(A219,Input!$D$249:$I$253,6,FALSE),"")</f>
        <v>0.05</v>
      </c>
      <c r="G219" s="62">
        <f t="shared" si="3"/>
        <v>0.13300000000000001</v>
      </c>
    </row>
    <row r="220" spans="1:7" x14ac:dyDescent="0.25">
      <c r="A220" s="3" t="s">
        <v>67</v>
      </c>
      <c r="B220" s="3" t="s">
        <v>66</v>
      </c>
      <c r="C220" s="3">
        <v>2030</v>
      </c>
      <c r="D220" s="61">
        <f>INDEX(Input!$I$221:$AI$235,MATCH(A220&amp;B220,Input!$H$221:$H$239,0),MATCH(C220,Input!$I$220:$AI$220,0))</f>
        <v>0.04</v>
      </c>
      <c r="E220" s="62">
        <f>IFERROR(VLOOKUP(A220,Input!$D$241:$I$245,6,FALSE),"")</f>
        <v>0.01</v>
      </c>
      <c r="F220" s="62">
        <f>IFERROR(VLOOKUP(A220,Input!$D$249:$I$253,6,FALSE),"")</f>
        <v>0.05</v>
      </c>
      <c r="G220" s="62">
        <f t="shared" si="3"/>
        <v>0.1</v>
      </c>
    </row>
    <row r="221" spans="1:7" x14ac:dyDescent="0.25">
      <c r="A221" s="3" t="s">
        <v>67</v>
      </c>
      <c r="B221" s="3" t="s">
        <v>66</v>
      </c>
      <c r="C221" s="3">
        <v>2031</v>
      </c>
      <c r="D221" s="61">
        <f>INDEX(Input!$I$221:$AI$235,MATCH(A221&amp;B221,Input!$H$221:$H$239,0),MATCH(C221,Input!$I$220:$AI$220,0))</f>
        <v>0.04</v>
      </c>
      <c r="E221" s="62">
        <f>IFERROR(VLOOKUP(A221,Input!$D$241:$I$245,6,FALSE),"")</f>
        <v>0.01</v>
      </c>
      <c r="F221" s="62">
        <f>IFERROR(VLOOKUP(A221,Input!$D$249:$I$253,6,FALSE),"")</f>
        <v>0.05</v>
      </c>
      <c r="G221" s="62">
        <f t="shared" si="3"/>
        <v>0.1</v>
      </c>
    </row>
    <row r="222" spans="1:7" x14ac:dyDescent="0.25">
      <c r="A222" s="3" t="s">
        <v>67</v>
      </c>
      <c r="B222" s="3" t="s">
        <v>66</v>
      </c>
      <c r="C222" s="3">
        <v>2032</v>
      </c>
      <c r="D222" s="61">
        <f>INDEX(Input!$I$221:$AI$235,MATCH(A222&amp;B222,Input!$H$221:$H$239,0),MATCH(C222,Input!$I$220:$AI$220,0))</f>
        <v>0.04</v>
      </c>
      <c r="E222" s="62">
        <f>IFERROR(VLOOKUP(A222,Input!$D$241:$I$245,6,FALSE),"")</f>
        <v>0.01</v>
      </c>
      <c r="F222" s="62">
        <f>IFERROR(VLOOKUP(A222,Input!$D$249:$I$253,6,FALSE),"")</f>
        <v>0.05</v>
      </c>
      <c r="G222" s="62">
        <f t="shared" si="3"/>
        <v>0.1</v>
      </c>
    </row>
    <row r="223" spans="1:7" x14ac:dyDescent="0.25">
      <c r="A223" s="3" t="s">
        <v>67</v>
      </c>
      <c r="B223" s="3" t="s">
        <v>66</v>
      </c>
      <c r="C223" s="3">
        <v>2033</v>
      </c>
      <c r="D223" s="61">
        <f>INDEX(Input!$I$221:$AI$235,MATCH(A223&amp;B223,Input!$H$221:$H$239,0),MATCH(C223,Input!$I$220:$AI$220,0))</f>
        <v>0.04</v>
      </c>
      <c r="E223" s="62">
        <f>IFERROR(VLOOKUP(A223,Input!$D$241:$I$245,6,FALSE),"")</f>
        <v>0.01</v>
      </c>
      <c r="F223" s="62">
        <f>IFERROR(VLOOKUP(A223,Input!$D$249:$I$253,6,FALSE),"")</f>
        <v>0.05</v>
      </c>
      <c r="G223" s="62">
        <f t="shared" si="3"/>
        <v>0.1</v>
      </c>
    </row>
    <row r="224" spans="1:7" x14ac:dyDescent="0.25">
      <c r="A224" s="3" t="s">
        <v>67</v>
      </c>
      <c r="B224" s="3" t="s">
        <v>66</v>
      </c>
      <c r="C224" s="3">
        <v>2034</v>
      </c>
      <c r="D224" s="61">
        <f>INDEX(Input!$I$221:$AI$235,MATCH(A224&amp;B224,Input!$H$221:$H$239,0),MATCH(C224,Input!$I$220:$AI$220,0))</f>
        <v>0.04</v>
      </c>
      <c r="E224" s="62">
        <f>IFERROR(VLOOKUP(A224,Input!$D$241:$I$245,6,FALSE),"")</f>
        <v>0.01</v>
      </c>
      <c r="F224" s="62">
        <f>IFERROR(VLOOKUP(A224,Input!$D$249:$I$253,6,FALSE),"")</f>
        <v>0.05</v>
      </c>
      <c r="G224" s="62">
        <f t="shared" si="3"/>
        <v>0.1</v>
      </c>
    </row>
    <row r="225" spans="1:7" x14ac:dyDescent="0.25">
      <c r="A225" s="3" t="s">
        <v>67</v>
      </c>
      <c r="B225" s="3" t="s">
        <v>66</v>
      </c>
      <c r="C225" s="3">
        <v>2035</v>
      </c>
      <c r="D225" s="61">
        <f>INDEX(Input!$I$221:$AI$235,MATCH(A225&amp;B225,Input!$H$221:$H$239,0),MATCH(C225,Input!$I$220:$AI$220,0))</f>
        <v>0.04</v>
      </c>
      <c r="E225" s="62">
        <f>IFERROR(VLOOKUP(A225,Input!$D$241:$I$245,6,FALSE),"")</f>
        <v>0.01</v>
      </c>
      <c r="F225" s="62">
        <f>IFERROR(VLOOKUP(A225,Input!$D$249:$I$253,6,FALSE),"")</f>
        <v>0.05</v>
      </c>
      <c r="G225" s="62">
        <f t="shared" si="3"/>
        <v>0.1</v>
      </c>
    </row>
    <row r="226" spans="1:7" x14ac:dyDescent="0.25">
      <c r="A226" s="3" t="s">
        <v>67</v>
      </c>
      <c r="B226" s="3" t="s">
        <v>66</v>
      </c>
      <c r="C226" s="3">
        <v>2036</v>
      </c>
      <c r="D226" s="61">
        <f>INDEX(Input!$I$221:$AI$235,MATCH(A226&amp;B226,Input!$H$221:$H$239,0),MATCH(C226,Input!$I$220:$AI$220,0))</f>
        <v>0.04</v>
      </c>
      <c r="E226" s="62">
        <f>IFERROR(VLOOKUP(A226,Input!$D$241:$I$245,6,FALSE),"")</f>
        <v>0.01</v>
      </c>
      <c r="F226" s="62">
        <f>IFERROR(VLOOKUP(A226,Input!$D$249:$I$253,6,FALSE),"")</f>
        <v>0.05</v>
      </c>
      <c r="G226" s="62">
        <f t="shared" si="3"/>
        <v>0.1</v>
      </c>
    </row>
    <row r="227" spans="1:7" x14ac:dyDescent="0.25">
      <c r="A227" s="3" t="s">
        <v>67</v>
      </c>
      <c r="B227" s="3" t="s">
        <v>66</v>
      </c>
      <c r="C227" s="3">
        <v>2037</v>
      </c>
      <c r="D227" s="61">
        <f>INDEX(Input!$I$221:$AI$235,MATCH(A227&amp;B227,Input!$H$221:$H$239,0),MATCH(C227,Input!$I$220:$AI$220,0))</f>
        <v>0.04</v>
      </c>
      <c r="E227" s="62">
        <f>IFERROR(VLOOKUP(A227,Input!$D$241:$I$245,6,FALSE),"")</f>
        <v>0.01</v>
      </c>
      <c r="F227" s="62">
        <f>IFERROR(VLOOKUP(A227,Input!$D$249:$I$253,6,FALSE),"")</f>
        <v>0.05</v>
      </c>
      <c r="G227" s="62">
        <f t="shared" si="3"/>
        <v>0.1</v>
      </c>
    </row>
    <row r="228" spans="1:7" x14ac:dyDescent="0.25">
      <c r="A228" s="3" t="s">
        <v>67</v>
      </c>
      <c r="B228" s="3" t="s">
        <v>66</v>
      </c>
      <c r="C228" s="3">
        <v>2038</v>
      </c>
      <c r="D228" s="61">
        <f>INDEX(Input!$I$221:$AI$235,MATCH(A228&amp;B228,Input!$H$221:$H$239,0),MATCH(C228,Input!$I$220:$AI$220,0))</f>
        <v>0.04</v>
      </c>
      <c r="E228" s="62">
        <f>IFERROR(VLOOKUP(A228,Input!$D$241:$I$245,6,FALSE),"")</f>
        <v>0.01</v>
      </c>
      <c r="F228" s="62">
        <f>IFERROR(VLOOKUP(A228,Input!$D$249:$I$253,6,FALSE),"")</f>
        <v>0.05</v>
      </c>
      <c r="G228" s="62">
        <f t="shared" si="3"/>
        <v>0.1</v>
      </c>
    </row>
    <row r="229" spans="1:7" x14ac:dyDescent="0.25">
      <c r="A229" s="3" t="s">
        <v>67</v>
      </c>
      <c r="B229" s="3" t="s">
        <v>66</v>
      </c>
      <c r="C229" s="3">
        <v>2039</v>
      </c>
      <c r="D229" s="61">
        <f>INDEX(Input!$I$221:$AI$235,MATCH(A229&amp;B229,Input!$H$221:$H$239,0),MATCH(C229,Input!$I$220:$AI$220,0))</f>
        <v>0.04</v>
      </c>
      <c r="E229" s="62">
        <f>IFERROR(VLOOKUP(A229,Input!$D$241:$I$245,6,FALSE),"")</f>
        <v>0.01</v>
      </c>
      <c r="F229" s="62">
        <f>IFERROR(VLOOKUP(A229,Input!$D$249:$I$253,6,FALSE),"")</f>
        <v>0.05</v>
      </c>
      <c r="G229" s="62">
        <f t="shared" si="3"/>
        <v>0.1</v>
      </c>
    </row>
    <row r="230" spans="1:7" x14ac:dyDescent="0.25">
      <c r="A230" s="3" t="s">
        <v>67</v>
      </c>
      <c r="B230" s="3" t="s">
        <v>66</v>
      </c>
      <c r="C230" s="3">
        <v>2040</v>
      </c>
      <c r="D230" s="61">
        <f>INDEX(Input!$I$221:$AI$235,MATCH(A230&amp;B230,Input!$H$221:$H$239,0),MATCH(C230,Input!$I$220:$AI$220,0))</f>
        <v>0.04</v>
      </c>
      <c r="E230" s="62">
        <f>IFERROR(VLOOKUP(A230,Input!$D$241:$I$245,6,FALSE),"")</f>
        <v>0.01</v>
      </c>
      <c r="F230" s="62">
        <f>IFERROR(VLOOKUP(A230,Input!$D$249:$I$253,6,FALSE),"")</f>
        <v>0.05</v>
      </c>
      <c r="G230" s="62">
        <f t="shared" si="3"/>
        <v>0.1</v>
      </c>
    </row>
    <row r="231" spans="1:7" x14ac:dyDescent="0.25">
      <c r="A231" s="3" t="s">
        <v>67</v>
      </c>
      <c r="B231" s="3" t="s">
        <v>66</v>
      </c>
      <c r="C231" s="3">
        <v>2041</v>
      </c>
      <c r="D231" s="61">
        <f>INDEX(Input!$I$221:$AI$235,MATCH(A231&amp;B231,Input!$H$221:$H$239,0),MATCH(C231,Input!$I$220:$AI$220,0))</f>
        <v>0.04</v>
      </c>
      <c r="E231" s="62">
        <f>IFERROR(VLOOKUP(A231,Input!$D$241:$I$245,6,FALSE),"")</f>
        <v>0.01</v>
      </c>
      <c r="F231" s="62">
        <f>IFERROR(VLOOKUP(A231,Input!$D$249:$I$253,6,FALSE),"")</f>
        <v>0.05</v>
      </c>
      <c r="G231" s="62">
        <f t="shared" si="3"/>
        <v>0.1</v>
      </c>
    </row>
    <row r="232" spans="1:7" x14ac:dyDescent="0.25">
      <c r="A232" s="3" t="s">
        <v>67</v>
      </c>
      <c r="B232" s="3" t="s">
        <v>66</v>
      </c>
      <c r="C232" s="3">
        <v>2042</v>
      </c>
      <c r="D232" s="61">
        <f>INDEX(Input!$I$221:$AI$235,MATCH(A232&amp;B232,Input!$H$221:$H$239,0),MATCH(C232,Input!$I$220:$AI$220,0))</f>
        <v>0.04</v>
      </c>
      <c r="E232" s="62">
        <f>IFERROR(VLOOKUP(A232,Input!$D$241:$I$245,6,FALSE),"")</f>
        <v>0.01</v>
      </c>
      <c r="F232" s="62">
        <f>IFERROR(VLOOKUP(A232,Input!$D$249:$I$253,6,FALSE),"")</f>
        <v>0.05</v>
      </c>
      <c r="G232" s="62">
        <f t="shared" si="3"/>
        <v>0.1</v>
      </c>
    </row>
    <row r="233" spans="1:7" x14ac:dyDescent="0.25">
      <c r="A233" s="3" t="s">
        <v>67</v>
      </c>
      <c r="B233" s="3" t="s">
        <v>66</v>
      </c>
      <c r="C233" s="3">
        <v>2043</v>
      </c>
      <c r="D233" s="61">
        <f>INDEX(Input!$I$221:$AI$235,MATCH(A233&amp;B233,Input!$H$221:$H$239,0),MATCH(C233,Input!$I$220:$AI$220,0))</f>
        <v>0.04</v>
      </c>
      <c r="E233" s="62">
        <f>IFERROR(VLOOKUP(A233,Input!$D$241:$I$245,6,FALSE),"")</f>
        <v>0.01</v>
      </c>
      <c r="F233" s="62">
        <f>IFERROR(VLOOKUP(A233,Input!$D$249:$I$253,6,FALSE),"")</f>
        <v>0.05</v>
      </c>
      <c r="G233" s="62">
        <f t="shared" si="3"/>
        <v>0.1</v>
      </c>
    </row>
    <row r="234" spans="1:7" x14ac:dyDescent="0.25">
      <c r="A234" s="3" t="s">
        <v>67</v>
      </c>
      <c r="B234" s="3" t="s">
        <v>66</v>
      </c>
      <c r="C234" s="3">
        <v>2044</v>
      </c>
      <c r="D234" s="61">
        <f>INDEX(Input!$I$221:$AI$235,MATCH(A234&amp;B234,Input!$H$221:$H$239,0),MATCH(C234,Input!$I$220:$AI$220,0))</f>
        <v>0.04</v>
      </c>
      <c r="E234" s="62">
        <f>IFERROR(VLOOKUP(A234,Input!$D$241:$I$245,6,FALSE),"")</f>
        <v>0.01</v>
      </c>
      <c r="F234" s="62">
        <f>IFERROR(VLOOKUP(A234,Input!$D$249:$I$253,6,FALSE),"")</f>
        <v>0.05</v>
      </c>
      <c r="G234" s="62">
        <f t="shared" si="3"/>
        <v>0.1</v>
      </c>
    </row>
    <row r="235" spans="1:7" x14ac:dyDescent="0.25">
      <c r="A235" s="3" t="s">
        <v>67</v>
      </c>
      <c r="B235" s="3" t="s">
        <v>66</v>
      </c>
      <c r="C235" s="3">
        <v>2045</v>
      </c>
      <c r="D235" s="61">
        <f>INDEX(Input!$I$221:$AI$235,MATCH(A235&amp;B235,Input!$H$221:$H$239,0),MATCH(C235,Input!$I$220:$AI$220,0))</f>
        <v>0.04</v>
      </c>
      <c r="E235" s="62">
        <f>IFERROR(VLOOKUP(A235,Input!$D$241:$I$245,6,FALSE),"")</f>
        <v>0.01</v>
      </c>
      <c r="F235" s="62">
        <f>IFERROR(VLOOKUP(A235,Input!$D$249:$I$253,6,FALSE),"")</f>
        <v>0.05</v>
      </c>
      <c r="G235" s="62">
        <f t="shared" si="3"/>
        <v>0.1</v>
      </c>
    </row>
    <row r="236" spans="1:7" x14ac:dyDescent="0.25">
      <c r="A236" s="3" t="s">
        <v>67</v>
      </c>
      <c r="B236" s="3" t="s">
        <v>66</v>
      </c>
      <c r="C236" s="3">
        <v>2046</v>
      </c>
      <c r="D236" s="61">
        <f>INDEX(Input!$I$221:$AI$235,MATCH(A236&amp;B236,Input!$H$221:$H$239,0),MATCH(C236,Input!$I$220:$AI$220,0))</f>
        <v>0.04</v>
      </c>
      <c r="E236" s="62">
        <f>IFERROR(VLOOKUP(A236,Input!$D$241:$I$245,6,FALSE),"")</f>
        <v>0.01</v>
      </c>
      <c r="F236" s="62">
        <f>IFERROR(VLOOKUP(A236,Input!$D$249:$I$253,6,FALSE),"")</f>
        <v>0.05</v>
      </c>
      <c r="G236" s="62">
        <f t="shared" si="3"/>
        <v>0.1</v>
      </c>
    </row>
    <row r="237" spans="1:7" x14ac:dyDescent="0.25">
      <c r="A237" s="3" t="s">
        <v>67</v>
      </c>
      <c r="B237" s="3" t="s">
        <v>66</v>
      </c>
      <c r="C237" s="3">
        <v>2047</v>
      </c>
      <c r="D237" s="61">
        <f>INDEX(Input!$I$221:$AI$235,MATCH(A237&amp;B237,Input!$H$221:$H$239,0),MATCH(C237,Input!$I$220:$AI$220,0))</f>
        <v>0.04</v>
      </c>
      <c r="E237" s="62">
        <f>IFERROR(VLOOKUP(A237,Input!$D$241:$I$245,6,FALSE),"")</f>
        <v>0.01</v>
      </c>
      <c r="F237" s="62">
        <f>IFERROR(VLOOKUP(A237,Input!$D$249:$I$253,6,FALSE),"")</f>
        <v>0.05</v>
      </c>
      <c r="G237" s="62">
        <f t="shared" si="3"/>
        <v>0.1</v>
      </c>
    </row>
    <row r="238" spans="1:7" x14ac:dyDescent="0.25">
      <c r="A238" s="3" t="s">
        <v>67</v>
      </c>
      <c r="B238" s="3" t="s">
        <v>66</v>
      </c>
      <c r="C238" s="3">
        <v>2048</v>
      </c>
      <c r="D238" s="61">
        <f>INDEX(Input!$I$221:$AI$235,MATCH(A238&amp;B238,Input!$H$221:$H$239,0),MATCH(C238,Input!$I$220:$AI$220,0))</f>
        <v>0.04</v>
      </c>
      <c r="E238" s="62">
        <f>IFERROR(VLOOKUP(A238,Input!$D$241:$I$245,6,FALSE),"")</f>
        <v>0.01</v>
      </c>
      <c r="F238" s="62">
        <f>IFERROR(VLOOKUP(A238,Input!$D$249:$I$253,6,FALSE),"")</f>
        <v>0.05</v>
      </c>
      <c r="G238" s="62">
        <f t="shared" si="3"/>
        <v>0.1</v>
      </c>
    </row>
    <row r="239" spans="1:7" x14ac:dyDescent="0.25">
      <c r="A239" s="3" t="s">
        <v>67</v>
      </c>
      <c r="B239" s="3" t="s">
        <v>66</v>
      </c>
      <c r="C239" s="3">
        <v>2049</v>
      </c>
      <c r="D239" s="61">
        <f>INDEX(Input!$I$221:$AI$235,MATCH(A239&amp;B239,Input!$H$221:$H$239,0),MATCH(C239,Input!$I$220:$AI$220,0))</f>
        <v>0.04</v>
      </c>
      <c r="E239" s="62">
        <f>IFERROR(VLOOKUP(A239,Input!$D$241:$I$245,6,FALSE),"")</f>
        <v>0.01</v>
      </c>
      <c r="F239" s="62">
        <f>IFERROR(VLOOKUP(A239,Input!$D$249:$I$253,6,FALSE),"")</f>
        <v>0.05</v>
      </c>
      <c r="G239" s="62">
        <f t="shared" si="3"/>
        <v>0.1</v>
      </c>
    </row>
    <row r="240" spans="1:7" x14ac:dyDescent="0.25">
      <c r="A240" s="3" t="s">
        <v>67</v>
      </c>
      <c r="B240" s="3" t="s">
        <v>66</v>
      </c>
      <c r="C240" s="3">
        <v>2050</v>
      </c>
      <c r="D240" s="61">
        <f>INDEX(Input!$I$221:$AI$235,MATCH(A240&amp;B240,Input!$H$221:$H$239,0),MATCH(C240,Input!$I$220:$AI$220,0))</f>
        <v>0.04</v>
      </c>
      <c r="E240" s="62">
        <f>IFERROR(VLOOKUP(A240,Input!$D$241:$I$245,6,FALSE),"")</f>
        <v>0.01</v>
      </c>
      <c r="F240" s="62">
        <f>IFERROR(VLOOKUP(A240,Input!$D$249:$I$253,6,FALSE),"")</f>
        <v>0.05</v>
      </c>
      <c r="G240" s="62">
        <f t="shared" si="3"/>
        <v>0.1</v>
      </c>
    </row>
    <row r="241" spans="1:7" x14ac:dyDescent="0.25">
      <c r="A241" s="3" t="s">
        <v>26</v>
      </c>
      <c r="B241" s="3" t="s">
        <v>65</v>
      </c>
      <c r="C241" s="3">
        <v>2024</v>
      </c>
      <c r="D241" s="61">
        <f>INDEX(Input!$I$221:$AI$235,MATCH(A241&amp;B241,Input!$H$221:$H$239,0),MATCH(C241,Input!$I$220:$AI$220,0))</f>
        <v>7.0000000000000007E-2</v>
      </c>
      <c r="E241" s="62">
        <f>IFERROR(VLOOKUP(A241,Input!$D$241:$I$245,6,FALSE),"")</f>
        <v>5.4000000000000001E-4</v>
      </c>
      <c r="F241" s="62">
        <f>IFERROR(VLOOKUP(A241,Input!$D$249:$I$253,6,FALSE),"")</f>
        <v>4.1269841269841276E-2</v>
      </c>
      <c r="G241" s="62">
        <f t="shared" si="3"/>
        <v>0.11180984126984128</v>
      </c>
    </row>
    <row r="242" spans="1:7" x14ac:dyDescent="0.25">
      <c r="A242" s="3" t="s">
        <v>26</v>
      </c>
      <c r="B242" s="3" t="s">
        <v>65</v>
      </c>
      <c r="C242" s="3">
        <v>2025</v>
      </c>
      <c r="D242" s="61">
        <f>INDEX(Input!$I$221:$AI$235,MATCH(A242&amp;B242,Input!$H$221:$H$239,0),MATCH(C242,Input!$I$220:$AI$220,0))</f>
        <v>7.8333333333333324E-2</v>
      </c>
      <c r="E242" s="62">
        <f>IFERROR(VLOOKUP(A242,Input!$D$241:$I$245,6,FALSE),"")</f>
        <v>5.4000000000000001E-4</v>
      </c>
      <c r="F242" s="62">
        <f>IFERROR(VLOOKUP(A242,Input!$D$249:$I$253,6,FALSE),"")</f>
        <v>4.1269841269841276E-2</v>
      </c>
      <c r="G242" s="62">
        <f t="shared" si="3"/>
        <v>0.1201431746031746</v>
      </c>
    </row>
    <row r="243" spans="1:7" x14ac:dyDescent="0.25">
      <c r="A243" s="3" t="s">
        <v>26</v>
      </c>
      <c r="B243" s="3" t="s">
        <v>65</v>
      </c>
      <c r="C243" s="3">
        <v>2026</v>
      </c>
      <c r="D243" s="61">
        <f>INDEX(Input!$I$221:$AI$235,MATCH(A243&amp;B243,Input!$H$221:$H$239,0),MATCH(C243,Input!$I$220:$AI$220,0))</f>
        <v>8.6666666666666656E-2</v>
      </c>
      <c r="E243" s="62">
        <f>IFERROR(VLOOKUP(A243,Input!$D$241:$I$245,6,FALSE),"")</f>
        <v>5.4000000000000001E-4</v>
      </c>
      <c r="F243" s="62">
        <f>IFERROR(VLOOKUP(A243,Input!$D$249:$I$253,6,FALSE),"")</f>
        <v>4.1269841269841276E-2</v>
      </c>
      <c r="G243" s="62">
        <f t="shared" si="3"/>
        <v>0.12847650793650794</v>
      </c>
    </row>
    <row r="244" spans="1:7" x14ac:dyDescent="0.25">
      <c r="A244" s="3" t="s">
        <v>26</v>
      </c>
      <c r="B244" s="3" t="s">
        <v>65</v>
      </c>
      <c r="C244" s="3">
        <v>2027</v>
      </c>
      <c r="D244" s="61">
        <f>INDEX(Input!$I$221:$AI$235,MATCH(A244&amp;B244,Input!$H$221:$H$239,0),MATCH(C244,Input!$I$220:$AI$220,0))</f>
        <v>9.5000000000000001E-2</v>
      </c>
      <c r="E244" s="62">
        <f>IFERROR(VLOOKUP(A244,Input!$D$241:$I$245,6,FALSE),"")</f>
        <v>5.4000000000000001E-4</v>
      </c>
      <c r="F244" s="62">
        <f>IFERROR(VLOOKUP(A244,Input!$D$249:$I$253,6,FALSE),"")</f>
        <v>4.1269841269841276E-2</v>
      </c>
      <c r="G244" s="62">
        <f t="shared" si="3"/>
        <v>0.13680984126984128</v>
      </c>
    </row>
    <row r="245" spans="1:7" x14ac:dyDescent="0.25">
      <c r="A245" s="3" t="s">
        <v>26</v>
      </c>
      <c r="B245" s="3" t="s">
        <v>65</v>
      </c>
      <c r="C245" s="3">
        <v>2028</v>
      </c>
      <c r="D245" s="61">
        <f>INDEX(Input!$I$221:$AI$235,MATCH(A245&amp;B245,Input!$H$221:$H$239,0),MATCH(C245,Input!$I$220:$AI$220,0))</f>
        <v>0.10333333333333333</v>
      </c>
      <c r="E245" s="62">
        <f>IFERROR(VLOOKUP(A245,Input!$D$241:$I$245,6,FALSE),"")</f>
        <v>5.4000000000000001E-4</v>
      </c>
      <c r="F245" s="62">
        <f>IFERROR(VLOOKUP(A245,Input!$D$249:$I$253,6,FALSE),"")</f>
        <v>4.1269841269841276E-2</v>
      </c>
      <c r="G245" s="62">
        <f t="shared" si="3"/>
        <v>0.14514317460317461</v>
      </c>
    </row>
    <row r="246" spans="1:7" x14ac:dyDescent="0.25">
      <c r="A246" s="3" t="s">
        <v>26</v>
      </c>
      <c r="B246" s="3" t="s">
        <v>65</v>
      </c>
      <c r="C246" s="3">
        <v>2029</v>
      </c>
      <c r="D246" s="61">
        <f>INDEX(Input!$I$221:$AI$235,MATCH(A246&amp;B246,Input!$H$221:$H$239,0),MATCH(C246,Input!$I$220:$AI$220,0))</f>
        <v>0.11166666666666668</v>
      </c>
      <c r="E246" s="62">
        <f>IFERROR(VLOOKUP(A246,Input!$D$241:$I$245,6,FALSE),"")</f>
        <v>5.4000000000000001E-4</v>
      </c>
      <c r="F246" s="62">
        <f>IFERROR(VLOOKUP(A246,Input!$D$249:$I$253,6,FALSE),"")</f>
        <v>4.1269841269841276E-2</v>
      </c>
      <c r="G246" s="62">
        <f t="shared" si="3"/>
        <v>0.15347650793650797</v>
      </c>
    </row>
    <row r="247" spans="1:7" x14ac:dyDescent="0.25">
      <c r="A247" s="3" t="s">
        <v>26</v>
      </c>
      <c r="B247" s="3" t="s">
        <v>65</v>
      </c>
      <c r="C247" s="3">
        <v>2030</v>
      </c>
      <c r="D247" s="61">
        <f>INDEX(Input!$I$221:$AI$235,MATCH(A247&amp;B247,Input!$H$221:$H$239,0),MATCH(C247,Input!$I$220:$AI$220,0))</f>
        <v>0.12</v>
      </c>
      <c r="E247" s="62">
        <f>IFERROR(VLOOKUP(A247,Input!$D$241:$I$245,6,FALSE),"")</f>
        <v>5.4000000000000001E-4</v>
      </c>
      <c r="F247" s="62">
        <f>IFERROR(VLOOKUP(A247,Input!$D$249:$I$253,6,FALSE),"")</f>
        <v>4.1269841269841276E-2</v>
      </c>
      <c r="G247" s="62">
        <f t="shared" si="3"/>
        <v>0.16180984126984127</v>
      </c>
    </row>
    <row r="248" spans="1:7" x14ac:dyDescent="0.25">
      <c r="A248" s="3" t="s">
        <v>26</v>
      </c>
      <c r="B248" s="3" t="s">
        <v>65</v>
      </c>
      <c r="C248" s="3">
        <v>2031</v>
      </c>
      <c r="D248" s="61">
        <f>INDEX(Input!$I$221:$AI$235,MATCH(A248&amp;B248,Input!$H$221:$H$239,0),MATCH(C248,Input!$I$220:$AI$220,0))</f>
        <v>0.12</v>
      </c>
      <c r="E248" s="62">
        <f>IFERROR(VLOOKUP(A248,Input!$D$241:$I$245,6,FALSE),"")</f>
        <v>5.4000000000000001E-4</v>
      </c>
      <c r="F248" s="62">
        <f>IFERROR(VLOOKUP(A248,Input!$D$249:$I$253,6,FALSE),"")</f>
        <v>4.1269841269841276E-2</v>
      </c>
      <c r="G248" s="62">
        <f t="shared" si="3"/>
        <v>0.16180984126984127</v>
      </c>
    </row>
    <row r="249" spans="1:7" x14ac:dyDescent="0.25">
      <c r="A249" s="3" t="s">
        <v>26</v>
      </c>
      <c r="B249" s="3" t="s">
        <v>65</v>
      </c>
      <c r="C249" s="3">
        <v>2032</v>
      </c>
      <c r="D249" s="61">
        <f>INDEX(Input!$I$221:$AI$235,MATCH(A249&amp;B249,Input!$H$221:$H$239,0),MATCH(C249,Input!$I$220:$AI$220,0))</f>
        <v>0.12</v>
      </c>
      <c r="E249" s="62">
        <f>IFERROR(VLOOKUP(A249,Input!$D$241:$I$245,6,FALSE),"")</f>
        <v>5.4000000000000001E-4</v>
      </c>
      <c r="F249" s="62">
        <f>IFERROR(VLOOKUP(A249,Input!$D$249:$I$253,6,FALSE),"")</f>
        <v>4.1269841269841276E-2</v>
      </c>
      <c r="G249" s="62">
        <f t="shared" si="3"/>
        <v>0.16180984126984127</v>
      </c>
    </row>
    <row r="250" spans="1:7" x14ac:dyDescent="0.25">
      <c r="A250" s="3" t="s">
        <v>26</v>
      </c>
      <c r="B250" s="3" t="s">
        <v>65</v>
      </c>
      <c r="C250" s="3">
        <v>2033</v>
      </c>
      <c r="D250" s="61">
        <f>INDEX(Input!$I$221:$AI$235,MATCH(A250&amp;B250,Input!$H$221:$H$239,0),MATCH(C250,Input!$I$220:$AI$220,0))</f>
        <v>0.12</v>
      </c>
      <c r="E250" s="62">
        <f>IFERROR(VLOOKUP(A250,Input!$D$241:$I$245,6,FALSE),"")</f>
        <v>5.4000000000000001E-4</v>
      </c>
      <c r="F250" s="62">
        <f>IFERROR(VLOOKUP(A250,Input!$D$249:$I$253,6,FALSE),"")</f>
        <v>4.1269841269841276E-2</v>
      </c>
      <c r="G250" s="62">
        <f t="shared" si="3"/>
        <v>0.16180984126984127</v>
      </c>
    </row>
    <row r="251" spans="1:7" x14ac:dyDescent="0.25">
      <c r="A251" s="3" t="s">
        <v>26</v>
      </c>
      <c r="B251" s="3" t="s">
        <v>65</v>
      </c>
      <c r="C251" s="3">
        <v>2034</v>
      </c>
      <c r="D251" s="61">
        <f>INDEX(Input!$I$221:$AI$235,MATCH(A251&amp;B251,Input!$H$221:$H$239,0),MATCH(C251,Input!$I$220:$AI$220,0))</f>
        <v>0.12</v>
      </c>
      <c r="E251" s="62">
        <f>IFERROR(VLOOKUP(A251,Input!$D$241:$I$245,6,FALSE),"")</f>
        <v>5.4000000000000001E-4</v>
      </c>
      <c r="F251" s="62">
        <f>IFERROR(VLOOKUP(A251,Input!$D$249:$I$253,6,FALSE),"")</f>
        <v>4.1269841269841276E-2</v>
      </c>
      <c r="G251" s="62">
        <f t="shared" si="3"/>
        <v>0.16180984126984127</v>
      </c>
    </row>
    <row r="252" spans="1:7" x14ac:dyDescent="0.25">
      <c r="A252" s="3" t="s">
        <v>26</v>
      </c>
      <c r="B252" s="3" t="s">
        <v>65</v>
      </c>
      <c r="C252" s="3">
        <v>2035</v>
      </c>
      <c r="D252" s="61">
        <f>INDEX(Input!$I$221:$AI$235,MATCH(A252&amp;B252,Input!$H$221:$H$239,0),MATCH(C252,Input!$I$220:$AI$220,0))</f>
        <v>0.12</v>
      </c>
      <c r="E252" s="62">
        <f>IFERROR(VLOOKUP(A252,Input!$D$241:$I$245,6,FALSE),"")</f>
        <v>5.4000000000000001E-4</v>
      </c>
      <c r="F252" s="62">
        <f>IFERROR(VLOOKUP(A252,Input!$D$249:$I$253,6,FALSE),"")</f>
        <v>4.1269841269841276E-2</v>
      </c>
      <c r="G252" s="62">
        <f t="shared" si="3"/>
        <v>0.16180984126984127</v>
      </c>
    </row>
    <row r="253" spans="1:7" x14ac:dyDescent="0.25">
      <c r="A253" s="3" t="s">
        <v>26</v>
      </c>
      <c r="B253" s="3" t="s">
        <v>65</v>
      </c>
      <c r="C253" s="3">
        <v>2036</v>
      </c>
      <c r="D253" s="61">
        <f>INDEX(Input!$I$221:$AI$235,MATCH(A253&amp;B253,Input!$H$221:$H$239,0),MATCH(C253,Input!$I$220:$AI$220,0))</f>
        <v>0.12</v>
      </c>
      <c r="E253" s="62">
        <f>IFERROR(VLOOKUP(A253,Input!$D$241:$I$245,6,FALSE),"")</f>
        <v>5.4000000000000001E-4</v>
      </c>
      <c r="F253" s="62">
        <f>IFERROR(VLOOKUP(A253,Input!$D$249:$I$253,6,FALSE),"")</f>
        <v>4.1269841269841276E-2</v>
      </c>
      <c r="G253" s="62">
        <f t="shared" si="3"/>
        <v>0.16180984126984127</v>
      </c>
    </row>
    <row r="254" spans="1:7" x14ac:dyDescent="0.25">
      <c r="A254" s="3" t="s">
        <v>26</v>
      </c>
      <c r="B254" s="3" t="s">
        <v>65</v>
      </c>
      <c r="C254" s="3">
        <v>2037</v>
      </c>
      <c r="D254" s="61">
        <f>INDEX(Input!$I$221:$AI$235,MATCH(A254&amp;B254,Input!$H$221:$H$239,0),MATCH(C254,Input!$I$220:$AI$220,0))</f>
        <v>0.12</v>
      </c>
      <c r="E254" s="62">
        <f>IFERROR(VLOOKUP(A254,Input!$D$241:$I$245,6,FALSE),"")</f>
        <v>5.4000000000000001E-4</v>
      </c>
      <c r="F254" s="62">
        <f>IFERROR(VLOOKUP(A254,Input!$D$249:$I$253,6,FALSE),"")</f>
        <v>4.1269841269841276E-2</v>
      </c>
      <c r="G254" s="62">
        <f t="shared" si="3"/>
        <v>0.16180984126984127</v>
      </c>
    </row>
    <row r="255" spans="1:7" x14ac:dyDescent="0.25">
      <c r="A255" s="3" t="s">
        <v>26</v>
      </c>
      <c r="B255" s="3" t="s">
        <v>65</v>
      </c>
      <c r="C255" s="3">
        <v>2038</v>
      </c>
      <c r="D255" s="61">
        <f>INDEX(Input!$I$221:$AI$235,MATCH(A255&amp;B255,Input!$H$221:$H$239,0),MATCH(C255,Input!$I$220:$AI$220,0))</f>
        <v>0.12</v>
      </c>
      <c r="E255" s="62">
        <f>IFERROR(VLOOKUP(A255,Input!$D$241:$I$245,6,FALSE),"")</f>
        <v>5.4000000000000001E-4</v>
      </c>
      <c r="F255" s="62">
        <f>IFERROR(VLOOKUP(A255,Input!$D$249:$I$253,6,FALSE),"")</f>
        <v>4.1269841269841276E-2</v>
      </c>
      <c r="G255" s="62">
        <f t="shared" si="3"/>
        <v>0.16180984126984127</v>
      </c>
    </row>
    <row r="256" spans="1:7" x14ac:dyDescent="0.25">
      <c r="A256" s="3" t="s">
        <v>26</v>
      </c>
      <c r="B256" s="3" t="s">
        <v>65</v>
      </c>
      <c r="C256" s="3">
        <v>2039</v>
      </c>
      <c r="D256" s="61">
        <f>INDEX(Input!$I$221:$AI$235,MATCH(A256&amp;B256,Input!$H$221:$H$239,0),MATCH(C256,Input!$I$220:$AI$220,0))</f>
        <v>0.12</v>
      </c>
      <c r="E256" s="62">
        <f>IFERROR(VLOOKUP(A256,Input!$D$241:$I$245,6,FALSE),"")</f>
        <v>5.4000000000000001E-4</v>
      </c>
      <c r="F256" s="62">
        <f>IFERROR(VLOOKUP(A256,Input!$D$249:$I$253,6,FALSE),"")</f>
        <v>4.1269841269841276E-2</v>
      </c>
      <c r="G256" s="62">
        <f t="shared" si="3"/>
        <v>0.16180984126984127</v>
      </c>
    </row>
    <row r="257" spans="1:7" x14ac:dyDescent="0.25">
      <c r="A257" s="3" t="s">
        <v>26</v>
      </c>
      <c r="B257" s="3" t="s">
        <v>65</v>
      </c>
      <c r="C257" s="3">
        <v>2040</v>
      </c>
      <c r="D257" s="61">
        <f>INDEX(Input!$I$221:$AI$235,MATCH(A257&amp;B257,Input!$H$221:$H$239,0),MATCH(C257,Input!$I$220:$AI$220,0))</f>
        <v>0.12</v>
      </c>
      <c r="E257" s="62">
        <f>IFERROR(VLOOKUP(A257,Input!$D$241:$I$245,6,FALSE),"")</f>
        <v>5.4000000000000001E-4</v>
      </c>
      <c r="F257" s="62">
        <f>IFERROR(VLOOKUP(A257,Input!$D$249:$I$253,6,FALSE),"")</f>
        <v>4.1269841269841276E-2</v>
      </c>
      <c r="G257" s="62">
        <f t="shared" si="3"/>
        <v>0.16180984126984127</v>
      </c>
    </row>
    <row r="258" spans="1:7" x14ac:dyDescent="0.25">
      <c r="A258" s="3" t="s">
        <v>26</v>
      </c>
      <c r="B258" s="3" t="s">
        <v>65</v>
      </c>
      <c r="C258" s="3">
        <v>2041</v>
      </c>
      <c r="D258" s="61">
        <f>INDEX(Input!$I$221:$AI$235,MATCH(A258&amp;B258,Input!$H$221:$H$239,0),MATCH(C258,Input!$I$220:$AI$220,0))</f>
        <v>0.12</v>
      </c>
      <c r="E258" s="62">
        <f>IFERROR(VLOOKUP(A258,Input!$D$241:$I$245,6,FALSE),"")</f>
        <v>5.4000000000000001E-4</v>
      </c>
      <c r="F258" s="62">
        <f>IFERROR(VLOOKUP(A258,Input!$D$249:$I$253,6,FALSE),"")</f>
        <v>4.1269841269841276E-2</v>
      </c>
      <c r="G258" s="62">
        <f t="shared" si="3"/>
        <v>0.16180984126984127</v>
      </c>
    </row>
    <row r="259" spans="1:7" x14ac:dyDescent="0.25">
      <c r="A259" s="3" t="s">
        <v>26</v>
      </c>
      <c r="B259" s="3" t="s">
        <v>65</v>
      </c>
      <c r="C259" s="3">
        <v>2042</v>
      </c>
      <c r="D259" s="61">
        <f>INDEX(Input!$I$221:$AI$235,MATCH(A259&amp;B259,Input!$H$221:$H$239,0),MATCH(C259,Input!$I$220:$AI$220,0))</f>
        <v>0.12</v>
      </c>
      <c r="E259" s="62">
        <f>IFERROR(VLOOKUP(A259,Input!$D$241:$I$245,6,FALSE),"")</f>
        <v>5.4000000000000001E-4</v>
      </c>
      <c r="F259" s="62">
        <f>IFERROR(VLOOKUP(A259,Input!$D$249:$I$253,6,FALSE),"")</f>
        <v>4.1269841269841276E-2</v>
      </c>
      <c r="G259" s="62">
        <f t="shared" ref="G259:G322" si="4">IFERROR(D259+E259+F259,"")</f>
        <v>0.16180984126984127</v>
      </c>
    </row>
    <row r="260" spans="1:7" x14ac:dyDescent="0.25">
      <c r="A260" s="3" t="s">
        <v>26</v>
      </c>
      <c r="B260" s="3" t="s">
        <v>65</v>
      </c>
      <c r="C260" s="3">
        <v>2043</v>
      </c>
      <c r="D260" s="61">
        <f>INDEX(Input!$I$221:$AI$235,MATCH(A260&amp;B260,Input!$H$221:$H$239,0),MATCH(C260,Input!$I$220:$AI$220,0))</f>
        <v>0.12</v>
      </c>
      <c r="E260" s="62">
        <f>IFERROR(VLOOKUP(A260,Input!$D$241:$I$245,6,FALSE),"")</f>
        <v>5.4000000000000001E-4</v>
      </c>
      <c r="F260" s="62">
        <f>IFERROR(VLOOKUP(A260,Input!$D$249:$I$253,6,FALSE),"")</f>
        <v>4.1269841269841276E-2</v>
      </c>
      <c r="G260" s="62">
        <f t="shared" si="4"/>
        <v>0.16180984126984127</v>
      </c>
    </row>
    <row r="261" spans="1:7" x14ac:dyDescent="0.25">
      <c r="A261" s="3" t="s">
        <v>26</v>
      </c>
      <c r="B261" s="3" t="s">
        <v>65</v>
      </c>
      <c r="C261" s="3">
        <v>2044</v>
      </c>
      <c r="D261" s="61">
        <f>INDEX(Input!$I$221:$AI$235,MATCH(A261&amp;B261,Input!$H$221:$H$239,0),MATCH(C261,Input!$I$220:$AI$220,0))</f>
        <v>0.12</v>
      </c>
      <c r="E261" s="62">
        <f>IFERROR(VLOOKUP(A261,Input!$D$241:$I$245,6,FALSE),"")</f>
        <v>5.4000000000000001E-4</v>
      </c>
      <c r="F261" s="62">
        <f>IFERROR(VLOOKUP(A261,Input!$D$249:$I$253,6,FALSE),"")</f>
        <v>4.1269841269841276E-2</v>
      </c>
      <c r="G261" s="62">
        <f t="shared" si="4"/>
        <v>0.16180984126984127</v>
      </c>
    </row>
    <row r="262" spans="1:7" x14ac:dyDescent="0.25">
      <c r="A262" s="3" t="s">
        <v>26</v>
      </c>
      <c r="B262" s="3" t="s">
        <v>65</v>
      </c>
      <c r="C262" s="3">
        <v>2045</v>
      </c>
      <c r="D262" s="61">
        <f>INDEX(Input!$I$221:$AI$235,MATCH(A262&amp;B262,Input!$H$221:$H$239,0),MATCH(C262,Input!$I$220:$AI$220,0))</f>
        <v>0.12</v>
      </c>
      <c r="E262" s="62">
        <f>IFERROR(VLOOKUP(A262,Input!$D$241:$I$245,6,FALSE),"")</f>
        <v>5.4000000000000001E-4</v>
      </c>
      <c r="F262" s="62">
        <f>IFERROR(VLOOKUP(A262,Input!$D$249:$I$253,6,FALSE),"")</f>
        <v>4.1269841269841276E-2</v>
      </c>
      <c r="G262" s="62">
        <f t="shared" si="4"/>
        <v>0.16180984126984127</v>
      </c>
    </row>
    <row r="263" spans="1:7" x14ac:dyDescent="0.25">
      <c r="A263" s="3" t="s">
        <v>26</v>
      </c>
      <c r="B263" s="3" t="s">
        <v>65</v>
      </c>
      <c r="C263" s="3">
        <v>2046</v>
      </c>
      <c r="D263" s="61">
        <f>INDEX(Input!$I$221:$AI$235,MATCH(A263&amp;B263,Input!$H$221:$H$239,0),MATCH(C263,Input!$I$220:$AI$220,0))</f>
        <v>0.12</v>
      </c>
      <c r="E263" s="62">
        <f>IFERROR(VLOOKUP(A263,Input!$D$241:$I$245,6,FALSE),"")</f>
        <v>5.4000000000000001E-4</v>
      </c>
      <c r="F263" s="62">
        <f>IFERROR(VLOOKUP(A263,Input!$D$249:$I$253,6,FALSE),"")</f>
        <v>4.1269841269841276E-2</v>
      </c>
      <c r="G263" s="62">
        <f t="shared" si="4"/>
        <v>0.16180984126984127</v>
      </c>
    </row>
    <row r="264" spans="1:7" x14ac:dyDescent="0.25">
      <c r="A264" s="3" t="s">
        <v>26</v>
      </c>
      <c r="B264" s="3" t="s">
        <v>65</v>
      </c>
      <c r="C264" s="3">
        <v>2047</v>
      </c>
      <c r="D264" s="61">
        <f>INDEX(Input!$I$221:$AI$235,MATCH(A264&amp;B264,Input!$H$221:$H$239,0),MATCH(C264,Input!$I$220:$AI$220,0))</f>
        <v>0.12</v>
      </c>
      <c r="E264" s="62">
        <f>IFERROR(VLOOKUP(A264,Input!$D$241:$I$245,6,FALSE),"")</f>
        <v>5.4000000000000001E-4</v>
      </c>
      <c r="F264" s="62">
        <f>IFERROR(VLOOKUP(A264,Input!$D$249:$I$253,6,FALSE),"")</f>
        <v>4.1269841269841276E-2</v>
      </c>
      <c r="G264" s="62">
        <f t="shared" si="4"/>
        <v>0.16180984126984127</v>
      </c>
    </row>
    <row r="265" spans="1:7" x14ac:dyDescent="0.25">
      <c r="A265" s="3" t="s">
        <v>26</v>
      </c>
      <c r="B265" s="3" t="s">
        <v>65</v>
      </c>
      <c r="C265" s="3">
        <v>2048</v>
      </c>
      <c r="D265" s="61">
        <f>INDEX(Input!$I$221:$AI$235,MATCH(A265&amp;B265,Input!$H$221:$H$239,0),MATCH(C265,Input!$I$220:$AI$220,0))</f>
        <v>0.12</v>
      </c>
      <c r="E265" s="62">
        <f>IFERROR(VLOOKUP(A265,Input!$D$241:$I$245,6,FALSE),"")</f>
        <v>5.4000000000000001E-4</v>
      </c>
      <c r="F265" s="62">
        <f>IFERROR(VLOOKUP(A265,Input!$D$249:$I$253,6,FALSE),"")</f>
        <v>4.1269841269841276E-2</v>
      </c>
      <c r="G265" s="62">
        <f t="shared" si="4"/>
        <v>0.16180984126984127</v>
      </c>
    </row>
    <row r="266" spans="1:7" x14ac:dyDescent="0.25">
      <c r="A266" s="3" t="s">
        <v>26</v>
      </c>
      <c r="B266" s="3" t="s">
        <v>65</v>
      </c>
      <c r="C266" s="3">
        <v>2049</v>
      </c>
      <c r="D266" s="61">
        <f>INDEX(Input!$I$221:$AI$235,MATCH(A266&amp;B266,Input!$H$221:$H$239,0),MATCH(C266,Input!$I$220:$AI$220,0))</f>
        <v>0.12</v>
      </c>
      <c r="E266" s="62">
        <f>IFERROR(VLOOKUP(A266,Input!$D$241:$I$245,6,FALSE),"")</f>
        <v>5.4000000000000001E-4</v>
      </c>
      <c r="F266" s="62">
        <f>IFERROR(VLOOKUP(A266,Input!$D$249:$I$253,6,FALSE),"")</f>
        <v>4.1269841269841276E-2</v>
      </c>
      <c r="G266" s="62">
        <f t="shared" si="4"/>
        <v>0.16180984126984127</v>
      </c>
    </row>
    <row r="267" spans="1:7" x14ac:dyDescent="0.25">
      <c r="A267" s="3" t="s">
        <v>26</v>
      </c>
      <c r="B267" s="3" t="s">
        <v>65</v>
      </c>
      <c r="C267" s="3">
        <v>2050</v>
      </c>
      <c r="D267" s="61">
        <f>INDEX(Input!$I$221:$AI$235,MATCH(A267&amp;B267,Input!$H$221:$H$239,0),MATCH(C267,Input!$I$220:$AI$220,0))</f>
        <v>0.12</v>
      </c>
      <c r="E267" s="62">
        <f>IFERROR(VLOOKUP(A267,Input!$D$241:$I$245,6,FALSE),"")</f>
        <v>5.4000000000000001E-4</v>
      </c>
      <c r="F267" s="62">
        <f>IFERROR(VLOOKUP(A267,Input!$D$249:$I$253,6,FALSE),"")</f>
        <v>4.1269841269841276E-2</v>
      </c>
      <c r="G267" s="62">
        <f t="shared" si="4"/>
        <v>0.16180984126984127</v>
      </c>
    </row>
    <row r="268" spans="1:7" x14ac:dyDescent="0.25">
      <c r="A268" s="3" t="s">
        <v>26</v>
      </c>
      <c r="B268" s="3" t="s">
        <v>8</v>
      </c>
      <c r="C268" s="3">
        <v>2024</v>
      </c>
      <c r="D268" s="61">
        <f>INDEX(Input!$I$221:$AI$235,MATCH(A268&amp;B268,Input!$H$221:$H$239,0),MATCH(C268,Input!$I$220:$AI$220,0))</f>
        <v>7.0000000000000007E-2</v>
      </c>
      <c r="E268" s="62">
        <f>IFERROR(VLOOKUP(A268,Input!$D$241:$I$245,6,FALSE),"")</f>
        <v>5.4000000000000001E-4</v>
      </c>
      <c r="F268" s="62">
        <f>IFERROR(VLOOKUP(A268,Input!$D$249:$I$253,6,FALSE),"")</f>
        <v>4.1269841269841276E-2</v>
      </c>
      <c r="G268" s="62">
        <f t="shared" si="4"/>
        <v>0.11180984126984128</v>
      </c>
    </row>
    <row r="269" spans="1:7" x14ac:dyDescent="0.25">
      <c r="A269" s="3" t="s">
        <v>26</v>
      </c>
      <c r="B269" s="3" t="s">
        <v>8</v>
      </c>
      <c r="C269" s="3">
        <v>2025</v>
      </c>
      <c r="D269" s="61">
        <f>INDEX(Input!$I$221:$AI$235,MATCH(A269&amp;B269,Input!$H$221:$H$239,0),MATCH(C269,Input!$I$220:$AI$220,0))</f>
        <v>7.3333333333333334E-2</v>
      </c>
      <c r="E269" s="62">
        <f>IFERROR(VLOOKUP(A269,Input!$D$241:$I$245,6,FALSE),"")</f>
        <v>5.4000000000000001E-4</v>
      </c>
      <c r="F269" s="62">
        <f>IFERROR(VLOOKUP(A269,Input!$D$249:$I$253,6,FALSE),"")</f>
        <v>4.1269841269841276E-2</v>
      </c>
      <c r="G269" s="62">
        <f t="shared" si="4"/>
        <v>0.11514317460317461</v>
      </c>
    </row>
    <row r="270" spans="1:7" x14ac:dyDescent="0.25">
      <c r="A270" s="3" t="s">
        <v>26</v>
      </c>
      <c r="B270" s="3" t="s">
        <v>8</v>
      </c>
      <c r="C270" s="3">
        <v>2026</v>
      </c>
      <c r="D270" s="61">
        <f>INDEX(Input!$I$221:$AI$235,MATCH(A270&amp;B270,Input!$H$221:$H$239,0),MATCH(C270,Input!$I$220:$AI$220,0))</f>
        <v>7.6666666666666675E-2</v>
      </c>
      <c r="E270" s="62">
        <f>IFERROR(VLOOKUP(A270,Input!$D$241:$I$245,6,FALSE),"")</f>
        <v>5.4000000000000001E-4</v>
      </c>
      <c r="F270" s="62">
        <f>IFERROR(VLOOKUP(A270,Input!$D$249:$I$253,6,FALSE),"")</f>
        <v>4.1269841269841276E-2</v>
      </c>
      <c r="G270" s="62">
        <f t="shared" si="4"/>
        <v>0.11847650793650795</v>
      </c>
    </row>
    <row r="271" spans="1:7" x14ac:dyDescent="0.25">
      <c r="A271" s="3" t="s">
        <v>26</v>
      </c>
      <c r="B271" s="3" t="s">
        <v>8</v>
      </c>
      <c r="C271" s="3">
        <v>2027</v>
      </c>
      <c r="D271" s="61">
        <f>INDEX(Input!$I$221:$AI$235,MATCH(A271&amp;B271,Input!$H$221:$H$239,0),MATCH(C271,Input!$I$220:$AI$220,0))</f>
        <v>0.08</v>
      </c>
      <c r="E271" s="62">
        <f>IFERROR(VLOOKUP(A271,Input!$D$241:$I$245,6,FALSE),"")</f>
        <v>5.4000000000000001E-4</v>
      </c>
      <c r="F271" s="62">
        <f>IFERROR(VLOOKUP(A271,Input!$D$249:$I$253,6,FALSE),"")</f>
        <v>4.1269841269841276E-2</v>
      </c>
      <c r="G271" s="62">
        <f t="shared" si="4"/>
        <v>0.12180984126984128</v>
      </c>
    </row>
    <row r="272" spans="1:7" x14ac:dyDescent="0.25">
      <c r="A272" s="3" t="s">
        <v>26</v>
      </c>
      <c r="B272" s="3" t="s">
        <v>8</v>
      </c>
      <c r="C272" s="3">
        <v>2028</v>
      </c>
      <c r="D272" s="61">
        <f>INDEX(Input!$I$221:$AI$235,MATCH(A272&amp;B272,Input!$H$221:$H$239,0),MATCH(C272,Input!$I$220:$AI$220,0))</f>
        <v>8.3333333333333329E-2</v>
      </c>
      <c r="E272" s="62">
        <f>IFERROR(VLOOKUP(A272,Input!$D$241:$I$245,6,FALSE),"")</f>
        <v>5.4000000000000001E-4</v>
      </c>
      <c r="F272" s="62">
        <f>IFERROR(VLOOKUP(A272,Input!$D$249:$I$253,6,FALSE),"")</f>
        <v>4.1269841269841276E-2</v>
      </c>
      <c r="G272" s="62">
        <f t="shared" si="4"/>
        <v>0.12514317460317459</v>
      </c>
    </row>
    <row r="273" spans="1:7" x14ac:dyDescent="0.25">
      <c r="A273" s="3" t="s">
        <v>26</v>
      </c>
      <c r="B273" s="3" t="s">
        <v>8</v>
      </c>
      <c r="C273" s="3">
        <v>2029</v>
      </c>
      <c r="D273" s="61">
        <f>INDEX(Input!$I$221:$AI$235,MATCH(A273&amp;B273,Input!$H$221:$H$239,0),MATCH(C273,Input!$I$220:$AI$220,0))</f>
        <v>8.666666666666667E-2</v>
      </c>
      <c r="E273" s="62">
        <f>IFERROR(VLOOKUP(A273,Input!$D$241:$I$245,6,FALSE),"")</f>
        <v>5.4000000000000001E-4</v>
      </c>
      <c r="F273" s="62">
        <f>IFERROR(VLOOKUP(A273,Input!$D$249:$I$253,6,FALSE),"")</f>
        <v>4.1269841269841276E-2</v>
      </c>
      <c r="G273" s="62">
        <f t="shared" si="4"/>
        <v>0.12847650793650794</v>
      </c>
    </row>
    <row r="274" spans="1:7" x14ac:dyDescent="0.25">
      <c r="A274" s="3" t="s">
        <v>26</v>
      </c>
      <c r="B274" s="3" t="s">
        <v>8</v>
      </c>
      <c r="C274" s="3">
        <v>2030</v>
      </c>
      <c r="D274" s="61">
        <f>INDEX(Input!$I$221:$AI$235,MATCH(A274&amp;B274,Input!$H$221:$H$239,0),MATCH(C274,Input!$I$220:$AI$220,0))</f>
        <v>0.09</v>
      </c>
      <c r="E274" s="62">
        <f>IFERROR(VLOOKUP(A274,Input!$D$241:$I$245,6,FALSE),"")</f>
        <v>5.4000000000000001E-4</v>
      </c>
      <c r="F274" s="62">
        <f>IFERROR(VLOOKUP(A274,Input!$D$249:$I$253,6,FALSE),"")</f>
        <v>4.1269841269841276E-2</v>
      </c>
      <c r="G274" s="62">
        <f t="shared" si="4"/>
        <v>0.13180984126984127</v>
      </c>
    </row>
    <row r="275" spans="1:7" x14ac:dyDescent="0.25">
      <c r="A275" s="3" t="s">
        <v>26</v>
      </c>
      <c r="B275" s="3" t="s">
        <v>8</v>
      </c>
      <c r="C275" s="3">
        <v>2031</v>
      </c>
      <c r="D275" s="61">
        <f>INDEX(Input!$I$221:$AI$235,MATCH(A275&amp;B275,Input!$H$221:$H$239,0),MATCH(C275,Input!$I$220:$AI$220,0))</f>
        <v>0.09</v>
      </c>
      <c r="E275" s="62">
        <f>IFERROR(VLOOKUP(A275,Input!$D$241:$I$245,6,FALSE),"")</f>
        <v>5.4000000000000001E-4</v>
      </c>
      <c r="F275" s="62">
        <f>IFERROR(VLOOKUP(A275,Input!$D$249:$I$253,6,FALSE),"")</f>
        <v>4.1269841269841276E-2</v>
      </c>
      <c r="G275" s="62">
        <f t="shared" si="4"/>
        <v>0.13180984126984127</v>
      </c>
    </row>
    <row r="276" spans="1:7" x14ac:dyDescent="0.25">
      <c r="A276" s="3" t="s">
        <v>26</v>
      </c>
      <c r="B276" s="3" t="s">
        <v>8</v>
      </c>
      <c r="C276" s="3">
        <v>2032</v>
      </c>
      <c r="D276" s="61">
        <f>INDEX(Input!$I$221:$AI$235,MATCH(A276&amp;B276,Input!$H$221:$H$239,0),MATCH(C276,Input!$I$220:$AI$220,0))</f>
        <v>0.09</v>
      </c>
      <c r="E276" s="62">
        <f>IFERROR(VLOOKUP(A276,Input!$D$241:$I$245,6,FALSE),"")</f>
        <v>5.4000000000000001E-4</v>
      </c>
      <c r="F276" s="62">
        <f>IFERROR(VLOOKUP(A276,Input!$D$249:$I$253,6,FALSE),"")</f>
        <v>4.1269841269841276E-2</v>
      </c>
      <c r="G276" s="62">
        <f t="shared" si="4"/>
        <v>0.13180984126984127</v>
      </c>
    </row>
    <row r="277" spans="1:7" x14ac:dyDescent="0.25">
      <c r="A277" s="3" t="s">
        <v>26</v>
      </c>
      <c r="B277" s="3" t="s">
        <v>8</v>
      </c>
      <c r="C277" s="3">
        <v>2033</v>
      </c>
      <c r="D277" s="61">
        <f>INDEX(Input!$I$221:$AI$235,MATCH(A277&amp;B277,Input!$H$221:$H$239,0),MATCH(C277,Input!$I$220:$AI$220,0))</f>
        <v>0.09</v>
      </c>
      <c r="E277" s="62">
        <f>IFERROR(VLOOKUP(A277,Input!$D$241:$I$245,6,FALSE),"")</f>
        <v>5.4000000000000001E-4</v>
      </c>
      <c r="F277" s="62">
        <f>IFERROR(VLOOKUP(A277,Input!$D$249:$I$253,6,FALSE),"")</f>
        <v>4.1269841269841276E-2</v>
      </c>
      <c r="G277" s="62">
        <f t="shared" si="4"/>
        <v>0.13180984126984127</v>
      </c>
    </row>
    <row r="278" spans="1:7" x14ac:dyDescent="0.25">
      <c r="A278" s="3" t="s">
        <v>26</v>
      </c>
      <c r="B278" s="3" t="s">
        <v>8</v>
      </c>
      <c r="C278" s="3">
        <v>2034</v>
      </c>
      <c r="D278" s="61">
        <f>INDEX(Input!$I$221:$AI$235,MATCH(A278&amp;B278,Input!$H$221:$H$239,0),MATCH(C278,Input!$I$220:$AI$220,0))</f>
        <v>0.09</v>
      </c>
      <c r="E278" s="62">
        <f>IFERROR(VLOOKUP(A278,Input!$D$241:$I$245,6,FALSE),"")</f>
        <v>5.4000000000000001E-4</v>
      </c>
      <c r="F278" s="62">
        <f>IFERROR(VLOOKUP(A278,Input!$D$249:$I$253,6,FALSE),"")</f>
        <v>4.1269841269841276E-2</v>
      </c>
      <c r="G278" s="62">
        <f t="shared" si="4"/>
        <v>0.13180984126984127</v>
      </c>
    </row>
    <row r="279" spans="1:7" x14ac:dyDescent="0.25">
      <c r="A279" s="3" t="s">
        <v>26</v>
      </c>
      <c r="B279" s="3" t="s">
        <v>8</v>
      </c>
      <c r="C279" s="3">
        <v>2035</v>
      </c>
      <c r="D279" s="61">
        <f>INDEX(Input!$I$221:$AI$235,MATCH(A279&amp;B279,Input!$H$221:$H$239,0),MATCH(C279,Input!$I$220:$AI$220,0))</f>
        <v>0.09</v>
      </c>
      <c r="E279" s="62">
        <f>IFERROR(VLOOKUP(A279,Input!$D$241:$I$245,6,FALSE),"")</f>
        <v>5.4000000000000001E-4</v>
      </c>
      <c r="F279" s="62">
        <f>IFERROR(VLOOKUP(A279,Input!$D$249:$I$253,6,FALSE),"")</f>
        <v>4.1269841269841276E-2</v>
      </c>
      <c r="G279" s="62">
        <f t="shared" si="4"/>
        <v>0.13180984126984127</v>
      </c>
    </row>
    <row r="280" spans="1:7" x14ac:dyDescent="0.25">
      <c r="A280" s="3" t="s">
        <v>26</v>
      </c>
      <c r="B280" s="3" t="s">
        <v>8</v>
      </c>
      <c r="C280" s="3">
        <v>2036</v>
      </c>
      <c r="D280" s="61">
        <f>INDEX(Input!$I$221:$AI$235,MATCH(A280&amp;B280,Input!$H$221:$H$239,0),MATCH(C280,Input!$I$220:$AI$220,0))</f>
        <v>0.09</v>
      </c>
      <c r="E280" s="62">
        <f>IFERROR(VLOOKUP(A280,Input!$D$241:$I$245,6,FALSE),"")</f>
        <v>5.4000000000000001E-4</v>
      </c>
      <c r="F280" s="62">
        <f>IFERROR(VLOOKUP(A280,Input!$D$249:$I$253,6,FALSE),"")</f>
        <v>4.1269841269841276E-2</v>
      </c>
      <c r="G280" s="62">
        <f t="shared" si="4"/>
        <v>0.13180984126984127</v>
      </c>
    </row>
    <row r="281" spans="1:7" x14ac:dyDescent="0.25">
      <c r="A281" s="3" t="s">
        <v>26</v>
      </c>
      <c r="B281" s="3" t="s">
        <v>8</v>
      </c>
      <c r="C281" s="3">
        <v>2037</v>
      </c>
      <c r="D281" s="61">
        <f>INDEX(Input!$I$221:$AI$235,MATCH(A281&amp;B281,Input!$H$221:$H$239,0),MATCH(C281,Input!$I$220:$AI$220,0))</f>
        <v>0.09</v>
      </c>
      <c r="E281" s="62">
        <f>IFERROR(VLOOKUP(A281,Input!$D$241:$I$245,6,FALSE),"")</f>
        <v>5.4000000000000001E-4</v>
      </c>
      <c r="F281" s="62">
        <f>IFERROR(VLOOKUP(A281,Input!$D$249:$I$253,6,FALSE),"")</f>
        <v>4.1269841269841276E-2</v>
      </c>
      <c r="G281" s="62">
        <f t="shared" si="4"/>
        <v>0.13180984126984127</v>
      </c>
    </row>
    <row r="282" spans="1:7" x14ac:dyDescent="0.25">
      <c r="A282" s="3" t="s">
        <v>26</v>
      </c>
      <c r="B282" s="3" t="s">
        <v>8</v>
      </c>
      <c r="C282" s="3">
        <v>2038</v>
      </c>
      <c r="D282" s="61">
        <f>INDEX(Input!$I$221:$AI$235,MATCH(A282&amp;B282,Input!$H$221:$H$239,0),MATCH(C282,Input!$I$220:$AI$220,0))</f>
        <v>0.09</v>
      </c>
      <c r="E282" s="62">
        <f>IFERROR(VLOOKUP(A282,Input!$D$241:$I$245,6,FALSE),"")</f>
        <v>5.4000000000000001E-4</v>
      </c>
      <c r="F282" s="62">
        <f>IFERROR(VLOOKUP(A282,Input!$D$249:$I$253,6,FALSE),"")</f>
        <v>4.1269841269841276E-2</v>
      </c>
      <c r="G282" s="62">
        <f t="shared" si="4"/>
        <v>0.13180984126984127</v>
      </c>
    </row>
    <row r="283" spans="1:7" x14ac:dyDescent="0.25">
      <c r="A283" s="3" t="s">
        <v>26</v>
      </c>
      <c r="B283" s="3" t="s">
        <v>8</v>
      </c>
      <c r="C283" s="3">
        <v>2039</v>
      </c>
      <c r="D283" s="61">
        <f>INDEX(Input!$I$221:$AI$235,MATCH(A283&amp;B283,Input!$H$221:$H$239,0),MATCH(C283,Input!$I$220:$AI$220,0))</f>
        <v>0.09</v>
      </c>
      <c r="E283" s="62">
        <f>IFERROR(VLOOKUP(A283,Input!$D$241:$I$245,6,FALSE),"")</f>
        <v>5.4000000000000001E-4</v>
      </c>
      <c r="F283" s="62">
        <f>IFERROR(VLOOKUP(A283,Input!$D$249:$I$253,6,FALSE),"")</f>
        <v>4.1269841269841276E-2</v>
      </c>
      <c r="G283" s="62">
        <f t="shared" si="4"/>
        <v>0.13180984126984127</v>
      </c>
    </row>
    <row r="284" spans="1:7" x14ac:dyDescent="0.25">
      <c r="A284" s="3" t="s">
        <v>26</v>
      </c>
      <c r="B284" s="3" t="s">
        <v>8</v>
      </c>
      <c r="C284" s="3">
        <v>2040</v>
      </c>
      <c r="D284" s="61">
        <f>INDEX(Input!$I$221:$AI$235,MATCH(A284&amp;B284,Input!$H$221:$H$239,0),MATCH(C284,Input!$I$220:$AI$220,0))</f>
        <v>0.09</v>
      </c>
      <c r="E284" s="62">
        <f>IFERROR(VLOOKUP(A284,Input!$D$241:$I$245,6,FALSE),"")</f>
        <v>5.4000000000000001E-4</v>
      </c>
      <c r="F284" s="62">
        <f>IFERROR(VLOOKUP(A284,Input!$D$249:$I$253,6,FALSE),"")</f>
        <v>4.1269841269841276E-2</v>
      </c>
      <c r="G284" s="62">
        <f t="shared" si="4"/>
        <v>0.13180984126984127</v>
      </c>
    </row>
    <row r="285" spans="1:7" x14ac:dyDescent="0.25">
      <c r="A285" s="3" t="s">
        <v>26</v>
      </c>
      <c r="B285" s="3" t="s">
        <v>8</v>
      </c>
      <c r="C285" s="3">
        <v>2041</v>
      </c>
      <c r="D285" s="61">
        <f>INDEX(Input!$I$221:$AI$235,MATCH(A285&amp;B285,Input!$H$221:$H$239,0),MATCH(C285,Input!$I$220:$AI$220,0))</f>
        <v>0.09</v>
      </c>
      <c r="E285" s="62">
        <f>IFERROR(VLOOKUP(A285,Input!$D$241:$I$245,6,FALSE),"")</f>
        <v>5.4000000000000001E-4</v>
      </c>
      <c r="F285" s="62">
        <f>IFERROR(VLOOKUP(A285,Input!$D$249:$I$253,6,FALSE),"")</f>
        <v>4.1269841269841276E-2</v>
      </c>
      <c r="G285" s="62">
        <f t="shared" si="4"/>
        <v>0.13180984126984127</v>
      </c>
    </row>
    <row r="286" spans="1:7" x14ac:dyDescent="0.25">
      <c r="A286" s="3" t="s">
        <v>26</v>
      </c>
      <c r="B286" s="3" t="s">
        <v>8</v>
      </c>
      <c r="C286" s="3">
        <v>2042</v>
      </c>
      <c r="D286" s="61">
        <f>INDEX(Input!$I$221:$AI$235,MATCH(A286&amp;B286,Input!$H$221:$H$239,0),MATCH(C286,Input!$I$220:$AI$220,0))</f>
        <v>0.09</v>
      </c>
      <c r="E286" s="62">
        <f>IFERROR(VLOOKUP(A286,Input!$D$241:$I$245,6,FALSE),"")</f>
        <v>5.4000000000000001E-4</v>
      </c>
      <c r="F286" s="62">
        <f>IFERROR(VLOOKUP(A286,Input!$D$249:$I$253,6,FALSE),"")</f>
        <v>4.1269841269841276E-2</v>
      </c>
      <c r="G286" s="62">
        <f t="shared" si="4"/>
        <v>0.13180984126984127</v>
      </c>
    </row>
    <row r="287" spans="1:7" x14ac:dyDescent="0.25">
      <c r="A287" s="3" t="s">
        <v>26</v>
      </c>
      <c r="B287" s="3" t="s">
        <v>8</v>
      </c>
      <c r="C287" s="3">
        <v>2043</v>
      </c>
      <c r="D287" s="61">
        <f>INDEX(Input!$I$221:$AI$235,MATCH(A287&amp;B287,Input!$H$221:$H$239,0),MATCH(C287,Input!$I$220:$AI$220,0))</f>
        <v>0.09</v>
      </c>
      <c r="E287" s="62">
        <f>IFERROR(VLOOKUP(A287,Input!$D$241:$I$245,6,FALSE),"")</f>
        <v>5.4000000000000001E-4</v>
      </c>
      <c r="F287" s="62">
        <f>IFERROR(VLOOKUP(A287,Input!$D$249:$I$253,6,FALSE),"")</f>
        <v>4.1269841269841276E-2</v>
      </c>
      <c r="G287" s="62">
        <f t="shared" si="4"/>
        <v>0.13180984126984127</v>
      </c>
    </row>
    <row r="288" spans="1:7" x14ac:dyDescent="0.25">
      <c r="A288" s="3" t="s">
        <v>26</v>
      </c>
      <c r="B288" s="3" t="s">
        <v>8</v>
      </c>
      <c r="C288" s="3">
        <v>2044</v>
      </c>
      <c r="D288" s="61">
        <f>INDEX(Input!$I$221:$AI$235,MATCH(A288&amp;B288,Input!$H$221:$H$239,0),MATCH(C288,Input!$I$220:$AI$220,0))</f>
        <v>0.09</v>
      </c>
      <c r="E288" s="62">
        <f>IFERROR(VLOOKUP(A288,Input!$D$241:$I$245,6,FALSE),"")</f>
        <v>5.4000000000000001E-4</v>
      </c>
      <c r="F288" s="62">
        <f>IFERROR(VLOOKUP(A288,Input!$D$249:$I$253,6,FALSE),"")</f>
        <v>4.1269841269841276E-2</v>
      </c>
      <c r="G288" s="62">
        <f t="shared" si="4"/>
        <v>0.13180984126984127</v>
      </c>
    </row>
    <row r="289" spans="1:7" x14ac:dyDescent="0.25">
      <c r="A289" s="3" t="s">
        <v>26</v>
      </c>
      <c r="B289" s="3" t="s">
        <v>8</v>
      </c>
      <c r="C289" s="3">
        <v>2045</v>
      </c>
      <c r="D289" s="61">
        <f>INDEX(Input!$I$221:$AI$235,MATCH(A289&amp;B289,Input!$H$221:$H$239,0),MATCH(C289,Input!$I$220:$AI$220,0))</f>
        <v>0.09</v>
      </c>
      <c r="E289" s="62">
        <f>IFERROR(VLOOKUP(A289,Input!$D$241:$I$245,6,FALSE),"")</f>
        <v>5.4000000000000001E-4</v>
      </c>
      <c r="F289" s="62">
        <f>IFERROR(VLOOKUP(A289,Input!$D$249:$I$253,6,FALSE),"")</f>
        <v>4.1269841269841276E-2</v>
      </c>
      <c r="G289" s="62">
        <f t="shared" si="4"/>
        <v>0.13180984126984127</v>
      </c>
    </row>
    <row r="290" spans="1:7" x14ac:dyDescent="0.25">
      <c r="A290" s="3" t="s">
        <v>26</v>
      </c>
      <c r="B290" s="3" t="s">
        <v>8</v>
      </c>
      <c r="C290" s="3">
        <v>2046</v>
      </c>
      <c r="D290" s="61">
        <f>INDEX(Input!$I$221:$AI$235,MATCH(A290&amp;B290,Input!$H$221:$H$239,0),MATCH(C290,Input!$I$220:$AI$220,0))</f>
        <v>0.09</v>
      </c>
      <c r="E290" s="62">
        <f>IFERROR(VLOOKUP(A290,Input!$D$241:$I$245,6,FALSE),"")</f>
        <v>5.4000000000000001E-4</v>
      </c>
      <c r="F290" s="62">
        <f>IFERROR(VLOOKUP(A290,Input!$D$249:$I$253,6,FALSE),"")</f>
        <v>4.1269841269841276E-2</v>
      </c>
      <c r="G290" s="62">
        <f t="shared" si="4"/>
        <v>0.13180984126984127</v>
      </c>
    </row>
    <row r="291" spans="1:7" x14ac:dyDescent="0.25">
      <c r="A291" s="3" t="s">
        <v>26</v>
      </c>
      <c r="B291" s="3" t="s">
        <v>8</v>
      </c>
      <c r="C291" s="3">
        <v>2047</v>
      </c>
      <c r="D291" s="61">
        <f>INDEX(Input!$I$221:$AI$235,MATCH(A291&amp;B291,Input!$H$221:$H$239,0),MATCH(C291,Input!$I$220:$AI$220,0))</f>
        <v>0.09</v>
      </c>
      <c r="E291" s="62">
        <f>IFERROR(VLOOKUP(A291,Input!$D$241:$I$245,6,FALSE),"")</f>
        <v>5.4000000000000001E-4</v>
      </c>
      <c r="F291" s="62">
        <f>IFERROR(VLOOKUP(A291,Input!$D$249:$I$253,6,FALSE),"")</f>
        <v>4.1269841269841276E-2</v>
      </c>
      <c r="G291" s="62">
        <f t="shared" si="4"/>
        <v>0.13180984126984127</v>
      </c>
    </row>
    <row r="292" spans="1:7" x14ac:dyDescent="0.25">
      <c r="A292" s="3" t="s">
        <v>26</v>
      </c>
      <c r="B292" s="3" t="s">
        <v>8</v>
      </c>
      <c r="C292" s="3">
        <v>2048</v>
      </c>
      <c r="D292" s="61">
        <f>INDEX(Input!$I$221:$AI$235,MATCH(A292&amp;B292,Input!$H$221:$H$239,0),MATCH(C292,Input!$I$220:$AI$220,0))</f>
        <v>0.09</v>
      </c>
      <c r="E292" s="62">
        <f>IFERROR(VLOOKUP(A292,Input!$D$241:$I$245,6,FALSE),"")</f>
        <v>5.4000000000000001E-4</v>
      </c>
      <c r="F292" s="62">
        <f>IFERROR(VLOOKUP(A292,Input!$D$249:$I$253,6,FALSE),"")</f>
        <v>4.1269841269841276E-2</v>
      </c>
      <c r="G292" s="62">
        <f t="shared" si="4"/>
        <v>0.13180984126984127</v>
      </c>
    </row>
    <row r="293" spans="1:7" x14ac:dyDescent="0.25">
      <c r="A293" s="3" t="s">
        <v>26</v>
      </c>
      <c r="B293" s="3" t="s">
        <v>8</v>
      </c>
      <c r="C293" s="3">
        <v>2049</v>
      </c>
      <c r="D293" s="61">
        <f>INDEX(Input!$I$221:$AI$235,MATCH(A293&amp;B293,Input!$H$221:$H$239,0),MATCH(C293,Input!$I$220:$AI$220,0))</f>
        <v>0.09</v>
      </c>
      <c r="E293" s="62">
        <f>IFERROR(VLOOKUP(A293,Input!$D$241:$I$245,6,FALSE),"")</f>
        <v>5.4000000000000001E-4</v>
      </c>
      <c r="F293" s="62">
        <f>IFERROR(VLOOKUP(A293,Input!$D$249:$I$253,6,FALSE),"")</f>
        <v>4.1269841269841276E-2</v>
      </c>
      <c r="G293" s="62">
        <f t="shared" si="4"/>
        <v>0.13180984126984127</v>
      </c>
    </row>
    <row r="294" spans="1:7" x14ac:dyDescent="0.25">
      <c r="A294" s="3" t="s">
        <v>26</v>
      </c>
      <c r="B294" s="3" t="s">
        <v>8</v>
      </c>
      <c r="C294" s="3">
        <v>2050</v>
      </c>
      <c r="D294" s="61">
        <f>INDEX(Input!$I$221:$AI$235,MATCH(A294&amp;B294,Input!$H$221:$H$239,0),MATCH(C294,Input!$I$220:$AI$220,0))</f>
        <v>0.09</v>
      </c>
      <c r="E294" s="62">
        <f>IFERROR(VLOOKUP(A294,Input!$D$241:$I$245,6,FALSE),"")</f>
        <v>5.4000000000000001E-4</v>
      </c>
      <c r="F294" s="62">
        <f>IFERROR(VLOOKUP(A294,Input!$D$249:$I$253,6,FALSE),"")</f>
        <v>4.1269841269841276E-2</v>
      </c>
      <c r="G294" s="62">
        <f t="shared" si="4"/>
        <v>0.13180984126984127</v>
      </c>
    </row>
    <row r="295" spans="1:7" x14ac:dyDescent="0.25">
      <c r="A295" s="3" t="s">
        <v>26</v>
      </c>
      <c r="B295" s="3" t="s">
        <v>66</v>
      </c>
      <c r="C295" s="3">
        <v>2024</v>
      </c>
      <c r="D295" s="61">
        <f>INDEX(Input!$I$221:$AI$235,MATCH(A295&amp;B295,Input!$H$221:$H$239,0),MATCH(C295,Input!$I$220:$AI$220,0))</f>
        <v>7.0000000000000007E-2</v>
      </c>
      <c r="E295" s="62">
        <f>IFERROR(VLOOKUP(A295,Input!$D$241:$I$245,6,FALSE),"")</f>
        <v>5.4000000000000001E-4</v>
      </c>
      <c r="F295" s="62">
        <f>IFERROR(VLOOKUP(A295,Input!$D$249:$I$253,6,FALSE),"")</f>
        <v>4.1269841269841276E-2</v>
      </c>
      <c r="G295" s="62">
        <f t="shared" si="4"/>
        <v>0.11180984126984128</v>
      </c>
    </row>
    <row r="296" spans="1:7" x14ac:dyDescent="0.25">
      <c r="A296" s="3" t="s">
        <v>26</v>
      </c>
      <c r="B296" s="3" t="s">
        <v>66</v>
      </c>
      <c r="C296" s="3">
        <v>2025</v>
      </c>
      <c r="D296" s="61">
        <f>INDEX(Input!$I$221:$AI$235,MATCH(A296&amp;B296,Input!$H$221:$H$239,0),MATCH(C296,Input!$I$220:$AI$220,0))</f>
        <v>6.5000000000000002E-2</v>
      </c>
      <c r="E296" s="62">
        <f>IFERROR(VLOOKUP(A296,Input!$D$241:$I$245,6,FALSE),"")</f>
        <v>5.4000000000000001E-4</v>
      </c>
      <c r="F296" s="62">
        <f>IFERROR(VLOOKUP(A296,Input!$D$249:$I$253,6,FALSE),"")</f>
        <v>4.1269841269841276E-2</v>
      </c>
      <c r="G296" s="62">
        <f t="shared" si="4"/>
        <v>0.10680984126984128</v>
      </c>
    </row>
    <row r="297" spans="1:7" x14ac:dyDescent="0.25">
      <c r="A297" s="3" t="s">
        <v>26</v>
      </c>
      <c r="B297" s="3" t="s">
        <v>66</v>
      </c>
      <c r="C297" s="3">
        <v>2026</v>
      </c>
      <c r="D297" s="61">
        <f>INDEX(Input!$I$221:$AI$235,MATCH(A297&amp;B297,Input!$H$221:$H$239,0),MATCH(C297,Input!$I$220:$AI$220,0))</f>
        <v>0.06</v>
      </c>
      <c r="E297" s="62">
        <f>IFERROR(VLOOKUP(A297,Input!$D$241:$I$245,6,FALSE),"")</f>
        <v>5.4000000000000001E-4</v>
      </c>
      <c r="F297" s="62">
        <f>IFERROR(VLOOKUP(A297,Input!$D$249:$I$253,6,FALSE),"")</f>
        <v>4.1269841269841276E-2</v>
      </c>
      <c r="G297" s="62">
        <f t="shared" si="4"/>
        <v>0.10180984126984127</v>
      </c>
    </row>
    <row r="298" spans="1:7" x14ac:dyDescent="0.25">
      <c r="A298" s="3" t="s">
        <v>26</v>
      </c>
      <c r="B298" s="3" t="s">
        <v>66</v>
      </c>
      <c r="C298" s="3">
        <v>2027</v>
      </c>
      <c r="D298" s="61">
        <f>INDEX(Input!$I$221:$AI$235,MATCH(A298&amp;B298,Input!$H$221:$H$239,0),MATCH(C298,Input!$I$220:$AI$220,0))</f>
        <v>5.5E-2</v>
      </c>
      <c r="E298" s="62">
        <f>IFERROR(VLOOKUP(A298,Input!$D$241:$I$245,6,FALSE),"")</f>
        <v>5.4000000000000001E-4</v>
      </c>
      <c r="F298" s="62">
        <f>IFERROR(VLOOKUP(A298,Input!$D$249:$I$253,6,FALSE),"")</f>
        <v>4.1269841269841276E-2</v>
      </c>
      <c r="G298" s="62">
        <f t="shared" si="4"/>
        <v>9.6809841269841268E-2</v>
      </c>
    </row>
    <row r="299" spans="1:7" x14ac:dyDescent="0.25">
      <c r="A299" s="3" t="s">
        <v>26</v>
      </c>
      <c r="B299" s="3" t="s">
        <v>66</v>
      </c>
      <c r="C299" s="3">
        <v>2028</v>
      </c>
      <c r="D299" s="61">
        <f>INDEX(Input!$I$221:$AI$235,MATCH(A299&amp;B299,Input!$H$221:$H$239,0),MATCH(C299,Input!$I$220:$AI$220,0))</f>
        <v>0.05</v>
      </c>
      <c r="E299" s="62">
        <f>IFERROR(VLOOKUP(A299,Input!$D$241:$I$245,6,FALSE),"")</f>
        <v>5.4000000000000001E-4</v>
      </c>
      <c r="F299" s="62">
        <f>IFERROR(VLOOKUP(A299,Input!$D$249:$I$253,6,FALSE),"")</f>
        <v>4.1269841269841276E-2</v>
      </c>
      <c r="G299" s="62">
        <f t="shared" si="4"/>
        <v>9.1809841269841277E-2</v>
      </c>
    </row>
    <row r="300" spans="1:7" x14ac:dyDescent="0.25">
      <c r="A300" s="3" t="s">
        <v>26</v>
      </c>
      <c r="B300" s="3" t="s">
        <v>66</v>
      </c>
      <c r="C300" s="3">
        <v>2029</v>
      </c>
      <c r="D300" s="61">
        <f>INDEX(Input!$I$221:$AI$235,MATCH(A300&amp;B300,Input!$H$221:$H$239,0),MATCH(C300,Input!$I$220:$AI$220,0))</f>
        <v>4.4999999999999998E-2</v>
      </c>
      <c r="E300" s="62">
        <f>IFERROR(VLOOKUP(A300,Input!$D$241:$I$245,6,FALSE),"")</f>
        <v>5.4000000000000001E-4</v>
      </c>
      <c r="F300" s="62">
        <f>IFERROR(VLOOKUP(A300,Input!$D$249:$I$253,6,FALSE),"")</f>
        <v>4.1269841269841276E-2</v>
      </c>
      <c r="G300" s="62">
        <f t="shared" si="4"/>
        <v>8.6809841269841273E-2</v>
      </c>
    </row>
    <row r="301" spans="1:7" x14ac:dyDescent="0.25">
      <c r="A301" s="3" t="s">
        <v>26</v>
      </c>
      <c r="B301" s="3" t="s">
        <v>66</v>
      </c>
      <c r="C301" s="3">
        <v>2030</v>
      </c>
      <c r="D301" s="61">
        <f>INDEX(Input!$I$221:$AI$235,MATCH(A301&amp;B301,Input!$H$221:$H$239,0),MATCH(C301,Input!$I$220:$AI$220,0))</f>
        <v>0.04</v>
      </c>
      <c r="E301" s="62">
        <f>IFERROR(VLOOKUP(A301,Input!$D$241:$I$245,6,FALSE),"")</f>
        <v>5.4000000000000001E-4</v>
      </c>
      <c r="F301" s="62">
        <f>IFERROR(VLOOKUP(A301,Input!$D$249:$I$253,6,FALSE),"")</f>
        <v>4.1269841269841276E-2</v>
      </c>
      <c r="G301" s="62">
        <f t="shared" si="4"/>
        <v>8.1809841269841282E-2</v>
      </c>
    </row>
    <row r="302" spans="1:7" x14ac:dyDescent="0.25">
      <c r="A302" s="3" t="s">
        <v>26</v>
      </c>
      <c r="B302" s="3" t="s">
        <v>66</v>
      </c>
      <c r="C302" s="3">
        <v>2031</v>
      </c>
      <c r="D302" s="61">
        <f>INDEX(Input!$I$221:$AI$235,MATCH(A302&amp;B302,Input!$H$221:$H$239,0),MATCH(C302,Input!$I$220:$AI$220,0))</f>
        <v>0.04</v>
      </c>
      <c r="E302" s="62">
        <f>IFERROR(VLOOKUP(A302,Input!$D$241:$I$245,6,FALSE),"")</f>
        <v>5.4000000000000001E-4</v>
      </c>
      <c r="F302" s="62">
        <f>IFERROR(VLOOKUP(A302,Input!$D$249:$I$253,6,FALSE),"")</f>
        <v>4.1269841269841276E-2</v>
      </c>
      <c r="G302" s="62">
        <f t="shared" si="4"/>
        <v>8.1809841269841282E-2</v>
      </c>
    </row>
    <row r="303" spans="1:7" x14ac:dyDescent="0.25">
      <c r="A303" s="3" t="s">
        <v>26</v>
      </c>
      <c r="B303" s="3" t="s">
        <v>66</v>
      </c>
      <c r="C303" s="3">
        <v>2032</v>
      </c>
      <c r="D303" s="61">
        <f>INDEX(Input!$I$221:$AI$235,MATCH(A303&amp;B303,Input!$H$221:$H$239,0),MATCH(C303,Input!$I$220:$AI$220,0))</f>
        <v>0.04</v>
      </c>
      <c r="E303" s="62">
        <f>IFERROR(VLOOKUP(A303,Input!$D$241:$I$245,6,FALSE),"")</f>
        <v>5.4000000000000001E-4</v>
      </c>
      <c r="F303" s="62">
        <f>IFERROR(VLOOKUP(A303,Input!$D$249:$I$253,6,FALSE),"")</f>
        <v>4.1269841269841276E-2</v>
      </c>
      <c r="G303" s="62">
        <f t="shared" si="4"/>
        <v>8.1809841269841282E-2</v>
      </c>
    </row>
    <row r="304" spans="1:7" x14ac:dyDescent="0.25">
      <c r="A304" s="3" t="s">
        <v>26</v>
      </c>
      <c r="B304" s="3" t="s">
        <v>66</v>
      </c>
      <c r="C304" s="3">
        <v>2033</v>
      </c>
      <c r="D304" s="61">
        <f>INDEX(Input!$I$221:$AI$235,MATCH(A304&amp;B304,Input!$H$221:$H$239,0),MATCH(C304,Input!$I$220:$AI$220,0))</f>
        <v>0.04</v>
      </c>
      <c r="E304" s="62">
        <f>IFERROR(VLOOKUP(A304,Input!$D$241:$I$245,6,FALSE),"")</f>
        <v>5.4000000000000001E-4</v>
      </c>
      <c r="F304" s="62">
        <f>IFERROR(VLOOKUP(A304,Input!$D$249:$I$253,6,FALSE),"")</f>
        <v>4.1269841269841276E-2</v>
      </c>
      <c r="G304" s="62">
        <f t="shared" si="4"/>
        <v>8.1809841269841282E-2</v>
      </c>
    </row>
    <row r="305" spans="1:7" x14ac:dyDescent="0.25">
      <c r="A305" s="3" t="s">
        <v>26</v>
      </c>
      <c r="B305" s="3" t="s">
        <v>66</v>
      </c>
      <c r="C305" s="3">
        <v>2034</v>
      </c>
      <c r="D305" s="61">
        <f>INDEX(Input!$I$221:$AI$235,MATCH(A305&amp;B305,Input!$H$221:$H$239,0),MATCH(C305,Input!$I$220:$AI$220,0))</f>
        <v>0.04</v>
      </c>
      <c r="E305" s="62">
        <f>IFERROR(VLOOKUP(A305,Input!$D$241:$I$245,6,FALSE),"")</f>
        <v>5.4000000000000001E-4</v>
      </c>
      <c r="F305" s="62">
        <f>IFERROR(VLOOKUP(A305,Input!$D$249:$I$253,6,FALSE),"")</f>
        <v>4.1269841269841276E-2</v>
      </c>
      <c r="G305" s="62">
        <f t="shared" si="4"/>
        <v>8.1809841269841282E-2</v>
      </c>
    </row>
    <row r="306" spans="1:7" x14ac:dyDescent="0.25">
      <c r="A306" s="3" t="s">
        <v>26</v>
      </c>
      <c r="B306" s="3" t="s">
        <v>66</v>
      </c>
      <c r="C306" s="3">
        <v>2035</v>
      </c>
      <c r="D306" s="61">
        <f>INDEX(Input!$I$221:$AI$235,MATCH(A306&amp;B306,Input!$H$221:$H$239,0),MATCH(C306,Input!$I$220:$AI$220,0))</f>
        <v>0.04</v>
      </c>
      <c r="E306" s="62">
        <f>IFERROR(VLOOKUP(A306,Input!$D$241:$I$245,6,FALSE),"")</f>
        <v>5.4000000000000001E-4</v>
      </c>
      <c r="F306" s="62">
        <f>IFERROR(VLOOKUP(A306,Input!$D$249:$I$253,6,FALSE),"")</f>
        <v>4.1269841269841276E-2</v>
      </c>
      <c r="G306" s="62">
        <f t="shared" si="4"/>
        <v>8.1809841269841282E-2</v>
      </c>
    </row>
    <row r="307" spans="1:7" x14ac:dyDescent="0.25">
      <c r="A307" s="3" t="s">
        <v>26</v>
      </c>
      <c r="B307" s="3" t="s">
        <v>66</v>
      </c>
      <c r="C307" s="3">
        <v>2036</v>
      </c>
      <c r="D307" s="61">
        <f>INDEX(Input!$I$221:$AI$235,MATCH(A307&amp;B307,Input!$H$221:$H$239,0),MATCH(C307,Input!$I$220:$AI$220,0))</f>
        <v>0.04</v>
      </c>
      <c r="E307" s="62">
        <f>IFERROR(VLOOKUP(A307,Input!$D$241:$I$245,6,FALSE),"")</f>
        <v>5.4000000000000001E-4</v>
      </c>
      <c r="F307" s="62">
        <f>IFERROR(VLOOKUP(A307,Input!$D$249:$I$253,6,FALSE),"")</f>
        <v>4.1269841269841276E-2</v>
      </c>
      <c r="G307" s="62">
        <f t="shared" si="4"/>
        <v>8.1809841269841282E-2</v>
      </c>
    </row>
    <row r="308" spans="1:7" x14ac:dyDescent="0.25">
      <c r="A308" s="3" t="s">
        <v>26</v>
      </c>
      <c r="B308" s="3" t="s">
        <v>66</v>
      </c>
      <c r="C308" s="3">
        <v>2037</v>
      </c>
      <c r="D308" s="61">
        <f>INDEX(Input!$I$221:$AI$235,MATCH(A308&amp;B308,Input!$H$221:$H$239,0),MATCH(C308,Input!$I$220:$AI$220,0))</f>
        <v>0.04</v>
      </c>
      <c r="E308" s="62">
        <f>IFERROR(VLOOKUP(A308,Input!$D$241:$I$245,6,FALSE),"")</f>
        <v>5.4000000000000001E-4</v>
      </c>
      <c r="F308" s="62">
        <f>IFERROR(VLOOKUP(A308,Input!$D$249:$I$253,6,FALSE),"")</f>
        <v>4.1269841269841276E-2</v>
      </c>
      <c r="G308" s="62">
        <f t="shared" si="4"/>
        <v>8.1809841269841282E-2</v>
      </c>
    </row>
    <row r="309" spans="1:7" x14ac:dyDescent="0.25">
      <c r="A309" s="3" t="s">
        <v>26</v>
      </c>
      <c r="B309" s="3" t="s">
        <v>66</v>
      </c>
      <c r="C309" s="3">
        <v>2038</v>
      </c>
      <c r="D309" s="61">
        <f>INDEX(Input!$I$221:$AI$235,MATCH(A309&amp;B309,Input!$H$221:$H$239,0),MATCH(C309,Input!$I$220:$AI$220,0))</f>
        <v>0.04</v>
      </c>
      <c r="E309" s="62">
        <f>IFERROR(VLOOKUP(A309,Input!$D$241:$I$245,6,FALSE),"")</f>
        <v>5.4000000000000001E-4</v>
      </c>
      <c r="F309" s="62">
        <f>IFERROR(VLOOKUP(A309,Input!$D$249:$I$253,6,FALSE),"")</f>
        <v>4.1269841269841276E-2</v>
      </c>
      <c r="G309" s="62">
        <f t="shared" si="4"/>
        <v>8.1809841269841282E-2</v>
      </c>
    </row>
    <row r="310" spans="1:7" x14ac:dyDescent="0.25">
      <c r="A310" s="3" t="s">
        <v>26</v>
      </c>
      <c r="B310" s="3" t="s">
        <v>66</v>
      </c>
      <c r="C310" s="3">
        <v>2039</v>
      </c>
      <c r="D310" s="61">
        <f>INDEX(Input!$I$221:$AI$235,MATCH(A310&amp;B310,Input!$H$221:$H$239,0),MATCH(C310,Input!$I$220:$AI$220,0))</f>
        <v>0.04</v>
      </c>
      <c r="E310" s="62">
        <f>IFERROR(VLOOKUP(A310,Input!$D$241:$I$245,6,FALSE),"")</f>
        <v>5.4000000000000001E-4</v>
      </c>
      <c r="F310" s="62">
        <f>IFERROR(VLOOKUP(A310,Input!$D$249:$I$253,6,FALSE),"")</f>
        <v>4.1269841269841276E-2</v>
      </c>
      <c r="G310" s="62">
        <f t="shared" si="4"/>
        <v>8.1809841269841282E-2</v>
      </c>
    </row>
    <row r="311" spans="1:7" x14ac:dyDescent="0.25">
      <c r="A311" s="3" t="s">
        <v>26</v>
      </c>
      <c r="B311" s="3" t="s">
        <v>66</v>
      </c>
      <c r="C311" s="3">
        <v>2040</v>
      </c>
      <c r="D311" s="61">
        <f>INDEX(Input!$I$221:$AI$235,MATCH(A311&amp;B311,Input!$H$221:$H$239,0),MATCH(C311,Input!$I$220:$AI$220,0))</f>
        <v>0.04</v>
      </c>
      <c r="E311" s="62">
        <f>IFERROR(VLOOKUP(A311,Input!$D$241:$I$245,6,FALSE),"")</f>
        <v>5.4000000000000001E-4</v>
      </c>
      <c r="F311" s="62">
        <f>IFERROR(VLOOKUP(A311,Input!$D$249:$I$253,6,FALSE),"")</f>
        <v>4.1269841269841276E-2</v>
      </c>
      <c r="G311" s="62">
        <f t="shared" si="4"/>
        <v>8.1809841269841282E-2</v>
      </c>
    </row>
    <row r="312" spans="1:7" x14ac:dyDescent="0.25">
      <c r="A312" s="3" t="s">
        <v>26</v>
      </c>
      <c r="B312" s="3" t="s">
        <v>66</v>
      </c>
      <c r="C312" s="3">
        <v>2041</v>
      </c>
      <c r="D312" s="61">
        <f>INDEX(Input!$I$221:$AI$235,MATCH(A312&amp;B312,Input!$H$221:$H$239,0),MATCH(C312,Input!$I$220:$AI$220,0))</f>
        <v>0.04</v>
      </c>
      <c r="E312" s="62">
        <f>IFERROR(VLOOKUP(A312,Input!$D$241:$I$245,6,FALSE),"")</f>
        <v>5.4000000000000001E-4</v>
      </c>
      <c r="F312" s="62">
        <f>IFERROR(VLOOKUP(A312,Input!$D$249:$I$253,6,FALSE),"")</f>
        <v>4.1269841269841276E-2</v>
      </c>
      <c r="G312" s="62">
        <f t="shared" si="4"/>
        <v>8.1809841269841282E-2</v>
      </c>
    </row>
    <row r="313" spans="1:7" x14ac:dyDescent="0.25">
      <c r="A313" s="3" t="s">
        <v>26</v>
      </c>
      <c r="B313" s="3" t="s">
        <v>66</v>
      </c>
      <c r="C313" s="3">
        <v>2042</v>
      </c>
      <c r="D313" s="61">
        <f>INDEX(Input!$I$221:$AI$235,MATCH(A313&amp;B313,Input!$H$221:$H$239,0),MATCH(C313,Input!$I$220:$AI$220,0))</f>
        <v>0.04</v>
      </c>
      <c r="E313" s="62">
        <f>IFERROR(VLOOKUP(A313,Input!$D$241:$I$245,6,FALSE),"")</f>
        <v>5.4000000000000001E-4</v>
      </c>
      <c r="F313" s="62">
        <f>IFERROR(VLOOKUP(A313,Input!$D$249:$I$253,6,FALSE),"")</f>
        <v>4.1269841269841276E-2</v>
      </c>
      <c r="G313" s="62">
        <f t="shared" si="4"/>
        <v>8.1809841269841282E-2</v>
      </c>
    </row>
    <row r="314" spans="1:7" x14ac:dyDescent="0.25">
      <c r="A314" s="3" t="s">
        <v>26</v>
      </c>
      <c r="B314" s="3" t="s">
        <v>66</v>
      </c>
      <c r="C314" s="3">
        <v>2043</v>
      </c>
      <c r="D314" s="61">
        <f>INDEX(Input!$I$221:$AI$235,MATCH(A314&amp;B314,Input!$H$221:$H$239,0),MATCH(C314,Input!$I$220:$AI$220,0))</f>
        <v>0.04</v>
      </c>
      <c r="E314" s="62">
        <f>IFERROR(VLOOKUP(A314,Input!$D$241:$I$245,6,FALSE),"")</f>
        <v>5.4000000000000001E-4</v>
      </c>
      <c r="F314" s="62">
        <f>IFERROR(VLOOKUP(A314,Input!$D$249:$I$253,6,FALSE),"")</f>
        <v>4.1269841269841276E-2</v>
      </c>
      <c r="G314" s="62">
        <f t="shared" si="4"/>
        <v>8.1809841269841282E-2</v>
      </c>
    </row>
    <row r="315" spans="1:7" x14ac:dyDescent="0.25">
      <c r="A315" s="3" t="s">
        <v>26</v>
      </c>
      <c r="B315" s="3" t="s">
        <v>66</v>
      </c>
      <c r="C315" s="3">
        <v>2044</v>
      </c>
      <c r="D315" s="61">
        <f>INDEX(Input!$I$221:$AI$235,MATCH(A315&amp;B315,Input!$H$221:$H$239,0),MATCH(C315,Input!$I$220:$AI$220,0))</f>
        <v>0.04</v>
      </c>
      <c r="E315" s="62">
        <f>IFERROR(VLOOKUP(A315,Input!$D$241:$I$245,6,FALSE),"")</f>
        <v>5.4000000000000001E-4</v>
      </c>
      <c r="F315" s="62">
        <f>IFERROR(VLOOKUP(A315,Input!$D$249:$I$253,6,FALSE),"")</f>
        <v>4.1269841269841276E-2</v>
      </c>
      <c r="G315" s="62">
        <f t="shared" si="4"/>
        <v>8.1809841269841282E-2</v>
      </c>
    </row>
    <row r="316" spans="1:7" x14ac:dyDescent="0.25">
      <c r="A316" s="3" t="s">
        <v>26</v>
      </c>
      <c r="B316" s="3" t="s">
        <v>66</v>
      </c>
      <c r="C316" s="3">
        <v>2045</v>
      </c>
      <c r="D316" s="61">
        <f>INDEX(Input!$I$221:$AI$235,MATCH(A316&amp;B316,Input!$H$221:$H$239,0),MATCH(C316,Input!$I$220:$AI$220,0))</f>
        <v>0.04</v>
      </c>
      <c r="E316" s="62">
        <f>IFERROR(VLOOKUP(A316,Input!$D$241:$I$245,6,FALSE),"")</f>
        <v>5.4000000000000001E-4</v>
      </c>
      <c r="F316" s="62">
        <f>IFERROR(VLOOKUP(A316,Input!$D$249:$I$253,6,FALSE),"")</f>
        <v>4.1269841269841276E-2</v>
      </c>
      <c r="G316" s="62">
        <f t="shared" si="4"/>
        <v>8.1809841269841282E-2</v>
      </c>
    </row>
    <row r="317" spans="1:7" x14ac:dyDescent="0.25">
      <c r="A317" s="3" t="s">
        <v>26</v>
      </c>
      <c r="B317" s="3" t="s">
        <v>66</v>
      </c>
      <c r="C317" s="3">
        <v>2046</v>
      </c>
      <c r="D317" s="61">
        <f>INDEX(Input!$I$221:$AI$235,MATCH(A317&amp;B317,Input!$H$221:$H$239,0),MATCH(C317,Input!$I$220:$AI$220,0))</f>
        <v>0.04</v>
      </c>
      <c r="E317" s="62">
        <f>IFERROR(VLOOKUP(A317,Input!$D$241:$I$245,6,FALSE),"")</f>
        <v>5.4000000000000001E-4</v>
      </c>
      <c r="F317" s="62">
        <f>IFERROR(VLOOKUP(A317,Input!$D$249:$I$253,6,FALSE),"")</f>
        <v>4.1269841269841276E-2</v>
      </c>
      <c r="G317" s="62">
        <f t="shared" si="4"/>
        <v>8.1809841269841282E-2</v>
      </c>
    </row>
    <row r="318" spans="1:7" x14ac:dyDescent="0.25">
      <c r="A318" s="3" t="s">
        <v>26</v>
      </c>
      <c r="B318" s="3" t="s">
        <v>66</v>
      </c>
      <c r="C318" s="3">
        <v>2047</v>
      </c>
      <c r="D318" s="61">
        <f>INDEX(Input!$I$221:$AI$235,MATCH(A318&amp;B318,Input!$H$221:$H$239,0),MATCH(C318,Input!$I$220:$AI$220,0))</f>
        <v>0.04</v>
      </c>
      <c r="E318" s="62">
        <f>IFERROR(VLOOKUP(A318,Input!$D$241:$I$245,6,FALSE),"")</f>
        <v>5.4000000000000001E-4</v>
      </c>
      <c r="F318" s="62">
        <f>IFERROR(VLOOKUP(A318,Input!$D$249:$I$253,6,FALSE),"")</f>
        <v>4.1269841269841276E-2</v>
      </c>
      <c r="G318" s="62">
        <f t="shared" si="4"/>
        <v>8.1809841269841282E-2</v>
      </c>
    </row>
    <row r="319" spans="1:7" x14ac:dyDescent="0.25">
      <c r="A319" s="3" t="s">
        <v>26</v>
      </c>
      <c r="B319" s="3" t="s">
        <v>66</v>
      </c>
      <c r="C319" s="3">
        <v>2048</v>
      </c>
      <c r="D319" s="61">
        <f>INDEX(Input!$I$221:$AI$235,MATCH(A319&amp;B319,Input!$H$221:$H$239,0),MATCH(C319,Input!$I$220:$AI$220,0))</f>
        <v>0.04</v>
      </c>
      <c r="E319" s="62">
        <f>IFERROR(VLOOKUP(A319,Input!$D$241:$I$245,6,FALSE),"")</f>
        <v>5.4000000000000001E-4</v>
      </c>
      <c r="F319" s="62">
        <f>IFERROR(VLOOKUP(A319,Input!$D$249:$I$253,6,FALSE),"")</f>
        <v>4.1269841269841276E-2</v>
      </c>
      <c r="G319" s="62">
        <f t="shared" si="4"/>
        <v>8.1809841269841282E-2</v>
      </c>
    </row>
    <row r="320" spans="1:7" x14ac:dyDescent="0.25">
      <c r="A320" s="3" t="s">
        <v>26</v>
      </c>
      <c r="B320" s="3" t="s">
        <v>66</v>
      </c>
      <c r="C320" s="3">
        <v>2049</v>
      </c>
      <c r="D320" s="61">
        <f>INDEX(Input!$I$221:$AI$235,MATCH(A320&amp;B320,Input!$H$221:$H$239,0),MATCH(C320,Input!$I$220:$AI$220,0))</f>
        <v>0.04</v>
      </c>
      <c r="E320" s="62">
        <f>IFERROR(VLOOKUP(A320,Input!$D$241:$I$245,6,FALSE),"")</f>
        <v>5.4000000000000001E-4</v>
      </c>
      <c r="F320" s="62">
        <f>IFERROR(VLOOKUP(A320,Input!$D$249:$I$253,6,FALSE),"")</f>
        <v>4.1269841269841276E-2</v>
      </c>
      <c r="G320" s="62">
        <f t="shared" si="4"/>
        <v>8.1809841269841282E-2</v>
      </c>
    </row>
    <row r="321" spans="1:7" x14ac:dyDescent="0.25">
      <c r="A321" s="3" t="s">
        <v>26</v>
      </c>
      <c r="B321" s="3" t="s">
        <v>66</v>
      </c>
      <c r="C321" s="3">
        <v>2050</v>
      </c>
      <c r="D321" s="61">
        <f>INDEX(Input!$I$221:$AI$235,MATCH(A321&amp;B321,Input!$H$221:$H$239,0),MATCH(C321,Input!$I$220:$AI$220,0))</f>
        <v>0.04</v>
      </c>
      <c r="E321" s="62">
        <f>IFERROR(VLOOKUP(A321,Input!$D$241:$I$245,6,FALSE),"")</f>
        <v>5.4000000000000001E-4</v>
      </c>
      <c r="F321" s="62">
        <f>IFERROR(VLOOKUP(A321,Input!$D$249:$I$253,6,FALSE),"")</f>
        <v>4.1269841269841276E-2</v>
      </c>
      <c r="G321" s="62">
        <f t="shared" si="4"/>
        <v>8.1809841269841282E-2</v>
      </c>
    </row>
    <row r="322" spans="1:7" x14ac:dyDescent="0.25">
      <c r="A322" s="3" t="s">
        <v>68</v>
      </c>
      <c r="B322" s="3" t="s">
        <v>65</v>
      </c>
      <c r="C322" s="3">
        <v>2024</v>
      </c>
      <c r="D322" s="61">
        <f>INDEX(Input!$I$221:$AI$235,MATCH(A322&amp;B322,Input!$H$221:$H$239,0),MATCH(C322,Input!$I$220:$AI$220,0))</f>
        <v>7.8E-2</v>
      </c>
      <c r="E322" s="62">
        <f>IFERROR(VLOOKUP(A322,Input!$D$241:$I$245,6,FALSE),"")</f>
        <v>5.4000000000000001E-4</v>
      </c>
      <c r="F322" s="62">
        <f>IFERROR(VLOOKUP(A322,Input!$D$249:$I$253,6,FALSE),"")</f>
        <v>1.4999999999999999E-2</v>
      </c>
      <c r="G322" s="62">
        <f t="shared" si="4"/>
        <v>9.3539999999999998E-2</v>
      </c>
    </row>
    <row r="323" spans="1:7" x14ac:dyDescent="0.25">
      <c r="A323" s="3" t="s">
        <v>68</v>
      </c>
      <c r="B323" s="3" t="s">
        <v>65</v>
      </c>
      <c r="C323" s="3">
        <v>2025</v>
      </c>
      <c r="D323" s="61">
        <f>INDEX(Input!$I$221:$AI$235,MATCH(A323&amp;B323,Input!$H$221:$H$239,0),MATCH(C323,Input!$I$220:$AI$220,0))</f>
        <v>8.0166666666666678E-2</v>
      </c>
      <c r="E323" s="62">
        <f>IFERROR(VLOOKUP(A323,Input!$D$241:$I$245,6,FALSE),"")</f>
        <v>5.4000000000000001E-4</v>
      </c>
      <c r="F323" s="62">
        <f>IFERROR(VLOOKUP(A323,Input!$D$249:$I$253,6,FALSE),"")</f>
        <v>1.4999999999999999E-2</v>
      </c>
      <c r="G323" s="62">
        <f t="shared" ref="G323:G386" si="5">IFERROR(D323+E323+F323,"")</f>
        <v>9.5706666666666676E-2</v>
      </c>
    </row>
    <row r="324" spans="1:7" x14ac:dyDescent="0.25">
      <c r="A324" s="3" t="s">
        <v>68</v>
      </c>
      <c r="B324" s="3" t="s">
        <v>65</v>
      </c>
      <c r="C324" s="3">
        <v>2026</v>
      </c>
      <c r="D324" s="61">
        <f>INDEX(Input!$I$221:$AI$235,MATCH(A324&amp;B324,Input!$H$221:$H$239,0),MATCH(C324,Input!$I$220:$AI$220,0))</f>
        <v>8.2333333333333328E-2</v>
      </c>
      <c r="E324" s="62">
        <f>IFERROR(VLOOKUP(A324,Input!$D$241:$I$245,6,FALSE),"")</f>
        <v>5.4000000000000001E-4</v>
      </c>
      <c r="F324" s="62">
        <f>IFERROR(VLOOKUP(A324,Input!$D$249:$I$253,6,FALSE),"")</f>
        <v>1.4999999999999999E-2</v>
      </c>
      <c r="G324" s="62">
        <f t="shared" si="5"/>
        <v>9.7873333333333326E-2</v>
      </c>
    </row>
    <row r="325" spans="1:7" x14ac:dyDescent="0.25">
      <c r="A325" s="3" t="s">
        <v>68</v>
      </c>
      <c r="B325" s="3" t="s">
        <v>65</v>
      </c>
      <c r="C325" s="3">
        <v>2027</v>
      </c>
      <c r="D325" s="61">
        <f>INDEX(Input!$I$221:$AI$235,MATCH(A325&amp;B325,Input!$H$221:$H$239,0),MATCH(C325,Input!$I$220:$AI$220,0))</f>
        <v>8.4500000000000006E-2</v>
      </c>
      <c r="E325" s="62">
        <f>IFERROR(VLOOKUP(A325,Input!$D$241:$I$245,6,FALSE),"")</f>
        <v>5.4000000000000001E-4</v>
      </c>
      <c r="F325" s="62">
        <f>IFERROR(VLOOKUP(A325,Input!$D$249:$I$253,6,FALSE),"")</f>
        <v>1.4999999999999999E-2</v>
      </c>
      <c r="G325" s="62">
        <f t="shared" si="5"/>
        <v>0.10004</v>
      </c>
    </row>
    <row r="326" spans="1:7" x14ac:dyDescent="0.25">
      <c r="A326" s="3" t="s">
        <v>68</v>
      </c>
      <c r="B326" s="3" t="s">
        <v>65</v>
      </c>
      <c r="C326" s="3">
        <v>2028</v>
      </c>
      <c r="D326" s="61">
        <f>INDEX(Input!$I$221:$AI$235,MATCH(A326&amp;B326,Input!$H$221:$H$239,0),MATCH(C326,Input!$I$220:$AI$220,0))</f>
        <v>8.666666666666667E-2</v>
      </c>
      <c r="E326" s="62">
        <f>IFERROR(VLOOKUP(A326,Input!$D$241:$I$245,6,FALSE),"")</f>
        <v>5.4000000000000001E-4</v>
      </c>
      <c r="F326" s="62">
        <f>IFERROR(VLOOKUP(A326,Input!$D$249:$I$253,6,FALSE),"")</f>
        <v>1.4999999999999999E-2</v>
      </c>
      <c r="G326" s="62">
        <f t="shared" si="5"/>
        <v>0.10220666666666667</v>
      </c>
    </row>
    <row r="327" spans="1:7" x14ac:dyDescent="0.25">
      <c r="A327" s="3" t="s">
        <v>68</v>
      </c>
      <c r="B327" s="3" t="s">
        <v>65</v>
      </c>
      <c r="C327" s="3">
        <v>2029</v>
      </c>
      <c r="D327" s="61">
        <f>INDEX(Input!$I$221:$AI$235,MATCH(A327&amp;B327,Input!$H$221:$H$239,0),MATCH(C327,Input!$I$220:$AI$220,0))</f>
        <v>8.8833333333333334E-2</v>
      </c>
      <c r="E327" s="62">
        <f>IFERROR(VLOOKUP(A327,Input!$D$241:$I$245,6,FALSE),"")</f>
        <v>5.4000000000000001E-4</v>
      </c>
      <c r="F327" s="62">
        <f>IFERROR(VLOOKUP(A327,Input!$D$249:$I$253,6,FALSE),"")</f>
        <v>1.4999999999999999E-2</v>
      </c>
      <c r="G327" s="62">
        <f t="shared" si="5"/>
        <v>0.10437333333333333</v>
      </c>
    </row>
    <row r="328" spans="1:7" x14ac:dyDescent="0.25">
      <c r="A328" s="3" t="s">
        <v>68</v>
      </c>
      <c r="B328" s="3" t="s">
        <v>65</v>
      </c>
      <c r="C328" s="3">
        <v>2030</v>
      </c>
      <c r="D328" s="61">
        <f>INDEX(Input!$I$221:$AI$235,MATCH(A328&amp;B328,Input!$H$221:$H$239,0),MATCH(C328,Input!$I$220:$AI$220,0))</f>
        <v>9.0999999999999998E-2</v>
      </c>
      <c r="E328" s="62">
        <f>IFERROR(VLOOKUP(A328,Input!$D$241:$I$245,6,FALSE),"")</f>
        <v>5.4000000000000001E-4</v>
      </c>
      <c r="F328" s="62">
        <f>IFERROR(VLOOKUP(A328,Input!$D$249:$I$253,6,FALSE),"")</f>
        <v>1.4999999999999999E-2</v>
      </c>
      <c r="G328" s="62">
        <f t="shared" si="5"/>
        <v>0.10654</v>
      </c>
    </row>
    <row r="329" spans="1:7" x14ac:dyDescent="0.25">
      <c r="A329" s="3" t="s">
        <v>68</v>
      </c>
      <c r="B329" s="3" t="s">
        <v>65</v>
      </c>
      <c r="C329" s="3">
        <v>2031</v>
      </c>
      <c r="D329" s="61">
        <f>INDEX(Input!$I$221:$AI$235,MATCH(A329&amp;B329,Input!$H$221:$H$239,0),MATCH(C329,Input!$I$220:$AI$220,0))</f>
        <v>9.0999999999999998E-2</v>
      </c>
      <c r="E329" s="62">
        <f>IFERROR(VLOOKUP(A329,Input!$D$241:$I$245,6,FALSE),"")</f>
        <v>5.4000000000000001E-4</v>
      </c>
      <c r="F329" s="62">
        <f>IFERROR(VLOOKUP(A329,Input!$D$249:$I$253,6,FALSE),"")</f>
        <v>1.4999999999999999E-2</v>
      </c>
      <c r="G329" s="62">
        <f t="shared" si="5"/>
        <v>0.10654</v>
      </c>
    </row>
    <row r="330" spans="1:7" x14ac:dyDescent="0.25">
      <c r="A330" s="3" t="s">
        <v>68</v>
      </c>
      <c r="B330" s="3" t="s">
        <v>65</v>
      </c>
      <c r="C330" s="3">
        <v>2032</v>
      </c>
      <c r="D330" s="61">
        <f>INDEX(Input!$I$221:$AI$235,MATCH(A330&amp;B330,Input!$H$221:$H$239,0),MATCH(C330,Input!$I$220:$AI$220,0))</f>
        <v>9.0999999999999998E-2</v>
      </c>
      <c r="E330" s="62">
        <f>IFERROR(VLOOKUP(A330,Input!$D$241:$I$245,6,FALSE),"")</f>
        <v>5.4000000000000001E-4</v>
      </c>
      <c r="F330" s="62">
        <f>IFERROR(VLOOKUP(A330,Input!$D$249:$I$253,6,FALSE),"")</f>
        <v>1.4999999999999999E-2</v>
      </c>
      <c r="G330" s="62">
        <f t="shared" si="5"/>
        <v>0.10654</v>
      </c>
    </row>
    <row r="331" spans="1:7" x14ac:dyDescent="0.25">
      <c r="A331" s="3" t="s">
        <v>68</v>
      </c>
      <c r="B331" s="3" t="s">
        <v>65</v>
      </c>
      <c r="C331" s="3">
        <v>2033</v>
      </c>
      <c r="D331" s="61">
        <f>INDEX(Input!$I$221:$AI$235,MATCH(A331&amp;B331,Input!$H$221:$H$239,0),MATCH(C331,Input!$I$220:$AI$220,0))</f>
        <v>9.0999999999999998E-2</v>
      </c>
      <c r="E331" s="62">
        <f>IFERROR(VLOOKUP(A331,Input!$D$241:$I$245,6,FALSE),"")</f>
        <v>5.4000000000000001E-4</v>
      </c>
      <c r="F331" s="62">
        <f>IFERROR(VLOOKUP(A331,Input!$D$249:$I$253,6,FALSE),"")</f>
        <v>1.4999999999999999E-2</v>
      </c>
      <c r="G331" s="62">
        <f t="shared" si="5"/>
        <v>0.10654</v>
      </c>
    </row>
    <row r="332" spans="1:7" x14ac:dyDescent="0.25">
      <c r="A332" s="3" t="s">
        <v>68</v>
      </c>
      <c r="B332" s="3" t="s">
        <v>65</v>
      </c>
      <c r="C332" s="3">
        <v>2034</v>
      </c>
      <c r="D332" s="61">
        <f>INDEX(Input!$I$221:$AI$235,MATCH(A332&amp;B332,Input!$H$221:$H$239,0),MATCH(C332,Input!$I$220:$AI$220,0))</f>
        <v>9.0999999999999998E-2</v>
      </c>
      <c r="E332" s="62">
        <f>IFERROR(VLOOKUP(A332,Input!$D$241:$I$245,6,FALSE),"")</f>
        <v>5.4000000000000001E-4</v>
      </c>
      <c r="F332" s="62">
        <f>IFERROR(VLOOKUP(A332,Input!$D$249:$I$253,6,FALSE),"")</f>
        <v>1.4999999999999999E-2</v>
      </c>
      <c r="G332" s="62">
        <f t="shared" si="5"/>
        <v>0.10654</v>
      </c>
    </row>
    <row r="333" spans="1:7" x14ac:dyDescent="0.25">
      <c r="A333" s="3" t="s">
        <v>68</v>
      </c>
      <c r="B333" s="3" t="s">
        <v>65</v>
      </c>
      <c r="C333" s="3">
        <v>2035</v>
      </c>
      <c r="D333" s="61">
        <f>INDEX(Input!$I$221:$AI$235,MATCH(A333&amp;B333,Input!$H$221:$H$239,0),MATCH(C333,Input!$I$220:$AI$220,0))</f>
        <v>9.0999999999999998E-2</v>
      </c>
      <c r="E333" s="62">
        <f>IFERROR(VLOOKUP(A333,Input!$D$241:$I$245,6,FALSE),"")</f>
        <v>5.4000000000000001E-4</v>
      </c>
      <c r="F333" s="62">
        <f>IFERROR(VLOOKUP(A333,Input!$D$249:$I$253,6,FALSE),"")</f>
        <v>1.4999999999999999E-2</v>
      </c>
      <c r="G333" s="62">
        <f t="shared" si="5"/>
        <v>0.10654</v>
      </c>
    </row>
    <row r="334" spans="1:7" x14ac:dyDescent="0.25">
      <c r="A334" s="3" t="s">
        <v>68</v>
      </c>
      <c r="B334" s="3" t="s">
        <v>65</v>
      </c>
      <c r="C334" s="3">
        <v>2036</v>
      </c>
      <c r="D334" s="61">
        <f>INDEX(Input!$I$221:$AI$235,MATCH(A334&amp;B334,Input!$H$221:$H$239,0),MATCH(C334,Input!$I$220:$AI$220,0))</f>
        <v>9.0999999999999998E-2</v>
      </c>
      <c r="E334" s="62">
        <f>IFERROR(VLOOKUP(A334,Input!$D$241:$I$245,6,FALSE),"")</f>
        <v>5.4000000000000001E-4</v>
      </c>
      <c r="F334" s="62">
        <f>IFERROR(VLOOKUP(A334,Input!$D$249:$I$253,6,FALSE),"")</f>
        <v>1.4999999999999999E-2</v>
      </c>
      <c r="G334" s="62">
        <f t="shared" si="5"/>
        <v>0.10654</v>
      </c>
    </row>
    <row r="335" spans="1:7" x14ac:dyDescent="0.25">
      <c r="A335" s="3" t="s">
        <v>68</v>
      </c>
      <c r="B335" s="3" t="s">
        <v>65</v>
      </c>
      <c r="C335" s="3">
        <v>2037</v>
      </c>
      <c r="D335" s="61">
        <f>INDEX(Input!$I$221:$AI$235,MATCH(A335&amp;B335,Input!$H$221:$H$239,0),MATCH(C335,Input!$I$220:$AI$220,0))</f>
        <v>9.0999999999999998E-2</v>
      </c>
      <c r="E335" s="62">
        <f>IFERROR(VLOOKUP(A335,Input!$D$241:$I$245,6,FALSE),"")</f>
        <v>5.4000000000000001E-4</v>
      </c>
      <c r="F335" s="62">
        <f>IFERROR(VLOOKUP(A335,Input!$D$249:$I$253,6,FALSE),"")</f>
        <v>1.4999999999999999E-2</v>
      </c>
      <c r="G335" s="62">
        <f t="shared" si="5"/>
        <v>0.10654</v>
      </c>
    </row>
    <row r="336" spans="1:7" x14ac:dyDescent="0.25">
      <c r="A336" s="3" t="s">
        <v>68</v>
      </c>
      <c r="B336" s="3" t="s">
        <v>65</v>
      </c>
      <c r="C336" s="3">
        <v>2038</v>
      </c>
      <c r="D336" s="61">
        <f>INDEX(Input!$I$221:$AI$235,MATCH(A336&amp;B336,Input!$H$221:$H$239,0),MATCH(C336,Input!$I$220:$AI$220,0))</f>
        <v>9.0999999999999998E-2</v>
      </c>
      <c r="E336" s="62">
        <f>IFERROR(VLOOKUP(A336,Input!$D$241:$I$245,6,FALSE),"")</f>
        <v>5.4000000000000001E-4</v>
      </c>
      <c r="F336" s="62">
        <f>IFERROR(VLOOKUP(A336,Input!$D$249:$I$253,6,FALSE),"")</f>
        <v>1.4999999999999999E-2</v>
      </c>
      <c r="G336" s="62">
        <f t="shared" si="5"/>
        <v>0.10654</v>
      </c>
    </row>
    <row r="337" spans="1:7" x14ac:dyDescent="0.25">
      <c r="A337" s="3" t="s">
        <v>68</v>
      </c>
      <c r="B337" s="3" t="s">
        <v>65</v>
      </c>
      <c r="C337" s="3">
        <v>2039</v>
      </c>
      <c r="D337" s="61">
        <f>INDEX(Input!$I$221:$AI$235,MATCH(A337&amp;B337,Input!$H$221:$H$239,0),MATCH(C337,Input!$I$220:$AI$220,0))</f>
        <v>9.0999999999999998E-2</v>
      </c>
      <c r="E337" s="62">
        <f>IFERROR(VLOOKUP(A337,Input!$D$241:$I$245,6,FALSE),"")</f>
        <v>5.4000000000000001E-4</v>
      </c>
      <c r="F337" s="62">
        <f>IFERROR(VLOOKUP(A337,Input!$D$249:$I$253,6,FALSE),"")</f>
        <v>1.4999999999999999E-2</v>
      </c>
      <c r="G337" s="62">
        <f t="shared" si="5"/>
        <v>0.10654</v>
      </c>
    </row>
    <row r="338" spans="1:7" x14ac:dyDescent="0.25">
      <c r="A338" s="3" t="s">
        <v>68</v>
      </c>
      <c r="B338" s="3" t="s">
        <v>65</v>
      </c>
      <c r="C338" s="3">
        <v>2040</v>
      </c>
      <c r="D338" s="61">
        <f>INDEX(Input!$I$221:$AI$235,MATCH(A338&amp;B338,Input!$H$221:$H$239,0),MATCH(C338,Input!$I$220:$AI$220,0))</f>
        <v>9.0999999999999998E-2</v>
      </c>
      <c r="E338" s="62">
        <f>IFERROR(VLOOKUP(A338,Input!$D$241:$I$245,6,FALSE),"")</f>
        <v>5.4000000000000001E-4</v>
      </c>
      <c r="F338" s="62">
        <f>IFERROR(VLOOKUP(A338,Input!$D$249:$I$253,6,FALSE),"")</f>
        <v>1.4999999999999999E-2</v>
      </c>
      <c r="G338" s="62">
        <f t="shared" si="5"/>
        <v>0.10654</v>
      </c>
    </row>
    <row r="339" spans="1:7" x14ac:dyDescent="0.25">
      <c r="A339" s="3" t="s">
        <v>68</v>
      </c>
      <c r="B339" s="3" t="s">
        <v>65</v>
      </c>
      <c r="C339" s="3">
        <v>2041</v>
      </c>
      <c r="D339" s="61">
        <f>INDEX(Input!$I$221:$AI$235,MATCH(A339&amp;B339,Input!$H$221:$H$239,0),MATCH(C339,Input!$I$220:$AI$220,0))</f>
        <v>9.0999999999999998E-2</v>
      </c>
      <c r="E339" s="62">
        <f>IFERROR(VLOOKUP(A339,Input!$D$241:$I$245,6,FALSE),"")</f>
        <v>5.4000000000000001E-4</v>
      </c>
      <c r="F339" s="62">
        <f>IFERROR(VLOOKUP(A339,Input!$D$249:$I$253,6,FALSE),"")</f>
        <v>1.4999999999999999E-2</v>
      </c>
      <c r="G339" s="62">
        <f t="shared" si="5"/>
        <v>0.10654</v>
      </c>
    </row>
    <row r="340" spans="1:7" x14ac:dyDescent="0.25">
      <c r="A340" s="3" t="s">
        <v>68</v>
      </c>
      <c r="B340" s="3" t="s">
        <v>65</v>
      </c>
      <c r="C340" s="3">
        <v>2042</v>
      </c>
      <c r="D340" s="61">
        <f>INDEX(Input!$I$221:$AI$235,MATCH(A340&amp;B340,Input!$H$221:$H$239,0),MATCH(C340,Input!$I$220:$AI$220,0))</f>
        <v>9.0999999999999998E-2</v>
      </c>
      <c r="E340" s="62">
        <f>IFERROR(VLOOKUP(A340,Input!$D$241:$I$245,6,FALSE),"")</f>
        <v>5.4000000000000001E-4</v>
      </c>
      <c r="F340" s="62">
        <f>IFERROR(VLOOKUP(A340,Input!$D$249:$I$253,6,FALSE),"")</f>
        <v>1.4999999999999999E-2</v>
      </c>
      <c r="G340" s="62">
        <f t="shared" si="5"/>
        <v>0.10654</v>
      </c>
    </row>
    <row r="341" spans="1:7" x14ac:dyDescent="0.25">
      <c r="A341" s="3" t="s">
        <v>68</v>
      </c>
      <c r="B341" s="3" t="s">
        <v>65</v>
      </c>
      <c r="C341" s="3">
        <v>2043</v>
      </c>
      <c r="D341" s="61">
        <f>INDEX(Input!$I$221:$AI$235,MATCH(A341&amp;B341,Input!$H$221:$H$239,0),MATCH(C341,Input!$I$220:$AI$220,0))</f>
        <v>9.0999999999999998E-2</v>
      </c>
      <c r="E341" s="62">
        <f>IFERROR(VLOOKUP(A341,Input!$D$241:$I$245,6,FALSE),"")</f>
        <v>5.4000000000000001E-4</v>
      </c>
      <c r="F341" s="62">
        <f>IFERROR(VLOOKUP(A341,Input!$D$249:$I$253,6,FALSE),"")</f>
        <v>1.4999999999999999E-2</v>
      </c>
      <c r="G341" s="62">
        <f t="shared" si="5"/>
        <v>0.10654</v>
      </c>
    </row>
    <row r="342" spans="1:7" x14ac:dyDescent="0.25">
      <c r="A342" s="3" t="s">
        <v>68</v>
      </c>
      <c r="B342" s="3" t="s">
        <v>65</v>
      </c>
      <c r="C342" s="3">
        <v>2044</v>
      </c>
      <c r="D342" s="61">
        <f>INDEX(Input!$I$221:$AI$235,MATCH(A342&amp;B342,Input!$H$221:$H$239,0),MATCH(C342,Input!$I$220:$AI$220,0))</f>
        <v>9.0999999999999998E-2</v>
      </c>
      <c r="E342" s="62">
        <f>IFERROR(VLOOKUP(A342,Input!$D$241:$I$245,6,FALSE),"")</f>
        <v>5.4000000000000001E-4</v>
      </c>
      <c r="F342" s="62">
        <f>IFERROR(VLOOKUP(A342,Input!$D$249:$I$253,6,FALSE),"")</f>
        <v>1.4999999999999999E-2</v>
      </c>
      <c r="G342" s="62">
        <f t="shared" si="5"/>
        <v>0.10654</v>
      </c>
    </row>
    <row r="343" spans="1:7" x14ac:dyDescent="0.25">
      <c r="A343" s="3" t="s">
        <v>68</v>
      </c>
      <c r="B343" s="3" t="s">
        <v>65</v>
      </c>
      <c r="C343" s="3">
        <v>2045</v>
      </c>
      <c r="D343" s="61">
        <f>INDEX(Input!$I$221:$AI$235,MATCH(A343&amp;B343,Input!$H$221:$H$239,0),MATCH(C343,Input!$I$220:$AI$220,0))</f>
        <v>9.0999999999999998E-2</v>
      </c>
      <c r="E343" s="62">
        <f>IFERROR(VLOOKUP(A343,Input!$D$241:$I$245,6,FALSE),"")</f>
        <v>5.4000000000000001E-4</v>
      </c>
      <c r="F343" s="62">
        <f>IFERROR(VLOOKUP(A343,Input!$D$249:$I$253,6,FALSE),"")</f>
        <v>1.4999999999999999E-2</v>
      </c>
      <c r="G343" s="62">
        <f t="shared" si="5"/>
        <v>0.10654</v>
      </c>
    </row>
    <row r="344" spans="1:7" x14ac:dyDescent="0.25">
      <c r="A344" s="3" t="s">
        <v>68</v>
      </c>
      <c r="B344" s="3" t="s">
        <v>65</v>
      </c>
      <c r="C344" s="3">
        <v>2046</v>
      </c>
      <c r="D344" s="61">
        <f>INDEX(Input!$I$221:$AI$235,MATCH(A344&amp;B344,Input!$H$221:$H$239,0),MATCH(C344,Input!$I$220:$AI$220,0))</f>
        <v>9.0999999999999998E-2</v>
      </c>
      <c r="E344" s="62">
        <f>IFERROR(VLOOKUP(A344,Input!$D$241:$I$245,6,FALSE),"")</f>
        <v>5.4000000000000001E-4</v>
      </c>
      <c r="F344" s="62">
        <f>IFERROR(VLOOKUP(A344,Input!$D$249:$I$253,6,FALSE),"")</f>
        <v>1.4999999999999999E-2</v>
      </c>
      <c r="G344" s="62">
        <f t="shared" si="5"/>
        <v>0.10654</v>
      </c>
    </row>
    <row r="345" spans="1:7" x14ac:dyDescent="0.25">
      <c r="A345" s="3" t="s">
        <v>68</v>
      </c>
      <c r="B345" s="3" t="s">
        <v>65</v>
      </c>
      <c r="C345" s="3">
        <v>2047</v>
      </c>
      <c r="D345" s="61">
        <f>INDEX(Input!$I$221:$AI$235,MATCH(A345&amp;B345,Input!$H$221:$H$239,0),MATCH(C345,Input!$I$220:$AI$220,0))</f>
        <v>9.0999999999999998E-2</v>
      </c>
      <c r="E345" s="62">
        <f>IFERROR(VLOOKUP(A345,Input!$D$241:$I$245,6,FALSE),"")</f>
        <v>5.4000000000000001E-4</v>
      </c>
      <c r="F345" s="62">
        <f>IFERROR(VLOOKUP(A345,Input!$D$249:$I$253,6,FALSE),"")</f>
        <v>1.4999999999999999E-2</v>
      </c>
      <c r="G345" s="62">
        <f t="shared" si="5"/>
        <v>0.10654</v>
      </c>
    </row>
    <row r="346" spans="1:7" x14ac:dyDescent="0.25">
      <c r="A346" s="3" t="s">
        <v>68</v>
      </c>
      <c r="B346" s="3" t="s">
        <v>65</v>
      </c>
      <c r="C346" s="3">
        <v>2048</v>
      </c>
      <c r="D346" s="61">
        <f>INDEX(Input!$I$221:$AI$235,MATCH(A346&amp;B346,Input!$H$221:$H$239,0),MATCH(C346,Input!$I$220:$AI$220,0))</f>
        <v>9.0999999999999998E-2</v>
      </c>
      <c r="E346" s="62">
        <f>IFERROR(VLOOKUP(A346,Input!$D$241:$I$245,6,FALSE),"")</f>
        <v>5.4000000000000001E-4</v>
      </c>
      <c r="F346" s="62">
        <f>IFERROR(VLOOKUP(A346,Input!$D$249:$I$253,6,FALSE),"")</f>
        <v>1.4999999999999999E-2</v>
      </c>
      <c r="G346" s="62">
        <f t="shared" si="5"/>
        <v>0.10654</v>
      </c>
    </row>
    <row r="347" spans="1:7" x14ac:dyDescent="0.25">
      <c r="A347" s="3" t="s">
        <v>68</v>
      </c>
      <c r="B347" s="3" t="s">
        <v>65</v>
      </c>
      <c r="C347" s="3">
        <v>2049</v>
      </c>
      <c r="D347" s="61">
        <f>INDEX(Input!$I$221:$AI$235,MATCH(A347&amp;B347,Input!$H$221:$H$239,0),MATCH(C347,Input!$I$220:$AI$220,0))</f>
        <v>9.0999999999999998E-2</v>
      </c>
      <c r="E347" s="62">
        <f>IFERROR(VLOOKUP(A347,Input!$D$241:$I$245,6,FALSE),"")</f>
        <v>5.4000000000000001E-4</v>
      </c>
      <c r="F347" s="62">
        <f>IFERROR(VLOOKUP(A347,Input!$D$249:$I$253,6,FALSE),"")</f>
        <v>1.4999999999999999E-2</v>
      </c>
      <c r="G347" s="62">
        <f t="shared" si="5"/>
        <v>0.10654</v>
      </c>
    </row>
    <row r="348" spans="1:7" x14ac:dyDescent="0.25">
      <c r="A348" s="3" t="s">
        <v>68</v>
      </c>
      <c r="B348" s="3" t="s">
        <v>65</v>
      </c>
      <c r="C348" s="3">
        <v>2050</v>
      </c>
      <c r="D348" s="61">
        <f>INDEX(Input!$I$221:$AI$235,MATCH(A348&amp;B348,Input!$H$221:$H$239,0),MATCH(C348,Input!$I$220:$AI$220,0))</f>
        <v>9.0999999999999998E-2</v>
      </c>
      <c r="E348" s="62">
        <f>IFERROR(VLOOKUP(A348,Input!$D$241:$I$245,6,FALSE),"")</f>
        <v>5.4000000000000001E-4</v>
      </c>
      <c r="F348" s="62">
        <f>IFERROR(VLOOKUP(A348,Input!$D$249:$I$253,6,FALSE),"")</f>
        <v>1.4999999999999999E-2</v>
      </c>
      <c r="G348" s="62">
        <f t="shared" si="5"/>
        <v>0.10654</v>
      </c>
    </row>
    <row r="349" spans="1:7" x14ac:dyDescent="0.25">
      <c r="A349" s="3" t="s">
        <v>68</v>
      </c>
      <c r="B349" s="3" t="s">
        <v>8</v>
      </c>
      <c r="C349" s="3">
        <v>2024</v>
      </c>
      <c r="D349" s="61">
        <f>INDEX(Input!$I$221:$AI$235,MATCH(A349&amp;B349,Input!$H$221:$H$239,0),MATCH(C349,Input!$I$220:$AI$220,0))</f>
        <v>7.8E-2</v>
      </c>
      <c r="E349" s="62">
        <f>IFERROR(VLOOKUP(A349,Input!$D$241:$I$245,6,FALSE),"")</f>
        <v>5.4000000000000001E-4</v>
      </c>
      <c r="F349" s="62">
        <f>IFERROR(VLOOKUP(A349,Input!$D$249:$I$253,6,FALSE),"")</f>
        <v>1.4999999999999999E-2</v>
      </c>
      <c r="G349" s="62">
        <f t="shared" si="5"/>
        <v>9.3539999999999998E-2</v>
      </c>
    </row>
    <row r="350" spans="1:7" x14ac:dyDescent="0.25">
      <c r="A350" s="3" t="s">
        <v>68</v>
      </c>
      <c r="B350" s="3" t="s">
        <v>8</v>
      </c>
      <c r="C350" s="3">
        <v>2025</v>
      </c>
      <c r="D350" s="61">
        <f>INDEX(Input!$I$221:$AI$235,MATCH(A350&amp;B350,Input!$H$221:$H$239,0),MATCH(C350,Input!$I$220:$AI$220,0))</f>
        <v>7.8E-2</v>
      </c>
      <c r="E350" s="62">
        <f>IFERROR(VLOOKUP(A350,Input!$D$241:$I$245,6,FALSE),"")</f>
        <v>5.4000000000000001E-4</v>
      </c>
      <c r="F350" s="62">
        <f>IFERROR(VLOOKUP(A350,Input!$D$249:$I$253,6,FALSE),"")</f>
        <v>1.4999999999999999E-2</v>
      </c>
      <c r="G350" s="62">
        <f t="shared" si="5"/>
        <v>9.3539999999999998E-2</v>
      </c>
    </row>
    <row r="351" spans="1:7" x14ac:dyDescent="0.25">
      <c r="A351" s="3" t="s">
        <v>68</v>
      </c>
      <c r="B351" s="3" t="s">
        <v>8</v>
      </c>
      <c r="C351" s="3">
        <v>2026</v>
      </c>
      <c r="D351" s="61">
        <f>INDEX(Input!$I$221:$AI$235,MATCH(A351&amp;B351,Input!$H$221:$H$239,0),MATCH(C351,Input!$I$220:$AI$220,0))</f>
        <v>7.8E-2</v>
      </c>
      <c r="E351" s="62">
        <f>IFERROR(VLOOKUP(A351,Input!$D$241:$I$245,6,FALSE),"")</f>
        <v>5.4000000000000001E-4</v>
      </c>
      <c r="F351" s="62">
        <f>IFERROR(VLOOKUP(A351,Input!$D$249:$I$253,6,FALSE),"")</f>
        <v>1.4999999999999999E-2</v>
      </c>
      <c r="G351" s="62">
        <f t="shared" si="5"/>
        <v>9.3539999999999998E-2</v>
      </c>
    </row>
    <row r="352" spans="1:7" x14ac:dyDescent="0.25">
      <c r="A352" s="3" t="s">
        <v>68</v>
      </c>
      <c r="B352" s="3" t="s">
        <v>8</v>
      </c>
      <c r="C352" s="3">
        <v>2027</v>
      </c>
      <c r="D352" s="61">
        <f>INDEX(Input!$I$221:$AI$235,MATCH(A352&amp;B352,Input!$H$221:$H$239,0),MATCH(C352,Input!$I$220:$AI$220,0))</f>
        <v>7.8E-2</v>
      </c>
      <c r="E352" s="62">
        <f>IFERROR(VLOOKUP(A352,Input!$D$241:$I$245,6,FALSE),"")</f>
        <v>5.4000000000000001E-4</v>
      </c>
      <c r="F352" s="62">
        <f>IFERROR(VLOOKUP(A352,Input!$D$249:$I$253,6,FALSE),"")</f>
        <v>1.4999999999999999E-2</v>
      </c>
      <c r="G352" s="62">
        <f t="shared" si="5"/>
        <v>9.3539999999999998E-2</v>
      </c>
    </row>
    <row r="353" spans="1:7" x14ac:dyDescent="0.25">
      <c r="A353" s="3" t="s">
        <v>68</v>
      </c>
      <c r="B353" s="3" t="s">
        <v>8</v>
      </c>
      <c r="C353" s="3">
        <v>2028</v>
      </c>
      <c r="D353" s="61">
        <f>INDEX(Input!$I$221:$AI$235,MATCH(A353&amp;B353,Input!$H$221:$H$239,0),MATCH(C353,Input!$I$220:$AI$220,0))</f>
        <v>7.8E-2</v>
      </c>
      <c r="E353" s="62">
        <f>IFERROR(VLOOKUP(A353,Input!$D$241:$I$245,6,FALSE),"")</f>
        <v>5.4000000000000001E-4</v>
      </c>
      <c r="F353" s="62">
        <f>IFERROR(VLOOKUP(A353,Input!$D$249:$I$253,6,FALSE),"")</f>
        <v>1.4999999999999999E-2</v>
      </c>
      <c r="G353" s="62">
        <f t="shared" si="5"/>
        <v>9.3539999999999998E-2</v>
      </c>
    </row>
    <row r="354" spans="1:7" x14ac:dyDescent="0.25">
      <c r="A354" s="3" t="s">
        <v>68</v>
      </c>
      <c r="B354" s="3" t="s">
        <v>8</v>
      </c>
      <c r="C354" s="3">
        <v>2029</v>
      </c>
      <c r="D354" s="61">
        <f>INDEX(Input!$I$221:$AI$235,MATCH(A354&amp;B354,Input!$H$221:$H$239,0),MATCH(C354,Input!$I$220:$AI$220,0))</f>
        <v>7.8E-2</v>
      </c>
      <c r="E354" s="62">
        <f>IFERROR(VLOOKUP(A354,Input!$D$241:$I$245,6,FALSE),"")</f>
        <v>5.4000000000000001E-4</v>
      </c>
      <c r="F354" s="62">
        <f>IFERROR(VLOOKUP(A354,Input!$D$249:$I$253,6,FALSE),"")</f>
        <v>1.4999999999999999E-2</v>
      </c>
      <c r="G354" s="62">
        <f t="shared" si="5"/>
        <v>9.3539999999999998E-2</v>
      </c>
    </row>
    <row r="355" spans="1:7" x14ac:dyDescent="0.25">
      <c r="A355" s="3" t="s">
        <v>68</v>
      </c>
      <c r="B355" s="3" t="s">
        <v>8</v>
      </c>
      <c r="C355" s="3">
        <v>2030</v>
      </c>
      <c r="D355" s="61">
        <f>INDEX(Input!$I$221:$AI$235,MATCH(A355&amp;B355,Input!$H$221:$H$239,0),MATCH(C355,Input!$I$220:$AI$220,0))</f>
        <v>7.8E-2</v>
      </c>
      <c r="E355" s="62">
        <f>IFERROR(VLOOKUP(A355,Input!$D$241:$I$245,6,FALSE),"")</f>
        <v>5.4000000000000001E-4</v>
      </c>
      <c r="F355" s="62">
        <f>IFERROR(VLOOKUP(A355,Input!$D$249:$I$253,6,FALSE),"")</f>
        <v>1.4999999999999999E-2</v>
      </c>
      <c r="G355" s="62">
        <f t="shared" si="5"/>
        <v>9.3539999999999998E-2</v>
      </c>
    </row>
    <row r="356" spans="1:7" x14ac:dyDescent="0.25">
      <c r="A356" s="3" t="s">
        <v>68</v>
      </c>
      <c r="B356" s="3" t="s">
        <v>8</v>
      </c>
      <c r="C356" s="3">
        <v>2031</v>
      </c>
      <c r="D356" s="61">
        <f>INDEX(Input!$I$221:$AI$235,MATCH(A356&amp;B356,Input!$H$221:$H$239,0),MATCH(C356,Input!$I$220:$AI$220,0))</f>
        <v>7.8E-2</v>
      </c>
      <c r="E356" s="62">
        <f>IFERROR(VLOOKUP(A356,Input!$D$241:$I$245,6,FALSE),"")</f>
        <v>5.4000000000000001E-4</v>
      </c>
      <c r="F356" s="62">
        <f>IFERROR(VLOOKUP(A356,Input!$D$249:$I$253,6,FALSE),"")</f>
        <v>1.4999999999999999E-2</v>
      </c>
      <c r="G356" s="62">
        <f t="shared" si="5"/>
        <v>9.3539999999999998E-2</v>
      </c>
    </row>
    <row r="357" spans="1:7" x14ac:dyDescent="0.25">
      <c r="A357" s="3" t="s">
        <v>68</v>
      </c>
      <c r="B357" s="3" t="s">
        <v>8</v>
      </c>
      <c r="C357" s="3">
        <v>2032</v>
      </c>
      <c r="D357" s="61">
        <f>INDEX(Input!$I$221:$AI$235,MATCH(A357&amp;B357,Input!$H$221:$H$239,0),MATCH(C357,Input!$I$220:$AI$220,0))</f>
        <v>7.8E-2</v>
      </c>
      <c r="E357" s="62">
        <f>IFERROR(VLOOKUP(A357,Input!$D$241:$I$245,6,FALSE),"")</f>
        <v>5.4000000000000001E-4</v>
      </c>
      <c r="F357" s="62">
        <f>IFERROR(VLOOKUP(A357,Input!$D$249:$I$253,6,FALSE),"")</f>
        <v>1.4999999999999999E-2</v>
      </c>
      <c r="G357" s="62">
        <f t="shared" si="5"/>
        <v>9.3539999999999998E-2</v>
      </c>
    </row>
    <row r="358" spans="1:7" x14ac:dyDescent="0.25">
      <c r="A358" s="3" t="s">
        <v>68</v>
      </c>
      <c r="B358" s="3" t="s">
        <v>8</v>
      </c>
      <c r="C358" s="3">
        <v>2033</v>
      </c>
      <c r="D358" s="61">
        <f>INDEX(Input!$I$221:$AI$235,MATCH(A358&amp;B358,Input!$H$221:$H$239,0),MATCH(C358,Input!$I$220:$AI$220,0))</f>
        <v>7.8E-2</v>
      </c>
      <c r="E358" s="62">
        <f>IFERROR(VLOOKUP(A358,Input!$D$241:$I$245,6,FALSE),"")</f>
        <v>5.4000000000000001E-4</v>
      </c>
      <c r="F358" s="62">
        <f>IFERROR(VLOOKUP(A358,Input!$D$249:$I$253,6,FALSE),"")</f>
        <v>1.4999999999999999E-2</v>
      </c>
      <c r="G358" s="62">
        <f t="shared" si="5"/>
        <v>9.3539999999999998E-2</v>
      </c>
    </row>
    <row r="359" spans="1:7" x14ac:dyDescent="0.25">
      <c r="A359" s="3" t="s">
        <v>68</v>
      </c>
      <c r="B359" s="3" t="s">
        <v>8</v>
      </c>
      <c r="C359" s="3">
        <v>2034</v>
      </c>
      <c r="D359" s="61">
        <f>INDEX(Input!$I$221:$AI$235,MATCH(A359&amp;B359,Input!$H$221:$H$239,0),MATCH(C359,Input!$I$220:$AI$220,0))</f>
        <v>7.8E-2</v>
      </c>
      <c r="E359" s="62">
        <f>IFERROR(VLOOKUP(A359,Input!$D$241:$I$245,6,FALSE),"")</f>
        <v>5.4000000000000001E-4</v>
      </c>
      <c r="F359" s="62">
        <f>IFERROR(VLOOKUP(A359,Input!$D$249:$I$253,6,FALSE),"")</f>
        <v>1.4999999999999999E-2</v>
      </c>
      <c r="G359" s="62">
        <f t="shared" si="5"/>
        <v>9.3539999999999998E-2</v>
      </c>
    </row>
    <row r="360" spans="1:7" x14ac:dyDescent="0.25">
      <c r="A360" s="3" t="s">
        <v>68</v>
      </c>
      <c r="B360" s="3" t="s">
        <v>8</v>
      </c>
      <c r="C360" s="3">
        <v>2035</v>
      </c>
      <c r="D360" s="61">
        <f>INDEX(Input!$I$221:$AI$235,MATCH(A360&amp;B360,Input!$H$221:$H$239,0),MATCH(C360,Input!$I$220:$AI$220,0))</f>
        <v>7.8E-2</v>
      </c>
      <c r="E360" s="62">
        <f>IFERROR(VLOOKUP(A360,Input!$D$241:$I$245,6,FALSE),"")</f>
        <v>5.4000000000000001E-4</v>
      </c>
      <c r="F360" s="62">
        <f>IFERROR(VLOOKUP(A360,Input!$D$249:$I$253,6,FALSE),"")</f>
        <v>1.4999999999999999E-2</v>
      </c>
      <c r="G360" s="62">
        <f t="shared" si="5"/>
        <v>9.3539999999999998E-2</v>
      </c>
    </row>
    <row r="361" spans="1:7" x14ac:dyDescent="0.25">
      <c r="A361" s="3" t="s">
        <v>68</v>
      </c>
      <c r="B361" s="3" t="s">
        <v>8</v>
      </c>
      <c r="C361" s="3">
        <v>2036</v>
      </c>
      <c r="D361" s="61">
        <f>INDEX(Input!$I$221:$AI$235,MATCH(A361&amp;B361,Input!$H$221:$H$239,0),MATCH(C361,Input!$I$220:$AI$220,0))</f>
        <v>7.8E-2</v>
      </c>
      <c r="E361" s="62">
        <f>IFERROR(VLOOKUP(A361,Input!$D$241:$I$245,6,FALSE),"")</f>
        <v>5.4000000000000001E-4</v>
      </c>
      <c r="F361" s="62">
        <f>IFERROR(VLOOKUP(A361,Input!$D$249:$I$253,6,FALSE),"")</f>
        <v>1.4999999999999999E-2</v>
      </c>
      <c r="G361" s="62">
        <f t="shared" si="5"/>
        <v>9.3539999999999998E-2</v>
      </c>
    </row>
    <row r="362" spans="1:7" x14ac:dyDescent="0.25">
      <c r="A362" s="3" t="s">
        <v>68</v>
      </c>
      <c r="B362" s="3" t="s">
        <v>8</v>
      </c>
      <c r="C362" s="3">
        <v>2037</v>
      </c>
      <c r="D362" s="61">
        <f>INDEX(Input!$I$221:$AI$235,MATCH(A362&amp;B362,Input!$H$221:$H$239,0),MATCH(C362,Input!$I$220:$AI$220,0))</f>
        <v>7.8E-2</v>
      </c>
      <c r="E362" s="62">
        <f>IFERROR(VLOOKUP(A362,Input!$D$241:$I$245,6,FALSE),"")</f>
        <v>5.4000000000000001E-4</v>
      </c>
      <c r="F362" s="62">
        <f>IFERROR(VLOOKUP(A362,Input!$D$249:$I$253,6,FALSE),"")</f>
        <v>1.4999999999999999E-2</v>
      </c>
      <c r="G362" s="62">
        <f t="shared" si="5"/>
        <v>9.3539999999999998E-2</v>
      </c>
    </row>
    <row r="363" spans="1:7" x14ac:dyDescent="0.25">
      <c r="A363" s="3" t="s">
        <v>68</v>
      </c>
      <c r="B363" s="3" t="s">
        <v>8</v>
      </c>
      <c r="C363" s="3">
        <v>2038</v>
      </c>
      <c r="D363" s="61">
        <f>INDEX(Input!$I$221:$AI$235,MATCH(A363&amp;B363,Input!$H$221:$H$239,0),MATCH(C363,Input!$I$220:$AI$220,0))</f>
        <v>7.8E-2</v>
      </c>
      <c r="E363" s="62">
        <f>IFERROR(VLOOKUP(A363,Input!$D$241:$I$245,6,FALSE),"")</f>
        <v>5.4000000000000001E-4</v>
      </c>
      <c r="F363" s="62">
        <f>IFERROR(VLOOKUP(A363,Input!$D$249:$I$253,6,FALSE),"")</f>
        <v>1.4999999999999999E-2</v>
      </c>
      <c r="G363" s="62">
        <f t="shared" si="5"/>
        <v>9.3539999999999998E-2</v>
      </c>
    </row>
    <row r="364" spans="1:7" x14ac:dyDescent="0.25">
      <c r="A364" s="3" t="s">
        <v>68</v>
      </c>
      <c r="B364" s="3" t="s">
        <v>8</v>
      </c>
      <c r="C364" s="3">
        <v>2039</v>
      </c>
      <c r="D364" s="61">
        <f>INDEX(Input!$I$221:$AI$235,MATCH(A364&amp;B364,Input!$H$221:$H$239,0),MATCH(C364,Input!$I$220:$AI$220,0))</f>
        <v>7.8E-2</v>
      </c>
      <c r="E364" s="62">
        <f>IFERROR(VLOOKUP(A364,Input!$D$241:$I$245,6,FALSE),"")</f>
        <v>5.4000000000000001E-4</v>
      </c>
      <c r="F364" s="62">
        <f>IFERROR(VLOOKUP(A364,Input!$D$249:$I$253,6,FALSE),"")</f>
        <v>1.4999999999999999E-2</v>
      </c>
      <c r="G364" s="62">
        <f t="shared" si="5"/>
        <v>9.3539999999999998E-2</v>
      </c>
    </row>
    <row r="365" spans="1:7" x14ac:dyDescent="0.25">
      <c r="A365" s="3" t="s">
        <v>68</v>
      </c>
      <c r="B365" s="3" t="s">
        <v>8</v>
      </c>
      <c r="C365" s="3">
        <v>2040</v>
      </c>
      <c r="D365" s="61">
        <f>INDEX(Input!$I$221:$AI$235,MATCH(A365&amp;B365,Input!$H$221:$H$239,0),MATCH(C365,Input!$I$220:$AI$220,0))</f>
        <v>7.8E-2</v>
      </c>
      <c r="E365" s="62">
        <f>IFERROR(VLOOKUP(A365,Input!$D$241:$I$245,6,FALSE),"")</f>
        <v>5.4000000000000001E-4</v>
      </c>
      <c r="F365" s="62">
        <f>IFERROR(VLOOKUP(A365,Input!$D$249:$I$253,6,FALSE),"")</f>
        <v>1.4999999999999999E-2</v>
      </c>
      <c r="G365" s="62">
        <f t="shared" si="5"/>
        <v>9.3539999999999998E-2</v>
      </c>
    </row>
    <row r="366" spans="1:7" x14ac:dyDescent="0.25">
      <c r="A366" s="3" t="s">
        <v>68</v>
      </c>
      <c r="B366" s="3" t="s">
        <v>8</v>
      </c>
      <c r="C366" s="3">
        <v>2041</v>
      </c>
      <c r="D366" s="61">
        <f>INDEX(Input!$I$221:$AI$235,MATCH(A366&amp;B366,Input!$H$221:$H$239,0),MATCH(C366,Input!$I$220:$AI$220,0))</f>
        <v>7.8E-2</v>
      </c>
      <c r="E366" s="62">
        <f>IFERROR(VLOOKUP(A366,Input!$D$241:$I$245,6,FALSE),"")</f>
        <v>5.4000000000000001E-4</v>
      </c>
      <c r="F366" s="62">
        <f>IFERROR(VLOOKUP(A366,Input!$D$249:$I$253,6,FALSE),"")</f>
        <v>1.4999999999999999E-2</v>
      </c>
      <c r="G366" s="62">
        <f t="shared" si="5"/>
        <v>9.3539999999999998E-2</v>
      </c>
    </row>
    <row r="367" spans="1:7" x14ac:dyDescent="0.25">
      <c r="A367" s="3" t="s">
        <v>68</v>
      </c>
      <c r="B367" s="3" t="s">
        <v>8</v>
      </c>
      <c r="C367" s="3">
        <v>2042</v>
      </c>
      <c r="D367" s="61">
        <f>INDEX(Input!$I$221:$AI$235,MATCH(A367&amp;B367,Input!$H$221:$H$239,0),MATCH(C367,Input!$I$220:$AI$220,0))</f>
        <v>7.8E-2</v>
      </c>
      <c r="E367" s="62">
        <f>IFERROR(VLOOKUP(A367,Input!$D$241:$I$245,6,FALSE),"")</f>
        <v>5.4000000000000001E-4</v>
      </c>
      <c r="F367" s="62">
        <f>IFERROR(VLOOKUP(A367,Input!$D$249:$I$253,6,FALSE),"")</f>
        <v>1.4999999999999999E-2</v>
      </c>
      <c r="G367" s="62">
        <f t="shared" si="5"/>
        <v>9.3539999999999998E-2</v>
      </c>
    </row>
    <row r="368" spans="1:7" x14ac:dyDescent="0.25">
      <c r="A368" s="3" t="s">
        <v>68</v>
      </c>
      <c r="B368" s="3" t="s">
        <v>8</v>
      </c>
      <c r="C368" s="3">
        <v>2043</v>
      </c>
      <c r="D368" s="61">
        <f>INDEX(Input!$I$221:$AI$235,MATCH(A368&amp;B368,Input!$H$221:$H$239,0),MATCH(C368,Input!$I$220:$AI$220,0))</f>
        <v>7.8E-2</v>
      </c>
      <c r="E368" s="62">
        <f>IFERROR(VLOOKUP(A368,Input!$D$241:$I$245,6,FALSE),"")</f>
        <v>5.4000000000000001E-4</v>
      </c>
      <c r="F368" s="62">
        <f>IFERROR(VLOOKUP(A368,Input!$D$249:$I$253,6,FALSE),"")</f>
        <v>1.4999999999999999E-2</v>
      </c>
      <c r="G368" s="62">
        <f t="shared" si="5"/>
        <v>9.3539999999999998E-2</v>
      </c>
    </row>
    <row r="369" spans="1:7" x14ac:dyDescent="0.25">
      <c r="A369" s="3" t="s">
        <v>68</v>
      </c>
      <c r="B369" s="3" t="s">
        <v>8</v>
      </c>
      <c r="C369" s="3">
        <v>2044</v>
      </c>
      <c r="D369" s="61">
        <f>INDEX(Input!$I$221:$AI$235,MATCH(A369&amp;B369,Input!$H$221:$H$239,0),MATCH(C369,Input!$I$220:$AI$220,0))</f>
        <v>7.8E-2</v>
      </c>
      <c r="E369" s="62">
        <f>IFERROR(VLOOKUP(A369,Input!$D$241:$I$245,6,FALSE),"")</f>
        <v>5.4000000000000001E-4</v>
      </c>
      <c r="F369" s="62">
        <f>IFERROR(VLOOKUP(A369,Input!$D$249:$I$253,6,FALSE),"")</f>
        <v>1.4999999999999999E-2</v>
      </c>
      <c r="G369" s="62">
        <f t="shared" si="5"/>
        <v>9.3539999999999998E-2</v>
      </c>
    </row>
    <row r="370" spans="1:7" x14ac:dyDescent="0.25">
      <c r="A370" s="3" t="s">
        <v>68</v>
      </c>
      <c r="B370" s="3" t="s">
        <v>8</v>
      </c>
      <c r="C370" s="3">
        <v>2045</v>
      </c>
      <c r="D370" s="61">
        <f>INDEX(Input!$I$221:$AI$235,MATCH(A370&amp;B370,Input!$H$221:$H$239,0),MATCH(C370,Input!$I$220:$AI$220,0))</f>
        <v>7.8E-2</v>
      </c>
      <c r="E370" s="62">
        <f>IFERROR(VLOOKUP(A370,Input!$D$241:$I$245,6,FALSE),"")</f>
        <v>5.4000000000000001E-4</v>
      </c>
      <c r="F370" s="62">
        <f>IFERROR(VLOOKUP(A370,Input!$D$249:$I$253,6,FALSE),"")</f>
        <v>1.4999999999999999E-2</v>
      </c>
      <c r="G370" s="62">
        <f t="shared" si="5"/>
        <v>9.3539999999999998E-2</v>
      </c>
    </row>
    <row r="371" spans="1:7" x14ac:dyDescent="0.25">
      <c r="A371" s="3" t="s">
        <v>68</v>
      </c>
      <c r="B371" s="3" t="s">
        <v>8</v>
      </c>
      <c r="C371" s="3">
        <v>2046</v>
      </c>
      <c r="D371" s="61">
        <f>INDEX(Input!$I$221:$AI$235,MATCH(A371&amp;B371,Input!$H$221:$H$239,0),MATCH(C371,Input!$I$220:$AI$220,0))</f>
        <v>7.8E-2</v>
      </c>
      <c r="E371" s="62">
        <f>IFERROR(VLOOKUP(A371,Input!$D$241:$I$245,6,FALSE),"")</f>
        <v>5.4000000000000001E-4</v>
      </c>
      <c r="F371" s="62">
        <f>IFERROR(VLOOKUP(A371,Input!$D$249:$I$253,6,FALSE),"")</f>
        <v>1.4999999999999999E-2</v>
      </c>
      <c r="G371" s="62">
        <f t="shared" si="5"/>
        <v>9.3539999999999998E-2</v>
      </c>
    </row>
    <row r="372" spans="1:7" x14ac:dyDescent="0.25">
      <c r="A372" s="3" t="s">
        <v>68</v>
      </c>
      <c r="B372" s="3" t="s">
        <v>8</v>
      </c>
      <c r="C372" s="3">
        <v>2047</v>
      </c>
      <c r="D372" s="61">
        <f>INDEX(Input!$I$221:$AI$235,MATCH(A372&amp;B372,Input!$H$221:$H$239,0),MATCH(C372,Input!$I$220:$AI$220,0))</f>
        <v>7.8E-2</v>
      </c>
      <c r="E372" s="62">
        <f>IFERROR(VLOOKUP(A372,Input!$D$241:$I$245,6,FALSE),"")</f>
        <v>5.4000000000000001E-4</v>
      </c>
      <c r="F372" s="62">
        <f>IFERROR(VLOOKUP(A372,Input!$D$249:$I$253,6,FALSE),"")</f>
        <v>1.4999999999999999E-2</v>
      </c>
      <c r="G372" s="62">
        <f t="shared" si="5"/>
        <v>9.3539999999999998E-2</v>
      </c>
    </row>
    <row r="373" spans="1:7" x14ac:dyDescent="0.25">
      <c r="A373" s="3" t="s">
        <v>68</v>
      </c>
      <c r="B373" s="3" t="s">
        <v>8</v>
      </c>
      <c r="C373" s="3">
        <v>2048</v>
      </c>
      <c r="D373" s="61">
        <f>INDEX(Input!$I$221:$AI$235,MATCH(A373&amp;B373,Input!$H$221:$H$239,0),MATCH(C373,Input!$I$220:$AI$220,0))</f>
        <v>7.8E-2</v>
      </c>
      <c r="E373" s="62">
        <f>IFERROR(VLOOKUP(A373,Input!$D$241:$I$245,6,FALSE),"")</f>
        <v>5.4000000000000001E-4</v>
      </c>
      <c r="F373" s="62">
        <f>IFERROR(VLOOKUP(A373,Input!$D$249:$I$253,6,FALSE),"")</f>
        <v>1.4999999999999999E-2</v>
      </c>
      <c r="G373" s="62">
        <f t="shared" si="5"/>
        <v>9.3539999999999998E-2</v>
      </c>
    </row>
    <row r="374" spans="1:7" x14ac:dyDescent="0.25">
      <c r="A374" s="3" t="s">
        <v>68</v>
      </c>
      <c r="B374" s="3" t="s">
        <v>8</v>
      </c>
      <c r="C374" s="3">
        <v>2049</v>
      </c>
      <c r="D374" s="61">
        <f>INDEX(Input!$I$221:$AI$235,MATCH(A374&amp;B374,Input!$H$221:$H$239,0),MATCH(C374,Input!$I$220:$AI$220,0))</f>
        <v>7.8E-2</v>
      </c>
      <c r="E374" s="62">
        <f>IFERROR(VLOOKUP(A374,Input!$D$241:$I$245,6,FALSE),"")</f>
        <v>5.4000000000000001E-4</v>
      </c>
      <c r="F374" s="62">
        <f>IFERROR(VLOOKUP(A374,Input!$D$249:$I$253,6,FALSE),"")</f>
        <v>1.4999999999999999E-2</v>
      </c>
      <c r="G374" s="62">
        <f t="shared" si="5"/>
        <v>9.3539999999999998E-2</v>
      </c>
    </row>
    <row r="375" spans="1:7" x14ac:dyDescent="0.25">
      <c r="A375" s="3" t="s">
        <v>68</v>
      </c>
      <c r="B375" s="3" t="s">
        <v>8</v>
      </c>
      <c r="C375" s="3">
        <v>2050</v>
      </c>
      <c r="D375" s="61">
        <f>INDEX(Input!$I$221:$AI$235,MATCH(A375&amp;B375,Input!$H$221:$H$239,0),MATCH(C375,Input!$I$220:$AI$220,0))</f>
        <v>7.8E-2</v>
      </c>
      <c r="E375" s="62">
        <f>IFERROR(VLOOKUP(A375,Input!$D$241:$I$245,6,FALSE),"")</f>
        <v>5.4000000000000001E-4</v>
      </c>
      <c r="F375" s="62">
        <f>IFERROR(VLOOKUP(A375,Input!$D$249:$I$253,6,FALSE),"")</f>
        <v>1.4999999999999999E-2</v>
      </c>
      <c r="G375" s="62">
        <f t="shared" si="5"/>
        <v>9.3539999999999998E-2</v>
      </c>
    </row>
    <row r="376" spans="1:7" x14ac:dyDescent="0.25">
      <c r="A376" s="3" t="s">
        <v>68</v>
      </c>
      <c r="B376" s="3" t="s">
        <v>66</v>
      </c>
      <c r="C376" s="3">
        <v>2024</v>
      </c>
      <c r="D376" s="61">
        <f>INDEX(Input!$I$221:$AI$235,MATCH(A376&amp;B376,Input!$H$221:$H$239,0),MATCH(C376,Input!$I$220:$AI$220,0))</f>
        <v>7.8E-2</v>
      </c>
      <c r="E376" s="62">
        <f>IFERROR(VLOOKUP(A376,Input!$D$241:$I$245,6,FALSE),"")</f>
        <v>5.4000000000000001E-4</v>
      </c>
      <c r="F376" s="62">
        <f>IFERROR(VLOOKUP(A376,Input!$D$249:$I$253,6,FALSE),"")</f>
        <v>1.4999999999999999E-2</v>
      </c>
      <c r="G376" s="62">
        <f t="shared" si="5"/>
        <v>9.3539999999999998E-2</v>
      </c>
    </row>
    <row r="377" spans="1:7" x14ac:dyDescent="0.25">
      <c r="A377" s="3" t="s">
        <v>68</v>
      </c>
      <c r="B377" s="3" t="s">
        <v>66</v>
      </c>
      <c r="C377" s="3">
        <v>2025</v>
      </c>
      <c r="D377" s="61">
        <f>INDEX(Input!$I$221:$AI$235,MATCH(A377&amp;B377,Input!$H$221:$H$239,0),MATCH(C377,Input!$I$220:$AI$220,0))</f>
        <v>7.3499999999999996E-2</v>
      </c>
      <c r="E377" s="62">
        <f>IFERROR(VLOOKUP(A377,Input!$D$241:$I$245,6,FALSE),"")</f>
        <v>5.4000000000000001E-4</v>
      </c>
      <c r="F377" s="62">
        <f>IFERROR(VLOOKUP(A377,Input!$D$249:$I$253,6,FALSE),"")</f>
        <v>1.4999999999999999E-2</v>
      </c>
      <c r="G377" s="62">
        <f t="shared" si="5"/>
        <v>8.9039999999999994E-2</v>
      </c>
    </row>
    <row r="378" spans="1:7" x14ac:dyDescent="0.25">
      <c r="A378" s="3" t="s">
        <v>68</v>
      </c>
      <c r="B378" s="3" t="s">
        <v>66</v>
      </c>
      <c r="C378" s="3">
        <v>2026</v>
      </c>
      <c r="D378" s="61">
        <f>INDEX(Input!$I$221:$AI$235,MATCH(A378&amp;B378,Input!$H$221:$H$239,0),MATCH(C378,Input!$I$220:$AI$220,0))</f>
        <v>6.9000000000000006E-2</v>
      </c>
      <c r="E378" s="62">
        <f>IFERROR(VLOOKUP(A378,Input!$D$241:$I$245,6,FALSE),"")</f>
        <v>5.4000000000000001E-4</v>
      </c>
      <c r="F378" s="62">
        <f>IFERROR(VLOOKUP(A378,Input!$D$249:$I$253,6,FALSE),"")</f>
        <v>1.4999999999999999E-2</v>
      </c>
      <c r="G378" s="62">
        <f t="shared" si="5"/>
        <v>8.4540000000000004E-2</v>
      </c>
    </row>
    <row r="379" spans="1:7" x14ac:dyDescent="0.25">
      <c r="A379" s="3" t="s">
        <v>68</v>
      </c>
      <c r="B379" s="3" t="s">
        <v>66</v>
      </c>
      <c r="C379" s="3">
        <v>2027</v>
      </c>
      <c r="D379" s="61">
        <f>INDEX(Input!$I$221:$AI$235,MATCH(A379&amp;B379,Input!$H$221:$H$239,0),MATCH(C379,Input!$I$220:$AI$220,0))</f>
        <v>6.4500000000000002E-2</v>
      </c>
      <c r="E379" s="62">
        <f>IFERROR(VLOOKUP(A379,Input!$D$241:$I$245,6,FALSE),"")</f>
        <v>5.4000000000000001E-4</v>
      </c>
      <c r="F379" s="62">
        <f>IFERROR(VLOOKUP(A379,Input!$D$249:$I$253,6,FALSE),"")</f>
        <v>1.4999999999999999E-2</v>
      </c>
      <c r="G379" s="62">
        <f t="shared" si="5"/>
        <v>8.004E-2</v>
      </c>
    </row>
    <row r="380" spans="1:7" x14ac:dyDescent="0.25">
      <c r="A380" s="3" t="s">
        <v>68</v>
      </c>
      <c r="B380" s="3" t="s">
        <v>66</v>
      </c>
      <c r="C380" s="3">
        <v>2028</v>
      </c>
      <c r="D380" s="61">
        <f>INDEX(Input!$I$221:$AI$235,MATCH(A380&amp;B380,Input!$H$221:$H$239,0),MATCH(C380,Input!$I$220:$AI$220,0))</f>
        <v>0.06</v>
      </c>
      <c r="E380" s="62">
        <f>IFERROR(VLOOKUP(A380,Input!$D$241:$I$245,6,FALSE),"")</f>
        <v>5.4000000000000001E-4</v>
      </c>
      <c r="F380" s="62">
        <f>IFERROR(VLOOKUP(A380,Input!$D$249:$I$253,6,FALSE),"")</f>
        <v>1.4999999999999999E-2</v>
      </c>
      <c r="G380" s="62">
        <f t="shared" si="5"/>
        <v>7.5539999999999996E-2</v>
      </c>
    </row>
    <row r="381" spans="1:7" x14ac:dyDescent="0.25">
      <c r="A381" s="3" t="s">
        <v>68</v>
      </c>
      <c r="B381" s="3" t="s">
        <v>66</v>
      </c>
      <c r="C381" s="3">
        <v>2029</v>
      </c>
      <c r="D381" s="61">
        <f>INDEX(Input!$I$221:$AI$235,MATCH(A381&amp;B381,Input!$H$221:$H$239,0),MATCH(C381,Input!$I$220:$AI$220,0))</f>
        <v>5.5500000000000001E-2</v>
      </c>
      <c r="E381" s="62">
        <f>IFERROR(VLOOKUP(A381,Input!$D$241:$I$245,6,FALSE),"")</f>
        <v>5.4000000000000001E-4</v>
      </c>
      <c r="F381" s="62">
        <f>IFERROR(VLOOKUP(A381,Input!$D$249:$I$253,6,FALSE),"")</f>
        <v>1.4999999999999999E-2</v>
      </c>
      <c r="G381" s="62">
        <f t="shared" si="5"/>
        <v>7.1039999999999992E-2</v>
      </c>
    </row>
    <row r="382" spans="1:7" x14ac:dyDescent="0.25">
      <c r="A382" s="3" t="s">
        <v>68</v>
      </c>
      <c r="B382" s="3" t="s">
        <v>66</v>
      </c>
      <c r="C382" s="3">
        <v>2030</v>
      </c>
      <c r="D382" s="61">
        <f>INDEX(Input!$I$221:$AI$235,MATCH(A382&amp;B382,Input!$H$221:$H$239,0),MATCH(C382,Input!$I$220:$AI$220,0))</f>
        <v>5.0999999999999997E-2</v>
      </c>
      <c r="E382" s="62">
        <f>IFERROR(VLOOKUP(A382,Input!$D$241:$I$245,6,FALSE),"")</f>
        <v>5.4000000000000001E-4</v>
      </c>
      <c r="F382" s="62">
        <f>IFERROR(VLOOKUP(A382,Input!$D$249:$I$253,6,FALSE),"")</f>
        <v>1.4999999999999999E-2</v>
      </c>
      <c r="G382" s="62">
        <f t="shared" si="5"/>
        <v>6.6539999999999988E-2</v>
      </c>
    </row>
    <row r="383" spans="1:7" x14ac:dyDescent="0.25">
      <c r="A383" s="3" t="s">
        <v>68</v>
      </c>
      <c r="B383" s="3" t="s">
        <v>66</v>
      </c>
      <c r="C383" s="3">
        <v>2031</v>
      </c>
      <c r="D383" s="61">
        <f>INDEX(Input!$I$221:$AI$235,MATCH(A383&amp;B383,Input!$H$221:$H$239,0),MATCH(C383,Input!$I$220:$AI$220,0))</f>
        <v>5.0999999999999997E-2</v>
      </c>
      <c r="E383" s="62">
        <f>IFERROR(VLOOKUP(A383,Input!$D$241:$I$245,6,FALSE),"")</f>
        <v>5.4000000000000001E-4</v>
      </c>
      <c r="F383" s="62">
        <f>IFERROR(VLOOKUP(A383,Input!$D$249:$I$253,6,FALSE),"")</f>
        <v>1.4999999999999999E-2</v>
      </c>
      <c r="G383" s="62">
        <f t="shared" si="5"/>
        <v>6.6539999999999988E-2</v>
      </c>
    </row>
    <row r="384" spans="1:7" x14ac:dyDescent="0.25">
      <c r="A384" s="3" t="s">
        <v>68</v>
      </c>
      <c r="B384" s="3" t="s">
        <v>66</v>
      </c>
      <c r="C384" s="3">
        <v>2032</v>
      </c>
      <c r="D384" s="61">
        <f>INDEX(Input!$I$221:$AI$235,MATCH(A384&amp;B384,Input!$H$221:$H$239,0),MATCH(C384,Input!$I$220:$AI$220,0))</f>
        <v>5.0999999999999997E-2</v>
      </c>
      <c r="E384" s="62">
        <f>IFERROR(VLOOKUP(A384,Input!$D$241:$I$245,6,FALSE),"")</f>
        <v>5.4000000000000001E-4</v>
      </c>
      <c r="F384" s="62">
        <f>IFERROR(VLOOKUP(A384,Input!$D$249:$I$253,6,FALSE),"")</f>
        <v>1.4999999999999999E-2</v>
      </c>
      <c r="G384" s="62">
        <f t="shared" si="5"/>
        <v>6.6539999999999988E-2</v>
      </c>
    </row>
    <row r="385" spans="1:7" x14ac:dyDescent="0.25">
      <c r="A385" s="3" t="s">
        <v>68</v>
      </c>
      <c r="B385" s="3" t="s">
        <v>66</v>
      </c>
      <c r="C385" s="3">
        <v>2033</v>
      </c>
      <c r="D385" s="61">
        <f>INDEX(Input!$I$221:$AI$235,MATCH(A385&amp;B385,Input!$H$221:$H$239,0),MATCH(C385,Input!$I$220:$AI$220,0))</f>
        <v>5.0999999999999997E-2</v>
      </c>
      <c r="E385" s="62">
        <f>IFERROR(VLOOKUP(A385,Input!$D$241:$I$245,6,FALSE),"")</f>
        <v>5.4000000000000001E-4</v>
      </c>
      <c r="F385" s="62">
        <f>IFERROR(VLOOKUP(A385,Input!$D$249:$I$253,6,FALSE),"")</f>
        <v>1.4999999999999999E-2</v>
      </c>
      <c r="G385" s="62">
        <f t="shared" si="5"/>
        <v>6.6539999999999988E-2</v>
      </c>
    </row>
    <row r="386" spans="1:7" x14ac:dyDescent="0.25">
      <c r="A386" s="3" t="s">
        <v>68</v>
      </c>
      <c r="B386" s="3" t="s">
        <v>66</v>
      </c>
      <c r="C386" s="3">
        <v>2034</v>
      </c>
      <c r="D386" s="61">
        <f>INDEX(Input!$I$221:$AI$235,MATCH(A386&amp;B386,Input!$H$221:$H$239,0),MATCH(C386,Input!$I$220:$AI$220,0))</f>
        <v>5.0999999999999997E-2</v>
      </c>
      <c r="E386" s="62">
        <f>IFERROR(VLOOKUP(A386,Input!$D$241:$I$245,6,FALSE),"")</f>
        <v>5.4000000000000001E-4</v>
      </c>
      <c r="F386" s="62">
        <f>IFERROR(VLOOKUP(A386,Input!$D$249:$I$253,6,FALSE),"")</f>
        <v>1.4999999999999999E-2</v>
      </c>
      <c r="G386" s="62">
        <f t="shared" si="5"/>
        <v>6.6539999999999988E-2</v>
      </c>
    </row>
    <row r="387" spans="1:7" x14ac:dyDescent="0.25">
      <c r="A387" s="3" t="s">
        <v>68</v>
      </c>
      <c r="B387" s="3" t="s">
        <v>66</v>
      </c>
      <c r="C387" s="3">
        <v>2035</v>
      </c>
      <c r="D387" s="61">
        <f>INDEX(Input!$I$221:$AI$235,MATCH(A387&amp;B387,Input!$H$221:$H$239,0),MATCH(C387,Input!$I$220:$AI$220,0))</f>
        <v>5.0999999999999997E-2</v>
      </c>
      <c r="E387" s="62">
        <f>IFERROR(VLOOKUP(A387,Input!$D$241:$I$245,6,FALSE),"")</f>
        <v>5.4000000000000001E-4</v>
      </c>
      <c r="F387" s="62">
        <f>IFERROR(VLOOKUP(A387,Input!$D$249:$I$253,6,FALSE),"")</f>
        <v>1.4999999999999999E-2</v>
      </c>
      <c r="G387" s="62">
        <f t="shared" ref="G387:G450" si="6">IFERROR(D387+E387+F387,"")</f>
        <v>6.6539999999999988E-2</v>
      </c>
    </row>
    <row r="388" spans="1:7" x14ac:dyDescent="0.25">
      <c r="A388" s="3" t="s">
        <v>68</v>
      </c>
      <c r="B388" s="3" t="s">
        <v>66</v>
      </c>
      <c r="C388" s="3">
        <v>2036</v>
      </c>
      <c r="D388" s="61">
        <f>INDEX(Input!$I$221:$AI$235,MATCH(A388&amp;B388,Input!$H$221:$H$239,0),MATCH(C388,Input!$I$220:$AI$220,0))</f>
        <v>5.0999999999999997E-2</v>
      </c>
      <c r="E388" s="62">
        <f>IFERROR(VLOOKUP(A388,Input!$D$241:$I$245,6,FALSE),"")</f>
        <v>5.4000000000000001E-4</v>
      </c>
      <c r="F388" s="62">
        <f>IFERROR(VLOOKUP(A388,Input!$D$249:$I$253,6,FALSE),"")</f>
        <v>1.4999999999999999E-2</v>
      </c>
      <c r="G388" s="62">
        <f t="shared" si="6"/>
        <v>6.6539999999999988E-2</v>
      </c>
    </row>
    <row r="389" spans="1:7" x14ac:dyDescent="0.25">
      <c r="A389" s="3" t="s">
        <v>68</v>
      </c>
      <c r="B389" s="3" t="s">
        <v>66</v>
      </c>
      <c r="C389" s="3">
        <v>2037</v>
      </c>
      <c r="D389" s="61">
        <f>INDEX(Input!$I$221:$AI$235,MATCH(A389&amp;B389,Input!$H$221:$H$239,0),MATCH(C389,Input!$I$220:$AI$220,0))</f>
        <v>5.0999999999999997E-2</v>
      </c>
      <c r="E389" s="62">
        <f>IFERROR(VLOOKUP(A389,Input!$D$241:$I$245,6,FALSE),"")</f>
        <v>5.4000000000000001E-4</v>
      </c>
      <c r="F389" s="62">
        <f>IFERROR(VLOOKUP(A389,Input!$D$249:$I$253,6,FALSE),"")</f>
        <v>1.4999999999999999E-2</v>
      </c>
      <c r="G389" s="62">
        <f t="shared" si="6"/>
        <v>6.6539999999999988E-2</v>
      </c>
    </row>
    <row r="390" spans="1:7" x14ac:dyDescent="0.25">
      <c r="A390" s="3" t="s">
        <v>68</v>
      </c>
      <c r="B390" s="3" t="s">
        <v>66</v>
      </c>
      <c r="C390" s="3">
        <v>2038</v>
      </c>
      <c r="D390" s="61">
        <f>INDEX(Input!$I$221:$AI$235,MATCH(A390&amp;B390,Input!$H$221:$H$239,0),MATCH(C390,Input!$I$220:$AI$220,0))</f>
        <v>5.0999999999999997E-2</v>
      </c>
      <c r="E390" s="62">
        <f>IFERROR(VLOOKUP(A390,Input!$D$241:$I$245,6,FALSE),"")</f>
        <v>5.4000000000000001E-4</v>
      </c>
      <c r="F390" s="62">
        <f>IFERROR(VLOOKUP(A390,Input!$D$249:$I$253,6,FALSE),"")</f>
        <v>1.4999999999999999E-2</v>
      </c>
      <c r="G390" s="62">
        <f t="shared" si="6"/>
        <v>6.6539999999999988E-2</v>
      </c>
    </row>
    <row r="391" spans="1:7" x14ac:dyDescent="0.25">
      <c r="A391" s="3" t="s">
        <v>68</v>
      </c>
      <c r="B391" s="3" t="s">
        <v>66</v>
      </c>
      <c r="C391" s="3">
        <v>2039</v>
      </c>
      <c r="D391" s="61">
        <f>INDEX(Input!$I$221:$AI$235,MATCH(A391&amp;B391,Input!$H$221:$H$239,0),MATCH(C391,Input!$I$220:$AI$220,0))</f>
        <v>5.0999999999999997E-2</v>
      </c>
      <c r="E391" s="62">
        <f>IFERROR(VLOOKUP(A391,Input!$D$241:$I$245,6,FALSE),"")</f>
        <v>5.4000000000000001E-4</v>
      </c>
      <c r="F391" s="62">
        <f>IFERROR(VLOOKUP(A391,Input!$D$249:$I$253,6,FALSE),"")</f>
        <v>1.4999999999999999E-2</v>
      </c>
      <c r="G391" s="62">
        <f t="shared" si="6"/>
        <v>6.6539999999999988E-2</v>
      </c>
    </row>
    <row r="392" spans="1:7" x14ac:dyDescent="0.25">
      <c r="A392" s="3" t="s">
        <v>68</v>
      </c>
      <c r="B392" s="3" t="s">
        <v>66</v>
      </c>
      <c r="C392" s="3">
        <v>2040</v>
      </c>
      <c r="D392" s="61">
        <f>INDEX(Input!$I$221:$AI$235,MATCH(A392&amp;B392,Input!$H$221:$H$239,0),MATCH(C392,Input!$I$220:$AI$220,0))</f>
        <v>5.0999999999999997E-2</v>
      </c>
      <c r="E392" s="62">
        <f>IFERROR(VLOOKUP(A392,Input!$D$241:$I$245,6,FALSE),"")</f>
        <v>5.4000000000000001E-4</v>
      </c>
      <c r="F392" s="62">
        <f>IFERROR(VLOOKUP(A392,Input!$D$249:$I$253,6,FALSE),"")</f>
        <v>1.4999999999999999E-2</v>
      </c>
      <c r="G392" s="62">
        <f t="shared" si="6"/>
        <v>6.6539999999999988E-2</v>
      </c>
    </row>
    <row r="393" spans="1:7" x14ac:dyDescent="0.25">
      <c r="A393" s="3" t="s">
        <v>68</v>
      </c>
      <c r="B393" s="3" t="s">
        <v>66</v>
      </c>
      <c r="C393" s="3">
        <v>2041</v>
      </c>
      <c r="D393" s="61">
        <f>INDEX(Input!$I$221:$AI$235,MATCH(A393&amp;B393,Input!$H$221:$H$239,0),MATCH(C393,Input!$I$220:$AI$220,0))</f>
        <v>5.0999999999999997E-2</v>
      </c>
      <c r="E393" s="62">
        <f>IFERROR(VLOOKUP(A393,Input!$D$241:$I$245,6,FALSE),"")</f>
        <v>5.4000000000000001E-4</v>
      </c>
      <c r="F393" s="62">
        <f>IFERROR(VLOOKUP(A393,Input!$D$249:$I$253,6,FALSE),"")</f>
        <v>1.4999999999999999E-2</v>
      </c>
      <c r="G393" s="62">
        <f t="shared" si="6"/>
        <v>6.6539999999999988E-2</v>
      </c>
    </row>
    <row r="394" spans="1:7" x14ac:dyDescent="0.25">
      <c r="A394" s="3" t="s">
        <v>68</v>
      </c>
      <c r="B394" s="3" t="s">
        <v>66</v>
      </c>
      <c r="C394" s="3">
        <v>2042</v>
      </c>
      <c r="D394" s="61">
        <f>INDEX(Input!$I$221:$AI$235,MATCH(A394&amp;B394,Input!$H$221:$H$239,0),MATCH(C394,Input!$I$220:$AI$220,0))</f>
        <v>5.0999999999999997E-2</v>
      </c>
      <c r="E394" s="62">
        <f>IFERROR(VLOOKUP(A394,Input!$D$241:$I$245,6,FALSE),"")</f>
        <v>5.4000000000000001E-4</v>
      </c>
      <c r="F394" s="62">
        <f>IFERROR(VLOOKUP(A394,Input!$D$249:$I$253,6,FALSE),"")</f>
        <v>1.4999999999999999E-2</v>
      </c>
      <c r="G394" s="62">
        <f t="shared" si="6"/>
        <v>6.6539999999999988E-2</v>
      </c>
    </row>
    <row r="395" spans="1:7" x14ac:dyDescent="0.25">
      <c r="A395" s="3" t="s">
        <v>68</v>
      </c>
      <c r="B395" s="3" t="s">
        <v>66</v>
      </c>
      <c r="C395" s="3">
        <v>2043</v>
      </c>
      <c r="D395" s="61">
        <f>INDEX(Input!$I$221:$AI$235,MATCH(A395&amp;B395,Input!$H$221:$H$239,0),MATCH(C395,Input!$I$220:$AI$220,0))</f>
        <v>5.0999999999999997E-2</v>
      </c>
      <c r="E395" s="62">
        <f>IFERROR(VLOOKUP(A395,Input!$D$241:$I$245,6,FALSE),"")</f>
        <v>5.4000000000000001E-4</v>
      </c>
      <c r="F395" s="62">
        <f>IFERROR(VLOOKUP(A395,Input!$D$249:$I$253,6,FALSE),"")</f>
        <v>1.4999999999999999E-2</v>
      </c>
      <c r="G395" s="62">
        <f t="shared" si="6"/>
        <v>6.6539999999999988E-2</v>
      </c>
    </row>
    <row r="396" spans="1:7" x14ac:dyDescent="0.25">
      <c r="A396" s="3" t="s">
        <v>68</v>
      </c>
      <c r="B396" s="3" t="s">
        <v>66</v>
      </c>
      <c r="C396" s="3">
        <v>2044</v>
      </c>
      <c r="D396" s="61">
        <f>INDEX(Input!$I$221:$AI$235,MATCH(A396&amp;B396,Input!$H$221:$H$239,0),MATCH(C396,Input!$I$220:$AI$220,0))</f>
        <v>5.0999999999999997E-2</v>
      </c>
      <c r="E396" s="62">
        <f>IFERROR(VLOOKUP(A396,Input!$D$241:$I$245,6,FALSE),"")</f>
        <v>5.4000000000000001E-4</v>
      </c>
      <c r="F396" s="62">
        <f>IFERROR(VLOOKUP(A396,Input!$D$249:$I$253,6,FALSE),"")</f>
        <v>1.4999999999999999E-2</v>
      </c>
      <c r="G396" s="62">
        <f t="shared" si="6"/>
        <v>6.6539999999999988E-2</v>
      </c>
    </row>
    <row r="397" spans="1:7" x14ac:dyDescent="0.25">
      <c r="A397" s="3" t="s">
        <v>68</v>
      </c>
      <c r="B397" s="3" t="s">
        <v>66</v>
      </c>
      <c r="C397" s="3">
        <v>2045</v>
      </c>
      <c r="D397" s="61">
        <f>INDEX(Input!$I$221:$AI$235,MATCH(A397&amp;B397,Input!$H$221:$H$239,0),MATCH(C397,Input!$I$220:$AI$220,0))</f>
        <v>5.0999999999999997E-2</v>
      </c>
      <c r="E397" s="62">
        <f>IFERROR(VLOOKUP(A397,Input!$D$241:$I$245,6,FALSE),"")</f>
        <v>5.4000000000000001E-4</v>
      </c>
      <c r="F397" s="62">
        <f>IFERROR(VLOOKUP(A397,Input!$D$249:$I$253,6,FALSE),"")</f>
        <v>1.4999999999999999E-2</v>
      </c>
      <c r="G397" s="62">
        <f t="shared" si="6"/>
        <v>6.6539999999999988E-2</v>
      </c>
    </row>
    <row r="398" spans="1:7" x14ac:dyDescent="0.25">
      <c r="A398" s="3" t="s">
        <v>68</v>
      </c>
      <c r="B398" s="3" t="s">
        <v>66</v>
      </c>
      <c r="C398" s="3">
        <v>2046</v>
      </c>
      <c r="D398" s="61">
        <f>INDEX(Input!$I$221:$AI$235,MATCH(A398&amp;B398,Input!$H$221:$H$239,0),MATCH(C398,Input!$I$220:$AI$220,0))</f>
        <v>5.0999999999999997E-2</v>
      </c>
      <c r="E398" s="62">
        <f>IFERROR(VLOOKUP(A398,Input!$D$241:$I$245,6,FALSE),"")</f>
        <v>5.4000000000000001E-4</v>
      </c>
      <c r="F398" s="62">
        <f>IFERROR(VLOOKUP(A398,Input!$D$249:$I$253,6,FALSE),"")</f>
        <v>1.4999999999999999E-2</v>
      </c>
      <c r="G398" s="62">
        <f t="shared" si="6"/>
        <v>6.6539999999999988E-2</v>
      </c>
    </row>
    <row r="399" spans="1:7" x14ac:dyDescent="0.25">
      <c r="A399" s="3" t="s">
        <v>68</v>
      </c>
      <c r="B399" s="3" t="s">
        <v>66</v>
      </c>
      <c r="C399" s="3">
        <v>2047</v>
      </c>
      <c r="D399" s="61">
        <f>INDEX(Input!$I$221:$AI$235,MATCH(A399&amp;B399,Input!$H$221:$H$239,0),MATCH(C399,Input!$I$220:$AI$220,0))</f>
        <v>5.0999999999999997E-2</v>
      </c>
      <c r="E399" s="62">
        <f>IFERROR(VLOOKUP(A399,Input!$D$241:$I$245,6,FALSE),"")</f>
        <v>5.4000000000000001E-4</v>
      </c>
      <c r="F399" s="62">
        <f>IFERROR(VLOOKUP(A399,Input!$D$249:$I$253,6,FALSE),"")</f>
        <v>1.4999999999999999E-2</v>
      </c>
      <c r="G399" s="62">
        <f t="shared" si="6"/>
        <v>6.6539999999999988E-2</v>
      </c>
    </row>
    <row r="400" spans="1:7" x14ac:dyDescent="0.25">
      <c r="A400" s="3" t="s">
        <v>68</v>
      </c>
      <c r="B400" s="3" t="s">
        <v>66</v>
      </c>
      <c r="C400" s="3">
        <v>2048</v>
      </c>
      <c r="D400" s="61">
        <f>INDEX(Input!$I$221:$AI$235,MATCH(A400&amp;B400,Input!$H$221:$H$239,0),MATCH(C400,Input!$I$220:$AI$220,0))</f>
        <v>5.0999999999999997E-2</v>
      </c>
      <c r="E400" s="62">
        <f>IFERROR(VLOOKUP(A400,Input!$D$241:$I$245,6,FALSE),"")</f>
        <v>5.4000000000000001E-4</v>
      </c>
      <c r="F400" s="62">
        <f>IFERROR(VLOOKUP(A400,Input!$D$249:$I$253,6,FALSE),"")</f>
        <v>1.4999999999999999E-2</v>
      </c>
      <c r="G400" s="62">
        <f t="shared" si="6"/>
        <v>6.6539999999999988E-2</v>
      </c>
    </row>
    <row r="401" spans="1:7" x14ac:dyDescent="0.25">
      <c r="A401" s="3" t="s">
        <v>68</v>
      </c>
      <c r="B401" s="3" t="s">
        <v>66</v>
      </c>
      <c r="C401" s="3">
        <v>2049</v>
      </c>
      <c r="D401" s="61">
        <f>INDEX(Input!$I$221:$AI$235,MATCH(A401&amp;B401,Input!$H$221:$H$239,0),MATCH(C401,Input!$I$220:$AI$220,0))</f>
        <v>5.0999999999999997E-2</v>
      </c>
      <c r="E401" s="62">
        <f>IFERROR(VLOOKUP(A401,Input!$D$241:$I$245,6,FALSE),"")</f>
        <v>5.4000000000000001E-4</v>
      </c>
      <c r="F401" s="62">
        <f>IFERROR(VLOOKUP(A401,Input!$D$249:$I$253,6,FALSE),"")</f>
        <v>1.4999999999999999E-2</v>
      </c>
      <c r="G401" s="62">
        <f t="shared" si="6"/>
        <v>6.6539999999999988E-2</v>
      </c>
    </row>
    <row r="402" spans="1:7" x14ac:dyDescent="0.25">
      <c r="A402" s="3" t="s">
        <v>68</v>
      </c>
      <c r="B402" s="3" t="s">
        <v>66</v>
      </c>
      <c r="C402" s="3">
        <v>2050</v>
      </c>
      <c r="D402" s="61">
        <f>INDEX(Input!$I$221:$AI$235,MATCH(A402&amp;B402,Input!$H$221:$H$239,0),MATCH(C402,Input!$I$220:$AI$220,0))</f>
        <v>5.0999999999999997E-2</v>
      </c>
      <c r="E402" s="62">
        <f>IFERROR(VLOOKUP(A402,Input!$D$241:$I$245,6,FALSE),"")</f>
        <v>5.4000000000000001E-4</v>
      </c>
      <c r="F402" s="62">
        <f>IFERROR(VLOOKUP(A402,Input!$D$249:$I$253,6,FALSE),0)</f>
        <v>1.4999999999999999E-2</v>
      </c>
      <c r="G402" s="62">
        <f t="shared" si="6"/>
        <v>6.6539999999999988E-2</v>
      </c>
    </row>
    <row r="403" spans="1:7" x14ac:dyDescent="0.25">
      <c r="A403" s="3" t="s">
        <v>82</v>
      </c>
      <c r="B403" s="3" t="s">
        <v>65</v>
      </c>
      <c r="C403" s="3">
        <v>2024</v>
      </c>
      <c r="D403" s="61">
        <f>INDEX(Input!$I$221:$AI$239,MATCH(A403&amp;B403,Input!$H$221:$H$239,0),MATCH(C403,Input!$I$220:$AI$220,0))</f>
        <v>0.40540540540540543</v>
      </c>
      <c r="E403" s="62">
        <f>IFERROR(VLOOKUP(A403,Input!$D$241:$I$247,6,FALSE),"")</f>
        <v>5.4000000000000001E-4</v>
      </c>
      <c r="F403" s="62">
        <f>IFERROR(VLOOKUP(A403,Input!$D$249:$I$253,6,FALSE),0)</f>
        <v>0</v>
      </c>
      <c r="G403" s="62">
        <f t="shared" si="6"/>
        <v>0.40594540540540541</v>
      </c>
    </row>
    <row r="404" spans="1:7" x14ac:dyDescent="0.25">
      <c r="A404" s="3" t="s">
        <v>82</v>
      </c>
      <c r="B404" s="3" t="s">
        <v>65</v>
      </c>
      <c r="C404" s="3">
        <v>2025</v>
      </c>
      <c r="D404" s="61">
        <f>INDEX(Input!$I$221:$AI$239,MATCH(A404&amp;B404,Input!$H$221:$H$239,0),MATCH(C404,Input!$I$220:$AI$220,0))</f>
        <v>0.33213213213213216</v>
      </c>
      <c r="E404" s="62">
        <f>IFERROR(VLOOKUP(A404,Input!$D$241:$I$247,6,FALSE),"")</f>
        <v>5.4000000000000001E-4</v>
      </c>
      <c r="F404" s="62">
        <f>IFERROR(VLOOKUP(A404,Input!$D$249:$I$253,6,FALSE),0)</f>
        <v>0</v>
      </c>
      <c r="G404" s="62">
        <f t="shared" si="6"/>
        <v>0.33267213213213215</v>
      </c>
    </row>
    <row r="405" spans="1:7" x14ac:dyDescent="0.25">
      <c r="A405" s="3" t="s">
        <v>82</v>
      </c>
      <c r="B405" s="3" t="s">
        <v>65</v>
      </c>
      <c r="C405" s="3">
        <v>2026</v>
      </c>
      <c r="D405" s="61">
        <f>INDEX(Input!$I$221:$AI$239,MATCH(A405&amp;B405,Input!$H$221:$H$239,0),MATCH(C405,Input!$I$220:$AI$220,0))</f>
        <v>0.30630630630630629</v>
      </c>
      <c r="E405" s="62">
        <f>IFERROR(VLOOKUP(A405,Input!$D$241:$I$247,6,FALSE),"")</f>
        <v>5.4000000000000001E-4</v>
      </c>
      <c r="F405" s="62">
        <f>IFERROR(VLOOKUP(A405,Input!$D$249:$I$253,6,FALSE),0)</f>
        <v>0</v>
      </c>
      <c r="G405" s="62">
        <f t="shared" si="6"/>
        <v>0.30684630630630627</v>
      </c>
    </row>
    <row r="406" spans="1:7" x14ac:dyDescent="0.25">
      <c r="A406" s="3" t="s">
        <v>82</v>
      </c>
      <c r="B406" s="3" t="s">
        <v>65</v>
      </c>
      <c r="C406" s="3">
        <v>2027</v>
      </c>
      <c r="D406" s="61">
        <f>INDEX(Input!$I$221:$AI$239,MATCH(A406&amp;B406,Input!$H$221:$H$239,0),MATCH(C406,Input!$I$220:$AI$220,0))</f>
        <v>0.2801801801801802</v>
      </c>
      <c r="E406" s="62">
        <f>IFERROR(VLOOKUP(A406,Input!$D$241:$I$247,6,FALSE),"")</f>
        <v>5.4000000000000001E-4</v>
      </c>
      <c r="F406" s="62">
        <f>IFERROR(VLOOKUP(A406,Input!$D$249:$I$253,6,FALSE),0)</f>
        <v>0</v>
      </c>
      <c r="G406" s="62">
        <f t="shared" si="6"/>
        <v>0.28072018018018019</v>
      </c>
    </row>
    <row r="407" spans="1:7" x14ac:dyDescent="0.25">
      <c r="A407" s="3" t="s">
        <v>82</v>
      </c>
      <c r="B407" s="3" t="s">
        <v>65</v>
      </c>
      <c r="C407" s="3">
        <v>2028</v>
      </c>
      <c r="D407" s="61">
        <f>INDEX(Input!$I$221:$AI$239,MATCH(A407&amp;B407,Input!$H$221:$H$239,0),MATCH(C407,Input!$I$220:$AI$220,0))</f>
        <v>0.25435435435435438</v>
      </c>
      <c r="E407" s="62">
        <f>IFERROR(VLOOKUP(A407,Input!$D$241:$I$247,6,FALSE),"")</f>
        <v>5.4000000000000001E-4</v>
      </c>
      <c r="F407" s="62">
        <f>IFERROR(VLOOKUP(A407,Input!$D$249:$I$253,6,FALSE),0)</f>
        <v>0</v>
      </c>
      <c r="G407" s="62">
        <f t="shared" si="6"/>
        <v>0.25489435435435437</v>
      </c>
    </row>
    <row r="408" spans="1:7" x14ac:dyDescent="0.25">
      <c r="A408" s="3" t="s">
        <v>82</v>
      </c>
      <c r="B408" s="3" t="s">
        <v>65</v>
      </c>
      <c r="C408" s="3">
        <v>2029</v>
      </c>
      <c r="D408" s="61">
        <f>INDEX(Input!$I$221:$AI$239,MATCH(A408&amp;B408,Input!$H$221:$H$239,0),MATCH(C408,Input!$I$220:$AI$220,0))</f>
        <v>0.22852852852852856</v>
      </c>
      <c r="E408" s="62">
        <f>IFERROR(VLOOKUP(A408,Input!$D$241:$I$247,6,FALSE),"")</f>
        <v>5.4000000000000001E-4</v>
      </c>
      <c r="F408" s="62">
        <f>IFERROR(VLOOKUP(A408,Input!$D$249:$I$253,6,FALSE),0)</f>
        <v>0</v>
      </c>
      <c r="G408" s="62">
        <f t="shared" si="6"/>
        <v>0.22906852852852858</v>
      </c>
    </row>
    <row r="409" spans="1:7" x14ac:dyDescent="0.25">
      <c r="A409" s="3" t="s">
        <v>82</v>
      </c>
      <c r="B409" s="3" t="s">
        <v>65</v>
      </c>
      <c r="C409" s="3">
        <v>2030</v>
      </c>
      <c r="D409" s="61">
        <f>INDEX(Input!$I$221:$AI$239,MATCH(A409&amp;B409,Input!$H$221:$H$239,0),MATCH(C409,Input!$I$220:$AI$220,0))</f>
        <v>0.40540540540540543</v>
      </c>
      <c r="E409" s="62">
        <f>IFERROR(VLOOKUP(A409,Input!$D$241:$I$247,6,FALSE),"")</f>
        <v>5.4000000000000001E-4</v>
      </c>
      <c r="F409" s="62">
        <f>IFERROR(VLOOKUP(A409,Input!$D$249:$I$253,6,FALSE),0)</f>
        <v>0</v>
      </c>
      <c r="G409" s="62">
        <f t="shared" si="6"/>
        <v>0.40594540540540541</v>
      </c>
    </row>
    <row r="410" spans="1:7" x14ac:dyDescent="0.25">
      <c r="A410" s="3" t="s">
        <v>82</v>
      </c>
      <c r="B410" s="3" t="s">
        <v>65</v>
      </c>
      <c r="C410" s="3">
        <v>2031</v>
      </c>
      <c r="D410" s="61">
        <f>INDEX(Input!$I$221:$AI$239,MATCH(A410&amp;B410,Input!$H$221:$H$239,0),MATCH(C410,Input!$I$220:$AI$220,0))</f>
        <v>0.20510510510510513</v>
      </c>
      <c r="E410" s="62">
        <f>IFERROR(VLOOKUP(A410,Input!$D$241:$I$247,6,FALSE),"")</f>
        <v>5.4000000000000001E-4</v>
      </c>
      <c r="F410" s="62">
        <f>IFERROR(VLOOKUP(A410,Input!$D$249:$I$253,6,FALSE),0)</f>
        <v>0</v>
      </c>
      <c r="G410" s="62">
        <f t="shared" si="6"/>
        <v>0.20564510510510514</v>
      </c>
    </row>
    <row r="411" spans="1:7" x14ac:dyDescent="0.25">
      <c r="A411" s="3" t="s">
        <v>82</v>
      </c>
      <c r="B411" s="3" t="s">
        <v>65</v>
      </c>
      <c r="C411" s="3">
        <v>2032</v>
      </c>
      <c r="D411" s="61">
        <f>INDEX(Input!$I$221:$AI$239,MATCH(A411&amp;B411,Input!$H$221:$H$239,0),MATCH(C411,Input!$I$220:$AI$220,0))</f>
        <v>0.20780780780780783</v>
      </c>
      <c r="E411" s="62">
        <f>IFERROR(VLOOKUP(A411,Input!$D$241:$I$247,6,FALSE),"")</f>
        <v>5.4000000000000001E-4</v>
      </c>
      <c r="F411" s="62">
        <f>IFERROR(VLOOKUP(A411,Input!$D$249:$I$253,6,FALSE),0)</f>
        <v>0</v>
      </c>
      <c r="G411" s="62">
        <f t="shared" si="6"/>
        <v>0.20834780780780784</v>
      </c>
    </row>
    <row r="412" spans="1:7" x14ac:dyDescent="0.25">
      <c r="A412" s="3" t="s">
        <v>82</v>
      </c>
      <c r="B412" s="3" t="s">
        <v>65</v>
      </c>
      <c r="C412" s="3">
        <v>2033</v>
      </c>
      <c r="D412" s="61">
        <f>INDEX(Input!$I$221:$AI$239,MATCH(A412&amp;B412,Input!$H$221:$H$239,0),MATCH(C412,Input!$I$220:$AI$220,0))</f>
        <v>0.21021021021021022</v>
      </c>
      <c r="E412" s="62">
        <f>IFERROR(VLOOKUP(A412,Input!$D$241:$I$247,6,FALSE),"")</f>
        <v>5.4000000000000001E-4</v>
      </c>
      <c r="F412" s="62">
        <f>IFERROR(VLOOKUP(A412,Input!$D$249:$I$253,6,FALSE),0)</f>
        <v>0</v>
      </c>
      <c r="G412" s="62">
        <f t="shared" si="6"/>
        <v>0.21075021021021023</v>
      </c>
    </row>
    <row r="413" spans="1:7" x14ac:dyDescent="0.25">
      <c r="A413" s="3" t="s">
        <v>82</v>
      </c>
      <c r="B413" s="3" t="s">
        <v>65</v>
      </c>
      <c r="C413" s="3">
        <v>2034</v>
      </c>
      <c r="D413" s="61">
        <f>INDEX(Input!$I$221:$AI$239,MATCH(A413&amp;B413,Input!$H$221:$H$239,0),MATCH(C413,Input!$I$220:$AI$220,0))</f>
        <v>0.21291291291291292</v>
      </c>
      <c r="E413" s="62">
        <f>IFERROR(VLOOKUP(A413,Input!$D$241:$I$247,6,FALSE),"")</f>
        <v>5.4000000000000001E-4</v>
      </c>
      <c r="F413" s="62">
        <f>IFERROR(VLOOKUP(A413,Input!$D$249:$I$253,6,FALSE),0)</f>
        <v>0</v>
      </c>
      <c r="G413" s="62">
        <f t="shared" si="6"/>
        <v>0.21345291291291293</v>
      </c>
    </row>
    <row r="414" spans="1:7" x14ac:dyDescent="0.25">
      <c r="A414" s="3" t="s">
        <v>82</v>
      </c>
      <c r="B414" s="3" t="s">
        <v>65</v>
      </c>
      <c r="C414" s="3">
        <v>2035</v>
      </c>
      <c r="D414" s="61">
        <f>INDEX(Input!$I$221:$AI$239,MATCH(A414&amp;B414,Input!$H$221:$H$239,0),MATCH(C414,Input!$I$220:$AI$220,0))</f>
        <v>0.28581081081081083</v>
      </c>
      <c r="E414" s="62">
        <f>IFERROR(VLOOKUP(A414,Input!$D$241:$I$247,6,FALSE),"")</f>
        <v>5.4000000000000001E-4</v>
      </c>
      <c r="F414" s="62">
        <f>IFERROR(VLOOKUP(A414,Input!$D$249:$I$253,6,FALSE),0)</f>
        <v>0</v>
      </c>
      <c r="G414" s="62">
        <f t="shared" si="6"/>
        <v>0.28635081081081082</v>
      </c>
    </row>
    <row r="415" spans="1:7" x14ac:dyDescent="0.25">
      <c r="A415" s="3" t="s">
        <v>82</v>
      </c>
      <c r="B415" s="3" t="s">
        <v>65</v>
      </c>
      <c r="C415" s="3">
        <v>2036</v>
      </c>
      <c r="D415" s="61">
        <f>INDEX(Input!$I$221:$AI$239,MATCH(A415&amp;B415,Input!$H$221:$H$239,0),MATCH(C415,Input!$I$220:$AI$220,0))</f>
        <v>0.18708708708708713</v>
      </c>
      <c r="E415" s="62">
        <f>IFERROR(VLOOKUP(A415,Input!$D$241:$I$247,6,FALSE),"")</f>
        <v>5.4000000000000001E-4</v>
      </c>
      <c r="F415" s="62">
        <f>IFERROR(VLOOKUP(A415,Input!$D$249:$I$253,6,FALSE),0)</f>
        <v>0</v>
      </c>
      <c r="G415" s="62">
        <f t="shared" si="6"/>
        <v>0.18762708708708714</v>
      </c>
    </row>
    <row r="416" spans="1:7" x14ac:dyDescent="0.25">
      <c r="A416" s="3" t="s">
        <v>82</v>
      </c>
      <c r="B416" s="3" t="s">
        <v>65</v>
      </c>
      <c r="C416" s="3">
        <v>2037</v>
      </c>
      <c r="D416" s="61">
        <f>INDEX(Input!$I$221:$AI$239,MATCH(A416&amp;B416,Input!$H$221:$H$239,0),MATCH(C416,Input!$I$220:$AI$220,0))</f>
        <v>0.18948948948948949</v>
      </c>
      <c r="E416" s="62">
        <f>IFERROR(VLOOKUP(A416,Input!$D$241:$I$247,6,FALSE),"")</f>
        <v>5.4000000000000001E-4</v>
      </c>
      <c r="F416" s="62">
        <f>IFERROR(VLOOKUP(A416,Input!$D$249:$I$253,6,FALSE),0)</f>
        <v>0</v>
      </c>
      <c r="G416" s="62">
        <f t="shared" si="6"/>
        <v>0.1900294894894895</v>
      </c>
    </row>
    <row r="417" spans="1:7" x14ac:dyDescent="0.25">
      <c r="A417" s="3" t="s">
        <v>82</v>
      </c>
      <c r="B417" s="3" t="s">
        <v>65</v>
      </c>
      <c r="C417" s="3">
        <v>2038</v>
      </c>
      <c r="D417" s="61">
        <f>INDEX(Input!$I$221:$AI$239,MATCH(A417&amp;B417,Input!$H$221:$H$239,0),MATCH(C417,Input!$I$220:$AI$220,0))</f>
        <v>0.19219219219219222</v>
      </c>
      <c r="E417" s="62">
        <f>IFERROR(VLOOKUP(A417,Input!$D$241:$I$247,6,FALSE),"")</f>
        <v>5.4000000000000001E-4</v>
      </c>
      <c r="F417" s="62">
        <f>IFERROR(VLOOKUP(A417,Input!$D$249:$I$253,6,FALSE),0)</f>
        <v>0</v>
      </c>
      <c r="G417" s="62">
        <f t="shared" si="6"/>
        <v>0.19273219219219223</v>
      </c>
    </row>
    <row r="418" spans="1:7" x14ac:dyDescent="0.25">
      <c r="A418" s="3" t="s">
        <v>82</v>
      </c>
      <c r="B418" s="3" t="s">
        <v>65</v>
      </c>
      <c r="C418" s="3">
        <v>2039</v>
      </c>
      <c r="D418" s="61">
        <f>INDEX(Input!$I$221:$AI$239,MATCH(A418&amp;B418,Input!$H$221:$H$239,0),MATCH(C418,Input!$I$220:$AI$220,0))</f>
        <v>0.19489489489489492</v>
      </c>
      <c r="E418" s="62">
        <f>IFERROR(VLOOKUP(A418,Input!$D$241:$I$247,6,FALSE),"")</f>
        <v>5.4000000000000001E-4</v>
      </c>
      <c r="F418" s="62">
        <f>IFERROR(VLOOKUP(A418,Input!$D$249:$I$253,6,FALSE),0)</f>
        <v>0</v>
      </c>
      <c r="G418" s="62">
        <f t="shared" si="6"/>
        <v>0.19543489489489493</v>
      </c>
    </row>
    <row r="419" spans="1:7" x14ac:dyDescent="0.25">
      <c r="A419" s="3" t="s">
        <v>82</v>
      </c>
      <c r="B419" s="3" t="s">
        <v>65</v>
      </c>
      <c r="C419" s="3">
        <v>2040</v>
      </c>
      <c r="D419" s="61">
        <f>INDEX(Input!$I$221:$AI$239,MATCH(A419&amp;B419,Input!$H$221:$H$239,0),MATCH(C419,Input!$I$220:$AI$220,0))</f>
        <v>0.16621621621621621</v>
      </c>
      <c r="E419" s="62">
        <f>IFERROR(VLOOKUP(A419,Input!$D$241:$I$247,6,FALSE),"")</f>
        <v>5.4000000000000001E-4</v>
      </c>
      <c r="F419" s="62">
        <f>IFERROR(VLOOKUP(A419,Input!$D$249:$I$253,6,FALSE),0)</f>
        <v>0</v>
      </c>
      <c r="G419" s="62">
        <f t="shared" si="6"/>
        <v>0.16675621621621622</v>
      </c>
    </row>
    <row r="420" spans="1:7" x14ac:dyDescent="0.25">
      <c r="A420" s="3" t="s">
        <v>82</v>
      </c>
      <c r="B420" s="3" t="s">
        <v>65</v>
      </c>
      <c r="C420" s="3">
        <v>2041</v>
      </c>
      <c r="D420" s="61">
        <f>INDEX(Input!$I$221:$AI$239,MATCH(A420&amp;B420,Input!$H$221:$H$239,0),MATCH(C420,Input!$I$220:$AI$220,0))</f>
        <v>0.16606606606606608</v>
      </c>
      <c r="E420" s="62">
        <f>IFERROR(VLOOKUP(A420,Input!$D$241:$I$247,6,FALSE),"")</f>
        <v>5.4000000000000001E-4</v>
      </c>
      <c r="F420" s="62">
        <f>IFERROR(VLOOKUP(A420,Input!$D$249:$I$253,6,FALSE),0)</f>
        <v>0</v>
      </c>
      <c r="G420" s="62">
        <f t="shared" si="6"/>
        <v>0.16660606606606609</v>
      </c>
    </row>
    <row r="421" spans="1:7" x14ac:dyDescent="0.25">
      <c r="A421" s="3" t="s">
        <v>82</v>
      </c>
      <c r="B421" s="3" t="s">
        <v>65</v>
      </c>
      <c r="C421" s="3">
        <v>2042</v>
      </c>
      <c r="D421" s="61">
        <f>INDEX(Input!$I$221:$AI$239,MATCH(A421&amp;B421,Input!$H$221:$H$239,0),MATCH(C421,Input!$I$220:$AI$220,0))</f>
        <v>0.16576576576576577</v>
      </c>
      <c r="E421" s="62">
        <f>IFERROR(VLOOKUP(A421,Input!$D$241:$I$247,6,FALSE),"")</f>
        <v>5.4000000000000001E-4</v>
      </c>
      <c r="F421" s="62">
        <f>IFERROR(VLOOKUP(A421,Input!$D$249:$I$253,6,FALSE),0)</f>
        <v>0</v>
      </c>
      <c r="G421" s="62">
        <f t="shared" si="6"/>
        <v>0.16630576576576578</v>
      </c>
    </row>
    <row r="422" spans="1:7" x14ac:dyDescent="0.25">
      <c r="A422" s="3" t="s">
        <v>82</v>
      </c>
      <c r="B422" s="3" t="s">
        <v>65</v>
      </c>
      <c r="C422" s="3">
        <v>2043</v>
      </c>
      <c r="D422" s="61">
        <f>INDEX(Input!$I$221:$AI$239,MATCH(A422&amp;B422,Input!$H$221:$H$239,0),MATCH(C422,Input!$I$220:$AI$220,0))</f>
        <v>0.16516516516516519</v>
      </c>
      <c r="E422" s="62">
        <f>IFERROR(VLOOKUP(A422,Input!$D$241:$I$247,6,FALSE),"")</f>
        <v>5.4000000000000001E-4</v>
      </c>
      <c r="F422" s="62">
        <f>IFERROR(VLOOKUP(A422,Input!$D$249:$I$253,6,FALSE),0)</f>
        <v>0</v>
      </c>
      <c r="G422" s="62">
        <f t="shared" si="6"/>
        <v>0.1657051651651652</v>
      </c>
    </row>
    <row r="423" spans="1:7" x14ac:dyDescent="0.25">
      <c r="A423" s="3" t="s">
        <v>82</v>
      </c>
      <c r="B423" s="3" t="s">
        <v>65</v>
      </c>
      <c r="C423" s="3">
        <v>2044</v>
      </c>
      <c r="D423" s="61">
        <f>INDEX(Input!$I$221:$AI$239,MATCH(A423&amp;B423,Input!$H$221:$H$239,0),MATCH(C423,Input!$I$220:$AI$220,0))</f>
        <v>0.16486486486486487</v>
      </c>
      <c r="E423" s="62">
        <f>IFERROR(VLOOKUP(A423,Input!$D$241:$I$247,6,FALSE),"")</f>
        <v>5.4000000000000001E-4</v>
      </c>
      <c r="F423" s="62">
        <f>IFERROR(VLOOKUP(A423,Input!$D$249:$I$253,6,FALSE),0)</f>
        <v>0</v>
      </c>
      <c r="G423" s="62">
        <f t="shared" si="6"/>
        <v>0.16540486486486489</v>
      </c>
    </row>
    <row r="424" spans="1:7" x14ac:dyDescent="0.25">
      <c r="A424" s="3" t="s">
        <v>82</v>
      </c>
      <c r="B424" s="3" t="s">
        <v>65</v>
      </c>
      <c r="C424" s="3">
        <v>2045</v>
      </c>
      <c r="D424" s="61">
        <f>INDEX(Input!$I$221:$AI$239,MATCH(A424&amp;B424,Input!$H$221:$H$239,0),MATCH(C424,Input!$I$220:$AI$220,0))</f>
        <v>0.16456456456456459</v>
      </c>
      <c r="E424" s="62">
        <f>IFERROR(VLOOKUP(A424,Input!$D$241:$I$247,6,FALSE),"")</f>
        <v>5.4000000000000001E-4</v>
      </c>
      <c r="F424" s="62">
        <f>IFERROR(VLOOKUP(A424,Input!$D$249:$I$253,6,FALSE),0)</f>
        <v>0</v>
      </c>
      <c r="G424" s="62">
        <f t="shared" si="6"/>
        <v>0.1651045645645646</v>
      </c>
    </row>
    <row r="425" spans="1:7" x14ac:dyDescent="0.25">
      <c r="A425" s="3" t="s">
        <v>82</v>
      </c>
      <c r="B425" s="3" t="s">
        <v>65</v>
      </c>
      <c r="C425" s="3">
        <v>2046</v>
      </c>
      <c r="D425" s="61">
        <f>INDEX(Input!$I$221:$AI$239,MATCH(A425&amp;B425,Input!$H$221:$H$239,0),MATCH(C425,Input!$I$220:$AI$220,0))</f>
        <v>0.16396396396396398</v>
      </c>
      <c r="E425" s="62">
        <f>IFERROR(VLOOKUP(A425,Input!$D$241:$I$247,6,FALSE),"")</f>
        <v>5.4000000000000001E-4</v>
      </c>
      <c r="F425" s="62">
        <f>IFERROR(VLOOKUP(A425,Input!$D$249:$I$253,6,FALSE),0)</f>
        <v>0</v>
      </c>
      <c r="G425" s="62">
        <f t="shared" si="6"/>
        <v>0.164503963963964</v>
      </c>
    </row>
    <row r="426" spans="1:7" x14ac:dyDescent="0.25">
      <c r="A426" s="3" t="s">
        <v>82</v>
      </c>
      <c r="B426" s="3" t="s">
        <v>65</v>
      </c>
      <c r="C426" s="3">
        <v>2047</v>
      </c>
      <c r="D426" s="61">
        <f>INDEX(Input!$I$221:$AI$239,MATCH(A426&amp;B426,Input!$H$221:$H$239,0),MATCH(C426,Input!$I$220:$AI$220,0))</f>
        <v>0.16366366366366369</v>
      </c>
      <c r="E426" s="62">
        <f>IFERROR(VLOOKUP(A426,Input!$D$241:$I$247,6,FALSE),"")</f>
        <v>5.4000000000000001E-4</v>
      </c>
      <c r="F426" s="62">
        <f>IFERROR(VLOOKUP(A426,Input!$D$249:$I$253,6,FALSE),0)</f>
        <v>0</v>
      </c>
      <c r="G426" s="62">
        <f t="shared" si="6"/>
        <v>0.16420366366366371</v>
      </c>
    </row>
    <row r="427" spans="1:7" x14ac:dyDescent="0.25">
      <c r="A427" s="3" t="s">
        <v>82</v>
      </c>
      <c r="B427" s="3" t="s">
        <v>65</v>
      </c>
      <c r="C427" s="3">
        <v>2048</v>
      </c>
      <c r="D427" s="61">
        <f>INDEX(Input!$I$221:$AI$239,MATCH(A427&amp;B427,Input!$H$221:$H$239,0),MATCH(C427,Input!$I$220:$AI$220,0))</f>
        <v>0.16306306306306306</v>
      </c>
      <c r="E427" s="62">
        <f>IFERROR(VLOOKUP(A427,Input!$D$241:$I$247,6,FALSE),"")</f>
        <v>5.4000000000000001E-4</v>
      </c>
      <c r="F427" s="62">
        <f>IFERROR(VLOOKUP(A427,Input!$D$249:$I$253,6,FALSE),0)</f>
        <v>0</v>
      </c>
      <c r="G427" s="62">
        <f t="shared" si="6"/>
        <v>0.16360306306306308</v>
      </c>
    </row>
    <row r="428" spans="1:7" x14ac:dyDescent="0.25">
      <c r="A428" s="3" t="s">
        <v>82</v>
      </c>
      <c r="B428" s="3" t="s">
        <v>65</v>
      </c>
      <c r="C428" s="3">
        <v>2049</v>
      </c>
      <c r="D428" s="61">
        <f>INDEX(Input!$I$221:$AI$239,MATCH(A428&amp;B428,Input!$H$221:$H$239,0),MATCH(C428,Input!$I$220:$AI$220,0))</f>
        <v>0.16276276276276277</v>
      </c>
      <c r="E428" s="62">
        <f>IFERROR(VLOOKUP(A428,Input!$D$241:$I$247,6,FALSE),"")</f>
        <v>5.4000000000000001E-4</v>
      </c>
      <c r="F428" s="62">
        <f>IFERROR(VLOOKUP(A428,Input!$D$249:$I$253,6,FALSE),0)</f>
        <v>0</v>
      </c>
      <c r="G428" s="62">
        <f t="shared" si="6"/>
        <v>0.16330276276276279</v>
      </c>
    </row>
    <row r="429" spans="1:7" x14ac:dyDescent="0.25">
      <c r="A429" s="3" t="s">
        <v>82</v>
      </c>
      <c r="B429" s="3" t="s">
        <v>65</v>
      </c>
      <c r="C429" s="3">
        <v>2050</v>
      </c>
      <c r="D429" s="61">
        <f>INDEX(Input!$I$221:$AI$239,MATCH(A429&amp;B429,Input!$H$221:$H$239,0),MATCH(C429,Input!$I$220:$AI$220,0))</f>
        <v>6.8148648648648641E-2</v>
      </c>
      <c r="E429" s="62">
        <f>IFERROR(VLOOKUP(A429,Input!$D$241:$I$247,6,FALSE),"")</f>
        <v>5.4000000000000001E-4</v>
      </c>
      <c r="F429" s="62">
        <f>IFERROR(VLOOKUP(A429,Input!$D$249:$I$253,6,FALSE),0)</f>
        <v>0</v>
      </c>
      <c r="G429" s="62">
        <f t="shared" si="6"/>
        <v>6.868864864864864E-2</v>
      </c>
    </row>
    <row r="430" spans="1:7" x14ac:dyDescent="0.25">
      <c r="A430" s="3" t="s">
        <v>82</v>
      </c>
      <c r="B430" s="3" t="s">
        <v>8</v>
      </c>
      <c r="C430" s="3">
        <v>2024</v>
      </c>
      <c r="D430" s="61">
        <f>INDEX(Input!$I$221:$AI$239,MATCH(A430&amp;B430,Input!$H$221:$H$239,0),MATCH(C430,Input!$I$220:$AI$220,0))</f>
        <v>0.28978978978978981</v>
      </c>
      <c r="E430" s="62">
        <f>IFERROR(VLOOKUP(A430,Input!$D$241:$I$247,6,FALSE),"")</f>
        <v>5.4000000000000001E-4</v>
      </c>
      <c r="F430" s="62">
        <f>IFERROR(VLOOKUP(A430,Input!$D$249:$I$253,6,FALSE),0)</f>
        <v>0</v>
      </c>
      <c r="G430" s="62">
        <f t="shared" si="6"/>
        <v>0.29032978978978979</v>
      </c>
    </row>
    <row r="431" spans="1:7" x14ac:dyDescent="0.25">
      <c r="A431" s="3" t="s">
        <v>82</v>
      </c>
      <c r="B431" s="3" t="s">
        <v>8</v>
      </c>
      <c r="C431" s="3">
        <v>2025</v>
      </c>
      <c r="D431" s="61">
        <f>INDEX(Input!$I$221:$AI$239,MATCH(A431&amp;B431,Input!$H$221:$H$239,0),MATCH(C431,Input!$I$220:$AI$220,0))</f>
        <v>0.23933933933933935</v>
      </c>
      <c r="E431" s="62">
        <f>IFERROR(VLOOKUP(A431,Input!$D$241:$I$247,6,FALSE),"")</f>
        <v>5.4000000000000001E-4</v>
      </c>
      <c r="F431" s="62">
        <f>IFERROR(VLOOKUP(A431,Input!$D$249:$I$253,6,FALSE),0)</f>
        <v>0</v>
      </c>
      <c r="G431" s="62">
        <f t="shared" si="6"/>
        <v>0.23987933933933936</v>
      </c>
    </row>
    <row r="432" spans="1:7" x14ac:dyDescent="0.25">
      <c r="A432" s="3" t="s">
        <v>82</v>
      </c>
      <c r="B432" s="3" t="s">
        <v>8</v>
      </c>
      <c r="C432" s="3">
        <v>2026</v>
      </c>
      <c r="D432" s="61">
        <f>INDEX(Input!$I$221:$AI$239,MATCH(A432&amp;B432,Input!$H$221:$H$239,0),MATCH(C432,Input!$I$220:$AI$220,0))</f>
        <v>0.21771771771771772</v>
      </c>
      <c r="E432" s="62">
        <f>IFERROR(VLOOKUP(A432,Input!$D$241:$I$247,6,FALSE),"")</f>
        <v>5.4000000000000001E-4</v>
      </c>
      <c r="F432" s="62">
        <f>IFERROR(VLOOKUP(A432,Input!$D$249:$I$253,6,FALSE),0)</f>
        <v>0</v>
      </c>
      <c r="G432" s="62">
        <f t="shared" si="6"/>
        <v>0.21825771771771774</v>
      </c>
    </row>
    <row r="433" spans="1:7" x14ac:dyDescent="0.25">
      <c r="A433" s="3" t="s">
        <v>82</v>
      </c>
      <c r="B433" s="3" t="s">
        <v>8</v>
      </c>
      <c r="C433" s="3">
        <v>2027</v>
      </c>
      <c r="D433" s="61">
        <f>INDEX(Input!$I$221:$AI$239,MATCH(A433&amp;B433,Input!$H$221:$H$239,0),MATCH(C433,Input!$I$220:$AI$220,0))</f>
        <v>0.19639639639639642</v>
      </c>
      <c r="E433" s="62">
        <f>IFERROR(VLOOKUP(A433,Input!$D$241:$I$247,6,FALSE),"")</f>
        <v>5.4000000000000001E-4</v>
      </c>
      <c r="F433" s="62">
        <f>IFERROR(VLOOKUP(A433,Input!$D$249:$I$253,6,FALSE),0)</f>
        <v>0</v>
      </c>
      <c r="G433" s="62">
        <f t="shared" si="6"/>
        <v>0.19693639639639643</v>
      </c>
    </row>
    <row r="434" spans="1:7" x14ac:dyDescent="0.25">
      <c r="A434" s="3" t="s">
        <v>82</v>
      </c>
      <c r="B434" s="3" t="s">
        <v>8</v>
      </c>
      <c r="C434" s="3">
        <v>2028</v>
      </c>
      <c r="D434" s="61">
        <f>INDEX(Input!$I$221:$AI$239,MATCH(A434&amp;B434,Input!$H$221:$H$239,0),MATCH(C434,Input!$I$220:$AI$220,0))</f>
        <v>0.17507507507507508</v>
      </c>
      <c r="E434" s="62">
        <f>IFERROR(VLOOKUP(A434,Input!$D$241:$I$247,6,FALSE),"")</f>
        <v>5.4000000000000001E-4</v>
      </c>
      <c r="F434" s="62">
        <f>IFERROR(VLOOKUP(A434,Input!$D$249:$I$253,6,FALSE),0)</f>
        <v>0</v>
      </c>
      <c r="G434" s="62">
        <f t="shared" si="6"/>
        <v>0.17561507507507509</v>
      </c>
    </row>
    <row r="435" spans="1:7" x14ac:dyDescent="0.25">
      <c r="A435" s="3" t="s">
        <v>82</v>
      </c>
      <c r="B435" s="3" t="s">
        <v>8</v>
      </c>
      <c r="C435" s="3">
        <v>2029</v>
      </c>
      <c r="D435" s="61">
        <f>INDEX(Input!$I$221:$AI$239,MATCH(A435&amp;B435,Input!$H$221:$H$239,0),MATCH(C435,Input!$I$220:$AI$220,0))</f>
        <v>0.15405405405405406</v>
      </c>
      <c r="E435" s="62">
        <f>IFERROR(VLOOKUP(A435,Input!$D$241:$I$247,6,FALSE),"")</f>
        <v>5.4000000000000001E-4</v>
      </c>
      <c r="F435" s="62">
        <f>IFERROR(VLOOKUP(A435,Input!$D$249:$I$253,6,FALSE),0)</f>
        <v>0</v>
      </c>
      <c r="G435" s="62">
        <f t="shared" si="6"/>
        <v>0.15459405405405408</v>
      </c>
    </row>
    <row r="436" spans="1:7" x14ac:dyDescent="0.25">
      <c r="A436" s="3" t="s">
        <v>82</v>
      </c>
      <c r="B436" s="3" t="s">
        <v>8</v>
      </c>
      <c r="C436" s="3">
        <v>2030</v>
      </c>
      <c r="D436" s="61">
        <f>INDEX(Input!$I$221:$AI$239,MATCH(A436&amp;B436,Input!$H$221:$H$239,0),MATCH(C436,Input!$I$220:$AI$220,0))</f>
        <v>0.28978978978978981</v>
      </c>
      <c r="E436" s="62">
        <f>IFERROR(VLOOKUP(A436,Input!$D$241:$I$247,6,FALSE),"")</f>
        <v>5.4000000000000001E-4</v>
      </c>
      <c r="F436" s="62">
        <f>IFERROR(VLOOKUP(A436,Input!$D$249:$I$253,6,FALSE),0)</f>
        <v>0</v>
      </c>
      <c r="G436" s="62">
        <f t="shared" si="6"/>
        <v>0.29032978978978979</v>
      </c>
    </row>
    <row r="437" spans="1:7" x14ac:dyDescent="0.25">
      <c r="A437" s="3" t="s">
        <v>82</v>
      </c>
      <c r="B437" s="3" t="s">
        <v>8</v>
      </c>
      <c r="C437" s="3">
        <v>2031</v>
      </c>
      <c r="D437" s="61">
        <f>INDEX(Input!$I$221:$AI$239,MATCH(A437&amp;B437,Input!$H$221:$H$239,0),MATCH(C437,Input!$I$220:$AI$220,0))</f>
        <v>0.13243243243243244</v>
      </c>
      <c r="E437" s="62">
        <f>IFERROR(VLOOKUP(A437,Input!$D$241:$I$247,6,FALSE),"")</f>
        <v>5.4000000000000001E-4</v>
      </c>
      <c r="F437" s="62">
        <f>IFERROR(VLOOKUP(A437,Input!$D$249:$I$253,6,FALSE),0)</f>
        <v>0</v>
      </c>
      <c r="G437" s="62">
        <f t="shared" si="6"/>
        <v>0.13297243243243245</v>
      </c>
    </row>
    <row r="438" spans="1:7" x14ac:dyDescent="0.25">
      <c r="A438" s="3" t="s">
        <v>82</v>
      </c>
      <c r="B438" s="3" t="s">
        <v>8</v>
      </c>
      <c r="C438" s="3">
        <v>2032</v>
      </c>
      <c r="D438" s="61">
        <f>INDEX(Input!$I$221:$AI$239,MATCH(A438&amp;B438,Input!$H$221:$H$239,0),MATCH(C438,Input!$I$220:$AI$220,0))</f>
        <v>0.13183183183183184</v>
      </c>
      <c r="E438" s="62">
        <f>IFERROR(VLOOKUP(A438,Input!$D$241:$I$247,6,FALSE),"")</f>
        <v>5.4000000000000001E-4</v>
      </c>
      <c r="F438" s="62">
        <f>IFERROR(VLOOKUP(A438,Input!$D$249:$I$253,6,FALSE),0)</f>
        <v>0</v>
      </c>
      <c r="G438" s="62">
        <f t="shared" si="6"/>
        <v>0.13237183183183185</v>
      </c>
    </row>
    <row r="439" spans="1:7" x14ac:dyDescent="0.25">
      <c r="A439" s="3" t="s">
        <v>82</v>
      </c>
      <c r="B439" s="3" t="s">
        <v>8</v>
      </c>
      <c r="C439" s="3">
        <v>2033</v>
      </c>
      <c r="D439" s="61">
        <f>INDEX(Input!$I$221:$AI$239,MATCH(A439&amp;B439,Input!$H$221:$H$239,0),MATCH(C439,Input!$I$220:$AI$220,0))</f>
        <v>0.13123123123123123</v>
      </c>
      <c r="E439" s="62">
        <f>IFERROR(VLOOKUP(A439,Input!$D$241:$I$247,6,FALSE),"")</f>
        <v>5.4000000000000001E-4</v>
      </c>
      <c r="F439" s="62">
        <f>IFERROR(VLOOKUP(A439,Input!$D$249:$I$253,6,FALSE),0)</f>
        <v>0</v>
      </c>
      <c r="G439" s="62">
        <f t="shared" si="6"/>
        <v>0.13177123123123125</v>
      </c>
    </row>
    <row r="440" spans="1:7" x14ac:dyDescent="0.25">
      <c r="A440" s="3" t="s">
        <v>82</v>
      </c>
      <c r="B440" s="3" t="s">
        <v>8</v>
      </c>
      <c r="C440" s="3">
        <v>2034</v>
      </c>
      <c r="D440" s="61">
        <f>INDEX(Input!$I$221:$AI$239,MATCH(A440&amp;B440,Input!$H$221:$H$239,0),MATCH(C440,Input!$I$220:$AI$220,0))</f>
        <v>0.13063063063063063</v>
      </c>
      <c r="E440" s="62">
        <f>IFERROR(VLOOKUP(A440,Input!$D$241:$I$247,6,FALSE),"")</f>
        <v>5.4000000000000001E-4</v>
      </c>
      <c r="F440" s="62">
        <f>IFERROR(VLOOKUP(A440,Input!$D$249:$I$253,6,FALSE),0)</f>
        <v>0</v>
      </c>
      <c r="G440" s="62">
        <f t="shared" si="6"/>
        <v>0.13117063063063064</v>
      </c>
    </row>
    <row r="441" spans="1:7" x14ac:dyDescent="0.25">
      <c r="A441" s="3" t="s">
        <v>82</v>
      </c>
      <c r="B441" s="3" t="s">
        <v>8</v>
      </c>
      <c r="C441" s="3">
        <v>2035</v>
      </c>
      <c r="D441" s="61">
        <f>INDEX(Input!$I$221:$AI$239,MATCH(A441&amp;B441,Input!$H$221:$H$239,0),MATCH(C441,Input!$I$220:$AI$220,0))</f>
        <v>0.20430180180180182</v>
      </c>
      <c r="E441" s="62">
        <f>IFERROR(VLOOKUP(A441,Input!$D$241:$I$247,6,FALSE),"")</f>
        <v>5.4000000000000001E-4</v>
      </c>
      <c r="F441" s="62">
        <f>IFERROR(VLOOKUP(A441,Input!$D$249:$I$253,6,FALSE),0)</f>
        <v>0</v>
      </c>
      <c r="G441" s="62">
        <f t="shared" si="6"/>
        <v>0.20484180180180184</v>
      </c>
    </row>
    <row r="442" spans="1:7" x14ac:dyDescent="0.25">
      <c r="A442" s="3" t="s">
        <v>82</v>
      </c>
      <c r="B442" s="3" t="s">
        <v>8</v>
      </c>
      <c r="C442" s="3">
        <v>2036</v>
      </c>
      <c r="D442" s="61">
        <f>INDEX(Input!$I$221:$AI$239,MATCH(A442&amp;B442,Input!$H$221:$H$239,0),MATCH(C442,Input!$I$220:$AI$220,0))</f>
        <v>0.12972972972972974</v>
      </c>
      <c r="E442" s="62">
        <f>IFERROR(VLOOKUP(A442,Input!$D$241:$I$247,6,FALSE),"")</f>
        <v>5.4000000000000001E-4</v>
      </c>
      <c r="F442" s="62">
        <f>IFERROR(VLOOKUP(A442,Input!$D$249:$I$253,6,FALSE),0)</f>
        <v>0</v>
      </c>
      <c r="G442" s="62">
        <f t="shared" si="6"/>
        <v>0.13026972972972975</v>
      </c>
    </row>
    <row r="443" spans="1:7" x14ac:dyDescent="0.25">
      <c r="A443" s="3" t="s">
        <v>82</v>
      </c>
      <c r="B443" s="3" t="s">
        <v>8</v>
      </c>
      <c r="C443" s="3">
        <v>2037</v>
      </c>
      <c r="D443" s="61">
        <f>INDEX(Input!$I$221:$AI$239,MATCH(A443&amp;B443,Input!$H$221:$H$239,0),MATCH(C443,Input!$I$220:$AI$220,0))</f>
        <v>0.12912912912912913</v>
      </c>
      <c r="E443" s="62">
        <f>IFERROR(VLOOKUP(A443,Input!$D$241:$I$247,6,FALSE),"")</f>
        <v>5.4000000000000001E-4</v>
      </c>
      <c r="F443" s="62">
        <f>IFERROR(VLOOKUP(A443,Input!$D$249:$I$253,6,FALSE),0)</f>
        <v>0</v>
      </c>
      <c r="G443" s="62">
        <f t="shared" si="6"/>
        <v>0.12966912912912915</v>
      </c>
    </row>
    <row r="444" spans="1:7" x14ac:dyDescent="0.25">
      <c r="A444" s="3" t="s">
        <v>82</v>
      </c>
      <c r="B444" s="3" t="s">
        <v>8</v>
      </c>
      <c r="C444" s="3">
        <v>2038</v>
      </c>
      <c r="D444" s="61">
        <f>INDEX(Input!$I$221:$AI$239,MATCH(A444&amp;B444,Input!$H$221:$H$239,0),MATCH(C444,Input!$I$220:$AI$220,0))</f>
        <v>0.12882882882882885</v>
      </c>
      <c r="E444" s="62">
        <f>IFERROR(VLOOKUP(A444,Input!$D$241:$I$247,6,FALSE),"")</f>
        <v>5.4000000000000001E-4</v>
      </c>
      <c r="F444" s="62">
        <f>IFERROR(VLOOKUP(A444,Input!$D$249:$I$253,6,FALSE),0)</f>
        <v>0</v>
      </c>
      <c r="G444" s="62">
        <f t="shared" si="6"/>
        <v>0.12936882882882886</v>
      </c>
    </row>
    <row r="445" spans="1:7" x14ac:dyDescent="0.25">
      <c r="A445" s="3" t="s">
        <v>82</v>
      </c>
      <c r="B445" s="3" t="s">
        <v>8</v>
      </c>
      <c r="C445" s="3">
        <v>2039</v>
      </c>
      <c r="D445" s="61">
        <f>INDEX(Input!$I$221:$AI$239,MATCH(A445&amp;B445,Input!$H$221:$H$239,0),MATCH(C445,Input!$I$220:$AI$220,0))</f>
        <v>0.12822822822822821</v>
      </c>
      <c r="E445" s="62">
        <f>IFERROR(VLOOKUP(A445,Input!$D$241:$I$247,6,FALSE),"")</f>
        <v>5.4000000000000001E-4</v>
      </c>
      <c r="F445" s="62">
        <f>IFERROR(VLOOKUP(A445,Input!$D$249:$I$253,6,FALSE),0)</f>
        <v>0</v>
      </c>
      <c r="G445" s="62">
        <f t="shared" si="6"/>
        <v>0.12876822822822823</v>
      </c>
    </row>
    <row r="446" spans="1:7" x14ac:dyDescent="0.25">
      <c r="A446" s="3" t="s">
        <v>82</v>
      </c>
      <c r="B446" s="3" t="s">
        <v>8</v>
      </c>
      <c r="C446" s="3">
        <v>2040</v>
      </c>
      <c r="D446" s="61">
        <f>INDEX(Input!$I$221:$AI$239,MATCH(A446&amp;B446,Input!$H$221:$H$239,0),MATCH(C446,Input!$I$220:$AI$220,0))</f>
        <v>0.11881381381381383</v>
      </c>
      <c r="E446" s="62">
        <f>IFERROR(VLOOKUP(A446,Input!$D$241:$I$247,6,FALSE),"")</f>
        <v>5.4000000000000001E-4</v>
      </c>
      <c r="F446" s="62">
        <f>IFERROR(VLOOKUP(A446,Input!$D$249:$I$253,6,FALSE),0)</f>
        <v>0</v>
      </c>
      <c r="G446" s="62">
        <f t="shared" si="6"/>
        <v>0.11935381381381382</v>
      </c>
    </row>
    <row r="447" spans="1:7" x14ac:dyDescent="0.25">
      <c r="A447" s="3" t="s">
        <v>82</v>
      </c>
      <c r="B447" s="3" t="s">
        <v>8</v>
      </c>
      <c r="C447" s="3">
        <v>2041</v>
      </c>
      <c r="D447" s="61">
        <f>INDEX(Input!$I$221:$AI$239,MATCH(A447&amp;B447,Input!$H$221:$H$239,0),MATCH(C447,Input!$I$220:$AI$220,0))</f>
        <v>0.12732732732732735</v>
      </c>
      <c r="E447" s="62">
        <f>IFERROR(VLOOKUP(A447,Input!$D$241:$I$247,6,FALSE),"")</f>
        <v>5.4000000000000001E-4</v>
      </c>
      <c r="F447" s="62">
        <f>IFERROR(VLOOKUP(A447,Input!$D$249:$I$253,6,FALSE),0)</f>
        <v>0</v>
      </c>
      <c r="G447" s="62">
        <f t="shared" si="6"/>
        <v>0.12786732732732736</v>
      </c>
    </row>
    <row r="448" spans="1:7" x14ac:dyDescent="0.25">
      <c r="A448" s="3" t="s">
        <v>82</v>
      </c>
      <c r="B448" s="3" t="s">
        <v>8</v>
      </c>
      <c r="C448" s="3">
        <v>2042</v>
      </c>
      <c r="D448" s="61">
        <f>INDEX(Input!$I$221:$AI$239,MATCH(A448&amp;B448,Input!$H$221:$H$239,0),MATCH(C448,Input!$I$220:$AI$220,0))</f>
        <v>0.12702702702702706</v>
      </c>
      <c r="E448" s="62">
        <f>IFERROR(VLOOKUP(A448,Input!$D$241:$I$247,6,FALSE),"")</f>
        <v>5.4000000000000001E-4</v>
      </c>
      <c r="F448" s="62">
        <f>IFERROR(VLOOKUP(A448,Input!$D$249:$I$253,6,FALSE),0)</f>
        <v>0</v>
      </c>
      <c r="G448" s="62">
        <f t="shared" si="6"/>
        <v>0.12756702702702707</v>
      </c>
    </row>
    <row r="449" spans="1:7" x14ac:dyDescent="0.25">
      <c r="A449" s="3" t="s">
        <v>82</v>
      </c>
      <c r="B449" s="3" t="s">
        <v>8</v>
      </c>
      <c r="C449" s="3">
        <v>2043</v>
      </c>
      <c r="D449" s="61">
        <f>INDEX(Input!$I$221:$AI$239,MATCH(A449&amp;B449,Input!$H$221:$H$239,0),MATCH(C449,Input!$I$220:$AI$220,0))</f>
        <v>0.12642642642642643</v>
      </c>
      <c r="E449" s="62">
        <f>IFERROR(VLOOKUP(A449,Input!$D$241:$I$247,6,FALSE),"")</f>
        <v>5.4000000000000001E-4</v>
      </c>
      <c r="F449" s="62">
        <f>IFERROR(VLOOKUP(A449,Input!$D$249:$I$253,6,FALSE),0)</f>
        <v>0</v>
      </c>
      <c r="G449" s="62">
        <f t="shared" si="6"/>
        <v>0.12696642642642644</v>
      </c>
    </row>
    <row r="450" spans="1:7" x14ac:dyDescent="0.25">
      <c r="A450" s="3" t="s">
        <v>82</v>
      </c>
      <c r="B450" s="3" t="s">
        <v>8</v>
      </c>
      <c r="C450" s="3">
        <v>2044</v>
      </c>
      <c r="D450" s="61">
        <f>INDEX(Input!$I$221:$AI$239,MATCH(A450&amp;B450,Input!$H$221:$H$239,0),MATCH(C450,Input!$I$220:$AI$220,0))</f>
        <v>0.12612612612612614</v>
      </c>
      <c r="E450" s="62">
        <f>IFERROR(VLOOKUP(A450,Input!$D$241:$I$247,6,FALSE),"")</f>
        <v>5.4000000000000001E-4</v>
      </c>
      <c r="F450" s="62">
        <f>IFERROR(VLOOKUP(A450,Input!$D$249:$I$253,6,FALSE),0)</f>
        <v>0</v>
      </c>
      <c r="G450" s="62">
        <f t="shared" si="6"/>
        <v>0.12666612612612616</v>
      </c>
    </row>
    <row r="451" spans="1:7" x14ac:dyDescent="0.25">
      <c r="A451" s="3" t="s">
        <v>82</v>
      </c>
      <c r="B451" s="3" t="s">
        <v>8</v>
      </c>
      <c r="C451" s="3">
        <v>2045</v>
      </c>
      <c r="D451" s="61">
        <f>INDEX(Input!$I$221:$AI$239,MATCH(A451&amp;B451,Input!$H$221:$H$239,0),MATCH(C451,Input!$I$220:$AI$220,0))</f>
        <v>0.12552552552552554</v>
      </c>
      <c r="E451" s="62">
        <f>IFERROR(VLOOKUP(A451,Input!$D$241:$I$247,6,FALSE),"")</f>
        <v>5.4000000000000001E-4</v>
      </c>
      <c r="F451" s="62">
        <f>IFERROR(VLOOKUP(A451,Input!$D$249:$I$253,6,FALSE),0)</f>
        <v>0</v>
      </c>
      <c r="G451" s="62">
        <f t="shared" ref="G451:G514" si="7">IFERROR(D451+E451+F451,"")</f>
        <v>0.12606552552552555</v>
      </c>
    </row>
    <row r="452" spans="1:7" x14ac:dyDescent="0.25">
      <c r="A452" s="3" t="s">
        <v>82</v>
      </c>
      <c r="B452" s="3" t="s">
        <v>8</v>
      </c>
      <c r="C452" s="3">
        <v>2046</v>
      </c>
      <c r="D452" s="61">
        <f>INDEX(Input!$I$221:$AI$239,MATCH(A452&amp;B452,Input!$H$221:$H$239,0),MATCH(C452,Input!$I$220:$AI$220,0))</f>
        <v>0.12522522522522522</v>
      </c>
      <c r="E452" s="62">
        <f>IFERROR(VLOOKUP(A452,Input!$D$241:$I$247,6,FALSE),"")</f>
        <v>5.4000000000000001E-4</v>
      </c>
      <c r="F452" s="62">
        <f>IFERROR(VLOOKUP(A452,Input!$D$249:$I$253,6,FALSE),0)</f>
        <v>0</v>
      </c>
      <c r="G452" s="62">
        <f t="shared" si="7"/>
        <v>0.12576522522522524</v>
      </c>
    </row>
    <row r="453" spans="1:7" x14ac:dyDescent="0.25">
      <c r="A453" s="3" t="s">
        <v>82</v>
      </c>
      <c r="B453" s="3" t="s">
        <v>8</v>
      </c>
      <c r="C453" s="3">
        <v>2047</v>
      </c>
      <c r="D453" s="61">
        <f>INDEX(Input!$I$221:$AI$239,MATCH(A453&amp;B453,Input!$H$221:$H$239,0),MATCH(C453,Input!$I$220:$AI$220,0))</f>
        <v>0.12492492492492493</v>
      </c>
      <c r="E453" s="62">
        <f>IFERROR(VLOOKUP(A453,Input!$D$241:$I$247,6,FALSE),"")</f>
        <v>5.4000000000000001E-4</v>
      </c>
      <c r="F453" s="62">
        <f>IFERROR(VLOOKUP(A453,Input!$D$249:$I$253,6,FALSE),0)</f>
        <v>0</v>
      </c>
      <c r="G453" s="62">
        <f t="shared" si="7"/>
        <v>0.12546492492492495</v>
      </c>
    </row>
    <row r="454" spans="1:7" x14ac:dyDescent="0.25">
      <c r="A454" s="3" t="s">
        <v>82</v>
      </c>
      <c r="B454" s="3" t="s">
        <v>8</v>
      </c>
      <c r="C454" s="3">
        <v>2048</v>
      </c>
      <c r="D454" s="61">
        <f>INDEX(Input!$I$221:$AI$239,MATCH(A454&amp;B454,Input!$H$221:$H$239,0),MATCH(C454,Input!$I$220:$AI$220,0))</f>
        <v>0.12432432432432433</v>
      </c>
      <c r="E454" s="62">
        <f>IFERROR(VLOOKUP(A454,Input!$D$241:$I$247,6,FALSE),"")</f>
        <v>5.4000000000000001E-4</v>
      </c>
      <c r="F454" s="62">
        <f>IFERROR(VLOOKUP(A454,Input!$D$249:$I$253,6,FALSE),0)</f>
        <v>0</v>
      </c>
      <c r="G454" s="62">
        <f t="shared" si="7"/>
        <v>0.12486432432432433</v>
      </c>
    </row>
    <row r="455" spans="1:7" x14ac:dyDescent="0.25">
      <c r="A455" s="3" t="s">
        <v>82</v>
      </c>
      <c r="B455" s="3" t="s">
        <v>8</v>
      </c>
      <c r="C455" s="3">
        <v>2049</v>
      </c>
      <c r="D455" s="61">
        <f>INDEX(Input!$I$221:$AI$239,MATCH(A455&amp;B455,Input!$H$221:$H$239,0),MATCH(C455,Input!$I$220:$AI$220,0))</f>
        <v>0.12402402402402403</v>
      </c>
      <c r="E455" s="62">
        <f>IFERROR(VLOOKUP(A455,Input!$D$241:$I$247,6,FALSE),"")</f>
        <v>5.4000000000000001E-4</v>
      </c>
      <c r="F455" s="62">
        <f>IFERROR(VLOOKUP(A455,Input!$D$249:$I$253,6,FALSE),0)</f>
        <v>0</v>
      </c>
      <c r="G455" s="62">
        <f t="shared" si="7"/>
        <v>0.12456402402402403</v>
      </c>
    </row>
    <row r="456" spans="1:7" x14ac:dyDescent="0.25">
      <c r="A456" s="3" t="s">
        <v>82</v>
      </c>
      <c r="B456" s="3" t="s">
        <v>8</v>
      </c>
      <c r="C456" s="3">
        <v>2050</v>
      </c>
      <c r="D456" s="61">
        <f>INDEX(Input!$I$221:$AI$239,MATCH(A456&amp;B456,Input!$H$221:$H$239,0),MATCH(C456,Input!$I$220:$AI$220,0))</f>
        <v>4.8713663663663663E-2</v>
      </c>
      <c r="E456" s="62">
        <f>IFERROR(VLOOKUP(A456,Input!$D$241:$I$247,6,FALSE),"")</f>
        <v>5.4000000000000001E-4</v>
      </c>
      <c r="F456" s="62">
        <f>IFERROR(VLOOKUP(A456,Input!$D$249:$I$253,6,FALSE),0)</f>
        <v>0</v>
      </c>
      <c r="G456" s="62">
        <f t="shared" si="7"/>
        <v>4.9253663663663662E-2</v>
      </c>
    </row>
    <row r="457" spans="1:7" x14ac:dyDescent="0.25">
      <c r="A457" s="3" t="s">
        <v>82</v>
      </c>
      <c r="B457" s="3" t="s">
        <v>66</v>
      </c>
      <c r="C457" s="3">
        <v>2024</v>
      </c>
      <c r="D457" s="61">
        <f>INDEX(Input!$I$221:$AI$239,MATCH(A457&amp;B457,Input!$H$221:$H$239,0),MATCH(C457,Input!$I$220:$AI$220,0))</f>
        <v>0.17417417417417419</v>
      </c>
      <c r="E457" s="62">
        <f>IFERROR(VLOOKUP(A457,Input!$D$241:$I$247,6,FALSE),"")</f>
        <v>5.4000000000000001E-4</v>
      </c>
      <c r="F457" s="62">
        <f>IFERROR(VLOOKUP(A457,Input!$D$249:$I$253,6,FALSE),0)</f>
        <v>0</v>
      </c>
      <c r="G457" s="62">
        <f t="shared" si="7"/>
        <v>0.1747141741741742</v>
      </c>
    </row>
    <row r="458" spans="1:7" x14ac:dyDescent="0.25">
      <c r="A458" s="3" t="s">
        <v>82</v>
      </c>
      <c r="B458" s="3" t="s">
        <v>66</v>
      </c>
      <c r="C458" s="3">
        <v>2025</v>
      </c>
      <c r="D458" s="61">
        <f>INDEX(Input!$I$221:$AI$239,MATCH(A458&amp;B458,Input!$H$221:$H$239,0),MATCH(C458,Input!$I$220:$AI$220,0))</f>
        <v>0.21591591591591594</v>
      </c>
      <c r="E458" s="62">
        <f>IFERROR(VLOOKUP(A458,Input!$D$241:$I$247,6,FALSE),"")</f>
        <v>5.4000000000000001E-4</v>
      </c>
      <c r="F458" s="62">
        <f>IFERROR(VLOOKUP(A458,Input!$D$249:$I$253,6,FALSE),0)</f>
        <v>0</v>
      </c>
      <c r="G458" s="62">
        <f t="shared" si="7"/>
        <v>0.21645591591591595</v>
      </c>
    </row>
    <row r="459" spans="1:7" x14ac:dyDescent="0.25">
      <c r="A459" s="3" t="s">
        <v>82</v>
      </c>
      <c r="B459" s="3" t="s">
        <v>66</v>
      </c>
      <c r="C459" s="3">
        <v>2026</v>
      </c>
      <c r="D459" s="61">
        <f>INDEX(Input!$I$221:$AI$239,MATCH(A459&amp;B459,Input!$H$221:$H$239,0),MATCH(C459,Input!$I$220:$AI$220,0))</f>
        <v>0.19459459459459463</v>
      </c>
      <c r="E459" s="62">
        <f>IFERROR(VLOOKUP(A459,Input!$D$241:$I$247,6,FALSE),"")</f>
        <v>5.4000000000000001E-4</v>
      </c>
      <c r="F459" s="62">
        <f>IFERROR(VLOOKUP(A459,Input!$D$249:$I$253,6,FALSE),0)</f>
        <v>0</v>
      </c>
      <c r="G459" s="62">
        <f t="shared" si="7"/>
        <v>0.19513459459459465</v>
      </c>
    </row>
    <row r="460" spans="1:7" x14ac:dyDescent="0.25">
      <c r="A460" s="3" t="s">
        <v>82</v>
      </c>
      <c r="B460" s="3" t="s">
        <v>66</v>
      </c>
      <c r="C460" s="3">
        <v>2027</v>
      </c>
      <c r="D460" s="61">
        <f>INDEX(Input!$I$221:$AI$239,MATCH(A460&amp;B460,Input!$H$221:$H$239,0),MATCH(C460,Input!$I$220:$AI$220,0))</f>
        <v>0.17327327327327327</v>
      </c>
      <c r="E460" s="62">
        <f>IFERROR(VLOOKUP(A460,Input!$D$241:$I$247,6,FALSE),"")</f>
        <v>5.4000000000000001E-4</v>
      </c>
      <c r="F460" s="62">
        <f>IFERROR(VLOOKUP(A460,Input!$D$249:$I$253,6,FALSE),0)</f>
        <v>0</v>
      </c>
      <c r="G460" s="62">
        <f t="shared" si="7"/>
        <v>0.17381327327327328</v>
      </c>
    </row>
    <row r="461" spans="1:7" x14ac:dyDescent="0.25">
      <c r="A461" s="3" t="s">
        <v>82</v>
      </c>
      <c r="B461" s="3" t="s">
        <v>66</v>
      </c>
      <c r="C461" s="3">
        <v>2028</v>
      </c>
      <c r="D461" s="61">
        <f>INDEX(Input!$I$221:$AI$239,MATCH(A461&amp;B461,Input!$H$221:$H$239,0),MATCH(C461,Input!$I$220:$AI$220,0))</f>
        <v>0.15195195195195196</v>
      </c>
      <c r="E461" s="62">
        <f>IFERROR(VLOOKUP(A461,Input!$D$241:$I$247,6,FALSE),"")</f>
        <v>5.4000000000000001E-4</v>
      </c>
      <c r="F461" s="62">
        <f>IFERROR(VLOOKUP(A461,Input!$D$249:$I$253,6,FALSE),0)</f>
        <v>0</v>
      </c>
      <c r="G461" s="62">
        <f t="shared" si="7"/>
        <v>0.15249195195195198</v>
      </c>
    </row>
    <row r="462" spans="1:7" x14ac:dyDescent="0.25">
      <c r="A462" s="3" t="s">
        <v>82</v>
      </c>
      <c r="B462" s="3" t="s">
        <v>66</v>
      </c>
      <c r="C462" s="3">
        <v>2029</v>
      </c>
      <c r="D462" s="61">
        <f>INDEX(Input!$I$221:$AI$239,MATCH(A462&amp;B462,Input!$H$221:$H$239,0),MATCH(C462,Input!$I$220:$AI$220,0))</f>
        <v>0.13093093093093094</v>
      </c>
      <c r="E462" s="62">
        <f>IFERROR(VLOOKUP(A462,Input!$D$241:$I$247,6,FALSE),"")</f>
        <v>5.4000000000000001E-4</v>
      </c>
      <c r="F462" s="62">
        <f>IFERROR(VLOOKUP(A462,Input!$D$249:$I$253,6,FALSE),0)</f>
        <v>0</v>
      </c>
      <c r="G462" s="62">
        <f t="shared" si="7"/>
        <v>0.13147093093093096</v>
      </c>
    </row>
    <row r="463" spans="1:7" x14ac:dyDescent="0.25">
      <c r="A463" s="3" t="s">
        <v>82</v>
      </c>
      <c r="B463" s="3" t="s">
        <v>66</v>
      </c>
      <c r="C463" s="3">
        <v>2030</v>
      </c>
      <c r="D463" s="61">
        <f>INDEX(Input!$I$221:$AI$239,MATCH(A463&amp;B463,Input!$H$221:$H$239,0),MATCH(C463,Input!$I$220:$AI$220,0))</f>
        <v>0.17417417417417419</v>
      </c>
      <c r="E463" s="62">
        <f>IFERROR(VLOOKUP(A463,Input!$D$241:$I$247,6,FALSE),"")</f>
        <v>5.4000000000000001E-4</v>
      </c>
      <c r="F463" s="62">
        <f>IFERROR(VLOOKUP(A463,Input!$D$249:$I$253,6,FALSE),0)</f>
        <v>0</v>
      </c>
      <c r="G463" s="62">
        <f t="shared" si="7"/>
        <v>0.1747141741741742</v>
      </c>
    </row>
    <row r="464" spans="1:7" x14ac:dyDescent="0.25">
      <c r="A464" s="3" t="s">
        <v>82</v>
      </c>
      <c r="B464" s="3" t="s">
        <v>66</v>
      </c>
      <c r="C464" s="3">
        <v>2031</v>
      </c>
      <c r="D464" s="61">
        <f>INDEX(Input!$I$221:$AI$239,MATCH(A464&amp;B464,Input!$H$221:$H$239,0),MATCH(C464,Input!$I$220:$AI$220,0))</f>
        <v>0.10900900900900902</v>
      </c>
      <c r="E464" s="62">
        <f>IFERROR(VLOOKUP(A464,Input!$D$241:$I$247,6,FALSE),"")</f>
        <v>5.4000000000000001E-4</v>
      </c>
      <c r="F464" s="62">
        <f>IFERROR(VLOOKUP(A464,Input!$D$249:$I$253,6,FALSE),0)</f>
        <v>0</v>
      </c>
      <c r="G464" s="62">
        <f t="shared" si="7"/>
        <v>0.10954900900900902</v>
      </c>
    </row>
    <row r="465" spans="1:7" x14ac:dyDescent="0.25">
      <c r="A465" s="3" t="s">
        <v>82</v>
      </c>
      <c r="B465" s="3" t="s">
        <v>66</v>
      </c>
      <c r="C465" s="3">
        <v>2032</v>
      </c>
      <c r="D465" s="61">
        <f>INDEX(Input!$I$221:$AI$239,MATCH(A465&amp;B465,Input!$H$221:$H$239,0),MATCH(C465,Input!$I$220:$AI$220,0))</f>
        <v>0.10840840840840842</v>
      </c>
      <c r="E465" s="62">
        <f>IFERROR(VLOOKUP(A465,Input!$D$241:$I$247,6,FALSE),"")</f>
        <v>5.4000000000000001E-4</v>
      </c>
      <c r="F465" s="62">
        <f>IFERROR(VLOOKUP(A465,Input!$D$249:$I$253,6,FALSE),0)</f>
        <v>0</v>
      </c>
      <c r="G465" s="62">
        <f t="shared" si="7"/>
        <v>0.10894840840840841</v>
      </c>
    </row>
    <row r="466" spans="1:7" x14ac:dyDescent="0.25">
      <c r="A466" s="3" t="s">
        <v>82</v>
      </c>
      <c r="B466" s="3" t="s">
        <v>66</v>
      </c>
      <c r="C466" s="3">
        <v>2033</v>
      </c>
      <c r="D466" s="61">
        <f>INDEX(Input!$I$221:$AI$239,MATCH(A466&amp;B466,Input!$H$221:$H$239,0),MATCH(C466,Input!$I$220:$AI$220,0))</f>
        <v>0.10810810810810811</v>
      </c>
      <c r="E466" s="62">
        <f>IFERROR(VLOOKUP(A466,Input!$D$241:$I$247,6,FALSE),"")</f>
        <v>5.4000000000000001E-4</v>
      </c>
      <c r="F466" s="62">
        <f>IFERROR(VLOOKUP(A466,Input!$D$249:$I$253,6,FALSE),0)</f>
        <v>0</v>
      </c>
      <c r="G466" s="62">
        <f t="shared" si="7"/>
        <v>0.10864810810810811</v>
      </c>
    </row>
    <row r="467" spans="1:7" x14ac:dyDescent="0.25">
      <c r="A467" s="3" t="s">
        <v>82</v>
      </c>
      <c r="B467" s="3" t="s">
        <v>66</v>
      </c>
      <c r="C467" s="3">
        <v>2034</v>
      </c>
      <c r="D467" s="61">
        <f>INDEX(Input!$I$221:$AI$239,MATCH(A467&amp;B467,Input!$H$221:$H$239,0),MATCH(C467,Input!$I$220:$AI$220,0))</f>
        <v>0.10750750750750752</v>
      </c>
      <c r="E467" s="62">
        <f>IFERROR(VLOOKUP(A467,Input!$D$241:$I$247,6,FALSE),"")</f>
        <v>5.4000000000000001E-4</v>
      </c>
      <c r="F467" s="62">
        <f>IFERROR(VLOOKUP(A467,Input!$D$249:$I$253,6,FALSE),0)</f>
        <v>0</v>
      </c>
      <c r="G467" s="62">
        <f t="shared" si="7"/>
        <v>0.10804750750750752</v>
      </c>
    </row>
    <row r="468" spans="1:7" x14ac:dyDescent="0.25">
      <c r="A468" s="3" t="s">
        <v>82</v>
      </c>
      <c r="B468" s="3" t="s">
        <v>66</v>
      </c>
      <c r="C468" s="3">
        <v>2035</v>
      </c>
      <c r="D468" s="61">
        <f>INDEX(Input!$I$221:$AI$239,MATCH(A468&amp;B468,Input!$H$221:$H$239,0),MATCH(C468,Input!$I$220:$AI$220,0))</f>
        <v>0.12279279279279279</v>
      </c>
      <c r="E468" s="62">
        <f>IFERROR(VLOOKUP(A468,Input!$D$241:$I$247,6,FALSE),"")</f>
        <v>5.4000000000000001E-4</v>
      </c>
      <c r="F468" s="62">
        <f>IFERROR(VLOOKUP(A468,Input!$D$249:$I$253,6,FALSE),0)</f>
        <v>0</v>
      </c>
      <c r="G468" s="62">
        <f t="shared" si="7"/>
        <v>0.12333279279279279</v>
      </c>
    </row>
    <row r="469" spans="1:7" x14ac:dyDescent="0.25">
      <c r="A469" s="3" t="s">
        <v>82</v>
      </c>
      <c r="B469" s="3" t="s">
        <v>66</v>
      </c>
      <c r="C469" s="3">
        <v>2036</v>
      </c>
      <c r="D469" s="61">
        <f>INDEX(Input!$I$221:$AI$239,MATCH(A469&amp;B469,Input!$H$221:$H$239,0),MATCH(C469,Input!$I$220:$AI$220,0))</f>
        <v>0.10630630630630632</v>
      </c>
      <c r="E469" s="62">
        <f>IFERROR(VLOOKUP(A469,Input!$D$241:$I$247,6,FALSE),"")</f>
        <v>5.4000000000000001E-4</v>
      </c>
      <c r="F469" s="62">
        <f>IFERROR(VLOOKUP(A469,Input!$D$249:$I$253,6,FALSE),0)</f>
        <v>0</v>
      </c>
      <c r="G469" s="62">
        <f t="shared" si="7"/>
        <v>0.10684630630630632</v>
      </c>
    </row>
    <row r="470" spans="1:7" x14ac:dyDescent="0.25">
      <c r="A470" s="3" t="s">
        <v>82</v>
      </c>
      <c r="B470" s="3" t="s">
        <v>66</v>
      </c>
      <c r="C470" s="3">
        <v>2037</v>
      </c>
      <c r="D470" s="61">
        <f>INDEX(Input!$I$221:$AI$239,MATCH(A470&amp;B470,Input!$H$221:$H$239,0),MATCH(C470,Input!$I$220:$AI$220,0))</f>
        <v>0.10600600600600601</v>
      </c>
      <c r="E470" s="62">
        <f>IFERROR(VLOOKUP(A470,Input!$D$241:$I$247,6,FALSE),"")</f>
        <v>5.4000000000000001E-4</v>
      </c>
      <c r="F470" s="62">
        <f>IFERROR(VLOOKUP(A470,Input!$D$249:$I$253,6,FALSE),0)</f>
        <v>0</v>
      </c>
      <c r="G470" s="62">
        <f t="shared" si="7"/>
        <v>0.10654600600600601</v>
      </c>
    </row>
    <row r="471" spans="1:7" x14ac:dyDescent="0.25">
      <c r="A471" s="3" t="s">
        <v>82</v>
      </c>
      <c r="B471" s="3" t="s">
        <v>66</v>
      </c>
      <c r="C471" s="3">
        <v>2038</v>
      </c>
      <c r="D471" s="61">
        <f>INDEX(Input!$I$221:$AI$239,MATCH(A471&amp;B471,Input!$H$221:$H$239,0),MATCH(C471,Input!$I$220:$AI$220,0))</f>
        <v>0.10540540540540541</v>
      </c>
      <c r="E471" s="62">
        <f>IFERROR(VLOOKUP(A471,Input!$D$241:$I$247,6,FALSE),"")</f>
        <v>5.4000000000000001E-4</v>
      </c>
      <c r="F471" s="62">
        <f>IFERROR(VLOOKUP(A471,Input!$D$249:$I$253,6,FALSE),0)</f>
        <v>0</v>
      </c>
      <c r="G471" s="62">
        <f t="shared" si="7"/>
        <v>0.10594540540540541</v>
      </c>
    </row>
    <row r="472" spans="1:7" x14ac:dyDescent="0.25">
      <c r="A472" s="3" t="s">
        <v>82</v>
      </c>
      <c r="B472" s="3" t="s">
        <v>66</v>
      </c>
      <c r="C472" s="3">
        <v>2039</v>
      </c>
      <c r="D472" s="61">
        <f>INDEX(Input!$I$221:$AI$239,MATCH(A472&amp;B472,Input!$H$221:$H$239,0),MATCH(C472,Input!$I$220:$AI$220,0))</f>
        <v>0.10510510510510511</v>
      </c>
      <c r="E472" s="62">
        <f>IFERROR(VLOOKUP(A472,Input!$D$241:$I$247,6,FALSE),"")</f>
        <v>5.4000000000000001E-4</v>
      </c>
      <c r="F472" s="62">
        <f>IFERROR(VLOOKUP(A472,Input!$D$249:$I$253,6,FALSE),0)</f>
        <v>0</v>
      </c>
      <c r="G472" s="62">
        <f t="shared" si="7"/>
        <v>0.10564510510510511</v>
      </c>
    </row>
    <row r="473" spans="1:7" x14ac:dyDescent="0.25">
      <c r="A473" s="3" t="s">
        <v>82</v>
      </c>
      <c r="B473" s="3" t="s">
        <v>66</v>
      </c>
      <c r="C473" s="3">
        <v>2040</v>
      </c>
      <c r="D473" s="61">
        <f>INDEX(Input!$I$221:$AI$239,MATCH(A473&amp;B473,Input!$H$221:$H$239,0),MATCH(C473,Input!$I$220:$AI$220,0))</f>
        <v>7.1411411411411413E-2</v>
      </c>
      <c r="E473" s="62">
        <f>IFERROR(VLOOKUP(A473,Input!$D$241:$I$247,6,FALSE),"")</f>
        <v>5.4000000000000001E-4</v>
      </c>
      <c r="F473" s="62">
        <f>IFERROR(VLOOKUP(A473,Input!$D$249:$I$253,6,FALSE),0)</f>
        <v>0</v>
      </c>
      <c r="G473" s="62">
        <f t="shared" si="7"/>
        <v>7.1951411411411412E-2</v>
      </c>
    </row>
    <row r="474" spans="1:7" x14ac:dyDescent="0.25">
      <c r="A474" s="3" t="s">
        <v>82</v>
      </c>
      <c r="B474" s="3" t="s">
        <v>66</v>
      </c>
      <c r="C474" s="3">
        <v>2041</v>
      </c>
      <c r="D474" s="61">
        <f>INDEX(Input!$I$221:$AI$239,MATCH(A474&amp;B474,Input!$H$221:$H$239,0),MATCH(C474,Input!$I$220:$AI$220,0))</f>
        <v>0.10870870870870872</v>
      </c>
      <c r="E474" s="62">
        <f>IFERROR(VLOOKUP(A474,Input!$D$241:$I$247,6,FALSE),"")</f>
        <v>5.4000000000000001E-4</v>
      </c>
      <c r="F474" s="62">
        <f>IFERROR(VLOOKUP(A474,Input!$D$249:$I$253,6,FALSE),0)</f>
        <v>0</v>
      </c>
      <c r="G474" s="62">
        <f t="shared" si="7"/>
        <v>0.10924870870870872</v>
      </c>
    </row>
    <row r="475" spans="1:7" x14ac:dyDescent="0.25">
      <c r="A475" s="3" t="s">
        <v>82</v>
      </c>
      <c r="B475" s="3" t="s">
        <v>66</v>
      </c>
      <c r="C475" s="3">
        <v>2042</v>
      </c>
      <c r="D475" s="61">
        <f>INDEX(Input!$I$221:$AI$239,MATCH(A475&amp;B475,Input!$H$221:$H$239,0),MATCH(C475,Input!$I$220:$AI$220,0))</f>
        <v>0.11291291291291292</v>
      </c>
      <c r="E475" s="62">
        <f>IFERROR(VLOOKUP(A475,Input!$D$241:$I$247,6,FALSE),"")</f>
        <v>5.4000000000000001E-4</v>
      </c>
      <c r="F475" s="62">
        <f>IFERROR(VLOOKUP(A475,Input!$D$249:$I$253,6,FALSE),0)</f>
        <v>0</v>
      </c>
      <c r="G475" s="62">
        <f t="shared" si="7"/>
        <v>0.11345291291291291</v>
      </c>
    </row>
    <row r="476" spans="1:7" x14ac:dyDescent="0.25">
      <c r="A476" s="3" t="s">
        <v>82</v>
      </c>
      <c r="B476" s="3" t="s">
        <v>66</v>
      </c>
      <c r="C476" s="3">
        <v>2043</v>
      </c>
      <c r="D476" s="61">
        <f>INDEX(Input!$I$221:$AI$239,MATCH(A476&amp;B476,Input!$H$221:$H$239,0),MATCH(C476,Input!$I$220:$AI$220,0))</f>
        <v>0.11711711711711713</v>
      </c>
      <c r="E476" s="62">
        <f>IFERROR(VLOOKUP(A476,Input!$D$241:$I$247,6,FALSE),"")</f>
        <v>5.4000000000000001E-4</v>
      </c>
      <c r="F476" s="62">
        <f>IFERROR(VLOOKUP(A476,Input!$D$249:$I$253,6,FALSE),0)</f>
        <v>0</v>
      </c>
      <c r="G476" s="62">
        <f t="shared" si="7"/>
        <v>0.11765711711711713</v>
      </c>
    </row>
    <row r="477" spans="1:7" x14ac:dyDescent="0.25">
      <c r="A477" s="3" t="s">
        <v>82</v>
      </c>
      <c r="B477" s="3" t="s">
        <v>66</v>
      </c>
      <c r="C477" s="3">
        <v>2044</v>
      </c>
      <c r="D477" s="61">
        <f>INDEX(Input!$I$221:$AI$239,MATCH(A477&amp;B477,Input!$H$221:$H$239,0),MATCH(C477,Input!$I$220:$AI$220,0))</f>
        <v>0.12132132132132133</v>
      </c>
      <c r="E477" s="62">
        <f>IFERROR(VLOOKUP(A477,Input!$D$241:$I$247,6,FALSE),"")</f>
        <v>5.4000000000000001E-4</v>
      </c>
      <c r="F477" s="62">
        <f>IFERROR(VLOOKUP(A477,Input!$D$249:$I$253,6,FALSE),0)</f>
        <v>0</v>
      </c>
      <c r="G477" s="62">
        <f t="shared" si="7"/>
        <v>0.12186132132132133</v>
      </c>
    </row>
    <row r="478" spans="1:7" x14ac:dyDescent="0.25">
      <c r="A478" s="3" t="s">
        <v>82</v>
      </c>
      <c r="B478" s="3" t="s">
        <v>66</v>
      </c>
      <c r="C478" s="3">
        <v>2045</v>
      </c>
      <c r="D478" s="61">
        <f>INDEX(Input!$I$221:$AI$239,MATCH(A478&amp;B478,Input!$H$221:$H$239,0),MATCH(C478,Input!$I$220:$AI$220,0))</f>
        <v>0.12552552552552554</v>
      </c>
      <c r="E478" s="62">
        <f>IFERROR(VLOOKUP(A478,Input!$D$241:$I$247,6,FALSE),"")</f>
        <v>5.4000000000000001E-4</v>
      </c>
      <c r="F478" s="62">
        <f>IFERROR(VLOOKUP(A478,Input!$D$249:$I$253,6,FALSE),0)</f>
        <v>0</v>
      </c>
      <c r="G478" s="62">
        <f t="shared" si="7"/>
        <v>0.12606552552552555</v>
      </c>
    </row>
    <row r="479" spans="1:7" x14ac:dyDescent="0.25">
      <c r="A479" s="3" t="s">
        <v>82</v>
      </c>
      <c r="B479" s="3" t="s">
        <v>66</v>
      </c>
      <c r="C479" s="3">
        <v>2046</v>
      </c>
      <c r="D479" s="61">
        <f>INDEX(Input!$I$221:$AI$239,MATCH(A479&amp;B479,Input!$H$221:$H$239,0),MATCH(C479,Input!$I$220:$AI$220,0))</f>
        <v>0.12522522522522522</v>
      </c>
      <c r="E479" s="62">
        <f>IFERROR(VLOOKUP(A479,Input!$D$241:$I$247,6,FALSE),"")</f>
        <v>5.4000000000000001E-4</v>
      </c>
      <c r="F479" s="62">
        <f>IFERROR(VLOOKUP(A479,Input!$D$249:$I$253,6,FALSE),0)</f>
        <v>0</v>
      </c>
      <c r="G479" s="62">
        <f t="shared" si="7"/>
        <v>0.12576522522522524</v>
      </c>
    </row>
    <row r="480" spans="1:7" x14ac:dyDescent="0.25">
      <c r="A480" s="3" t="s">
        <v>82</v>
      </c>
      <c r="B480" s="3" t="s">
        <v>66</v>
      </c>
      <c r="C480" s="3">
        <v>2047</v>
      </c>
      <c r="D480" s="61">
        <f>INDEX(Input!$I$221:$AI$239,MATCH(A480&amp;B480,Input!$H$221:$H$239,0),MATCH(C480,Input!$I$220:$AI$220,0))</f>
        <v>0.12492492492492493</v>
      </c>
      <c r="E480" s="62">
        <f>IFERROR(VLOOKUP(A480,Input!$D$241:$I$247,6,FALSE),"")</f>
        <v>5.4000000000000001E-4</v>
      </c>
      <c r="F480" s="62">
        <f>IFERROR(VLOOKUP(A480,Input!$D$249:$I$253,6,FALSE),0)</f>
        <v>0</v>
      </c>
      <c r="G480" s="62">
        <f t="shared" si="7"/>
        <v>0.12546492492492495</v>
      </c>
    </row>
    <row r="481" spans="1:7" x14ac:dyDescent="0.25">
      <c r="A481" s="3" t="s">
        <v>82</v>
      </c>
      <c r="B481" s="3" t="s">
        <v>66</v>
      </c>
      <c r="C481" s="3">
        <v>2048</v>
      </c>
      <c r="D481" s="61">
        <f>INDEX(Input!$I$221:$AI$239,MATCH(A481&amp;B481,Input!$H$221:$H$239,0),MATCH(C481,Input!$I$220:$AI$220,0))</f>
        <v>0.12432432432432433</v>
      </c>
      <c r="E481" s="62">
        <f>IFERROR(VLOOKUP(A481,Input!$D$241:$I$247,6,FALSE),"")</f>
        <v>5.4000000000000001E-4</v>
      </c>
      <c r="F481" s="62">
        <f>IFERROR(VLOOKUP(A481,Input!$D$249:$I$253,6,FALSE),0)</f>
        <v>0</v>
      </c>
      <c r="G481" s="62">
        <f t="shared" si="7"/>
        <v>0.12486432432432433</v>
      </c>
    </row>
    <row r="482" spans="1:7" x14ac:dyDescent="0.25">
      <c r="A482" s="3" t="s">
        <v>82</v>
      </c>
      <c r="B482" s="3" t="s">
        <v>66</v>
      </c>
      <c r="C482" s="3">
        <v>2049</v>
      </c>
      <c r="D482" s="61">
        <f>INDEX(Input!$I$221:$AI$239,MATCH(A482&amp;B482,Input!$H$221:$H$239,0),MATCH(C482,Input!$I$220:$AI$220,0))</f>
        <v>0.12402402402402403</v>
      </c>
      <c r="E482" s="62">
        <f>IFERROR(VLOOKUP(A482,Input!$D$241:$I$247,6,FALSE),"")</f>
        <v>5.4000000000000001E-4</v>
      </c>
      <c r="F482" s="62">
        <f>IFERROR(VLOOKUP(A482,Input!$D$249:$I$253,6,FALSE),0)</f>
        <v>0</v>
      </c>
      <c r="G482" s="62">
        <f t="shared" si="7"/>
        <v>0.12456402402402403</v>
      </c>
    </row>
    <row r="483" spans="1:7" x14ac:dyDescent="0.25">
      <c r="A483" s="3" t="s">
        <v>82</v>
      </c>
      <c r="B483" s="3" t="s">
        <v>66</v>
      </c>
      <c r="C483" s="3">
        <v>2050</v>
      </c>
      <c r="D483" s="61">
        <f>INDEX(Input!$I$221:$AI$239,MATCH(A483&amp;B483,Input!$H$221:$H$239,0),MATCH(C483,Input!$I$220:$AI$220,0))</f>
        <v>2.9278678678678678E-2</v>
      </c>
      <c r="E483" s="62">
        <f>IFERROR(VLOOKUP(A483,Input!$D$241:$I$247,6,FALSE),"")</f>
        <v>5.4000000000000001E-4</v>
      </c>
      <c r="F483" s="62">
        <f>IFERROR(VLOOKUP(A483,Input!$D$249:$I$253,6,FALSE),0)</f>
        <v>0</v>
      </c>
      <c r="G483" s="62">
        <f t="shared" si="7"/>
        <v>2.9818678678678677E-2</v>
      </c>
    </row>
    <row r="484" spans="1:7" x14ac:dyDescent="0.25">
      <c r="E484" s="62" t="str">
        <f>IFERROR(VLOOKUP(A484,Input!$D$241:$I$247,6,FALSE),"")</f>
        <v/>
      </c>
      <c r="G484" s="62" t="str">
        <f t="shared" si="7"/>
        <v/>
      </c>
    </row>
    <row r="485" spans="1:7" x14ac:dyDescent="0.25">
      <c r="E485" s="62" t="str">
        <f>IFERROR(VLOOKUP(A485,Input!$D$241:$I$247,6,FALSE),"")</f>
        <v/>
      </c>
      <c r="G485" s="62" t="str">
        <f t="shared" si="7"/>
        <v/>
      </c>
    </row>
    <row r="486" spans="1:7" x14ac:dyDescent="0.25">
      <c r="E486" s="62" t="str">
        <f>IFERROR(VLOOKUP(A486,Input!$D$241:$I$247,6,FALSE),"")</f>
        <v/>
      </c>
      <c r="G486" s="62" t="str">
        <f t="shared" si="7"/>
        <v/>
      </c>
    </row>
    <row r="487" spans="1:7" x14ac:dyDescent="0.25">
      <c r="E487" s="62" t="str">
        <f>IFERROR(VLOOKUP(A487,Input!$D$241:$I$247,6,FALSE),"")</f>
        <v/>
      </c>
      <c r="G487" s="62" t="str">
        <f t="shared" si="7"/>
        <v/>
      </c>
    </row>
    <row r="488" spans="1:7" x14ac:dyDescent="0.25">
      <c r="E488" s="62" t="str">
        <f>IFERROR(VLOOKUP(A488,Input!$D$241:$I$247,6,FALSE),"")</f>
        <v/>
      </c>
      <c r="G488" s="62" t="str">
        <f t="shared" si="7"/>
        <v/>
      </c>
    </row>
    <row r="489" spans="1:7" x14ac:dyDescent="0.25">
      <c r="E489" s="62" t="str">
        <f>IFERROR(VLOOKUP(A489,Input!$D$241:$I$247,6,FALSE),"")</f>
        <v/>
      </c>
      <c r="G489" s="62" t="str">
        <f t="shared" si="7"/>
        <v/>
      </c>
    </row>
    <row r="490" spans="1:7" x14ac:dyDescent="0.25">
      <c r="E490" s="62" t="str">
        <f>IFERROR(VLOOKUP(A490,Input!$D$241:$I$247,6,FALSE),"")</f>
        <v/>
      </c>
      <c r="G490" s="62" t="str">
        <f t="shared" si="7"/>
        <v/>
      </c>
    </row>
    <row r="491" spans="1:7" x14ac:dyDescent="0.25">
      <c r="E491" s="62" t="str">
        <f>IFERROR(VLOOKUP(A491,Input!$D$241:$I$247,6,FALSE),"")</f>
        <v/>
      </c>
      <c r="G491" s="62" t="str">
        <f t="shared" si="7"/>
        <v/>
      </c>
    </row>
    <row r="492" spans="1:7" x14ac:dyDescent="0.25">
      <c r="E492" s="62" t="str">
        <f>IFERROR(VLOOKUP(A492,Input!$D$241:$I$247,6,FALSE),"")</f>
        <v/>
      </c>
      <c r="G492" s="62" t="str">
        <f t="shared" si="7"/>
        <v/>
      </c>
    </row>
    <row r="493" spans="1:7" x14ac:dyDescent="0.25">
      <c r="E493" s="62" t="str">
        <f>IFERROR(VLOOKUP(A493,Input!$D$241:$I$247,6,FALSE),"")</f>
        <v/>
      </c>
      <c r="G493" s="62" t="str">
        <f t="shared" si="7"/>
        <v/>
      </c>
    </row>
    <row r="494" spans="1:7" x14ac:dyDescent="0.25">
      <c r="E494" s="62" t="str">
        <f>IFERROR(VLOOKUP(A494,Input!$D$241:$I$247,6,FALSE),"")</f>
        <v/>
      </c>
      <c r="G494" s="62" t="str">
        <f t="shared" si="7"/>
        <v/>
      </c>
    </row>
    <row r="495" spans="1:7" x14ac:dyDescent="0.25">
      <c r="E495" s="62" t="str">
        <f>IFERROR(VLOOKUP(A495,Input!$D$241:$I$247,6,FALSE),"")</f>
        <v/>
      </c>
      <c r="G495" s="62" t="str">
        <f t="shared" si="7"/>
        <v/>
      </c>
    </row>
    <row r="496" spans="1:7" x14ac:dyDescent="0.25">
      <c r="E496" s="62" t="str">
        <f>IFERROR(VLOOKUP(A496,Input!$D$241:$I$247,6,FALSE),"")</f>
        <v/>
      </c>
      <c r="G496" s="62" t="str">
        <f t="shared" si="7"/>
        <v/>
      </c>
    </row>
    <row r="497" spans="5:7" x14ac:dyDescent="0.25">
      <c r="E497" s="62" t="str">
        <f>IFERROR(VLOOKUP(A497,Input!$D$241:$I$247,6,FALSE),"")</f>
        <v/>
      </c>
      <c r="G497" s="62" t="str">
        <f t="shared" si="7"/>
        <v/>
      </c>
    </row>
    <row r="498" spans="5:7" x14ac:dyDescent="0.25">
      <c r="E498" s="62" t="str">
        <f>IFERROR(VLOOKUP(A498,Input!$D$241:$I$247,6,FALSE),"")</f>
        <v/>
      </c>
      <c r="G498" s="62" t="str">
        <f t="shared" si="7"/>
        <v/>
      </c>
    </row>
    <row r="499" spans="5:7" x14ac:dyDescent="0.25">
      <c r="E499" s="62" t="str">
        <f>IFERROR(VLOOKUP(A499,Input!$D$241:$I$247,6,FALSE),"")</f>
        <v/>
      </c>
      <c r="G499" s="62" t="str">
        <f t="shared" si="7"/>
        <v/>
      </c>
    </row>
    <row r="500" spans="5:7" x14ac:dyDescent="0.25">
      <c r="E500" s="62" t="str">
        <f>IFERROR(VLOOKUP(A500,Input!$D$241:$I$247,6,FALSE),"")</f>
        <v/>
      </c>
      <c r="G500" s="62" t="str">
        <f t="shared" si="7"/>
        <v/>
      </c>
    </row>
    <row r="501" spans="5:7" x14ac:dyDescent="0.25">
      <c r="E501" s="62" t="str">
        <f>IFERROR(VLOOKUP(A501,Input!$D$241:$I$247,6,FALSE),"")</f>
        <v/>
      </c>
      <c r="G501" s="62" t="str">
        <f t="shared" si="7"/>
        <v/>
      </c>
    </row>
    <row r="502" spans="5:7" x14ac:dyDescent="0.25">
      <c r="E502" s="62" t="str">
        <f>IFERROR(VLOOKUP(A502,Input!$D$241:$I$247,6,FALSE),"")</f>
        <v/>
      </c>
      <c r="G502" s="62" t="str">
        <f t="shared" si="7"/>
        <v/>
      </c>
    </row>
    <row r="503" spans="5:7" x14ac:dyDescent="0.25">
      <c r="E503" s="62" t="str">
        <f>IFERROR(VLOOKUP(A503,Input!$D$241:$I$247,6,FALSE),"")</f>
        <v/>
      </c>
      <c r="G503" s="62" t="str">
        <f t="shared" si="7"/>
        <v/>
      </c>
    </row>
    <row r="504" spans="5:7" x14ac:dyDescent="0.25">
      <c r="E504" s="62" t="str">
        <f>IFERROR(VLOOKUP(A504,Input!$D$241:$I$247,6,FALSE),"")</f>
        <v/>
      </c>
      <c r="G504" s="62" t="str">
        <f t="shared" si="7"/>
        <v/>
      </c>
    </row>
    <row r="505" spans="5:7" x14ac:dyDescent="0.25">
      <c r="E505" s="62" t="str">
        <f>IFERROR(VLOOKUP(A505,Input!$D$241:$I$247,6,FALSE),"")</f>
        <v/>
      </c>
      <c r="G505" s="62" t="str">
        <f t="shared" si="7"/>
        <v/>
      </c>
    </row>
    <row r="506" spans="5:7" x14ac:dyDescent="0.25">
      <c r="E506" s="62" t="str">
        <f>IFERROR(VLOOKUP(A506,Input!$D$241:$I$247,6,FALSE),"")</f>
        <v/>
      </c>
      <c r="G506" s="62" t="str">
        <f t="shared" si="7"/>
        <v/>
      </c>
    </row>
    <row r="507" spans="5:7" x14ac:dyDescent="0.25">
      <c r="E507" s="62" t="str">
        <f>IFERROR(VLOOKUP(A507,Input!$D$241:$I$247,6,FALSE),"")</f>
        <v/>
      </c>
      <c r="G507" s="62" t="str">
        <f t="shared" si="7"/>
        <v/>
      </c>
    </row>
    <row r="508" spans="5:7" x14ac:dyDescent="0.25">
      <c r="E508" s="62" t="str">
        <f>IFERROR(VLOOKUP(A508,Input!$D$241:$I$247,6,FALSE),"")</f>
        <v/>
      </c>
      <c r="G508" s="62" t="str">
        <f t="shared" si="7"/>
        <v/>
      </c>
    </row>
    <row r="509" spans="5:7" x14ac:dyDescent="0.25">
      <c r="E509" s="62" t="str">
        <f>IFERROR(VLOOKUP(A509,Input!$D$241:$I$247,6,FALSE),"")</f>
        <v/>
      </c>
      <c r="G509" s="62" t="str">
        <f t="shared" si="7"/>
        <v/>
      </c>
    </row>
    <row r="510" spans="5:7" x14ac:dyDescent="0.25">
      <c r="E510" s="62" t="str">
        <f>IFERROR(VLOOKUP(A510,Input!$D$241:$I$247,6,FALSE),"")</f>
        <v/>
      </c>
      <c r="G510" s="62" t="str">
        <f t="shared" si="7"/>
        <v/>
      </c>
    </row>
    <row r="511" spans="5:7" x14ac:dyDescent="0.25">
      <c r="E511" s="62" t="str">
        <f>IFERROR(VLOOKUP(A511,Input!$D$241:$I$247,6,FALSE),"")</f>
        <v/>
      </c>
      <c r="G511" s="62" t="str">
        <f t="shared" si="7"/>
        <v/>
      </c>
    </row>
    <row r="512" spans="5:7" x14ac:dyDescent="0.25">
      <c r="E512" s="62" t="str">
        <f>IFERROR(VLOOKUP(A512,Input!$D$241:$I$247,6,FALSE),"")</f>
        <v/>
      </c>
      <c r="G512" s="62" t="str">
        <f t="shared" si="7"/>
        <v/>
      </c>
    </row>
    <row r="513" spans="5:7" x14ac:dyDescent="0.25">
      <c r="E513" s="62" t="str">
        <f>IFERROR(VLOOKUP(A513,Input!$D$241:$I$247,6,FALSE),"")</f>
        <v/>
      </c>
      <c r="G513" s="62" t="str">
        <f t="shared" si="7"/>
        <v/>
      </c>
    </row>
    <row r="514" spans="5:7" x14ac:dyDescent="0.25">
      <c r="E514" s="62" t="str">
        <f>IFERROR(VLOOKUP(A514,Input!$D$241:$I$247,6,FALSE),"")</f>
        <v/>
      </c>
      <c r="G514" s="62" t="str">
        <f t="shared" si="7"/>
        <v/>
      </c>
    </row>
    <row r="515" spans="5:7" x14ac:dyDescent="0.25">
      <c r="E515" s="62" t="str">
        <f>IFERROR(VLOOKUP(A515,Input!$D$241:$I$247,6,FALSE),"")</f>
        <v/>
      </c>
      <c r="G515" s="62" t="str">
        <f t="shared" ref="G515:G578" si="8">IFERROR(D515+E515+F515,"")</f>
        <v/>
      </c>
    </row>
    <row r="516" spans="5:7" x14ac:dyDescent="0.25">
      <c r="E516" s="62" t="str">
        <f>IFERROR(VLOOKUP(A516,Input!$D$241:$I$247,6,FALSE),"")</f>
        <v/>
      </c>
      <c r="G516" s="62" t="str">
        <f t="shared" si="8"/>
        <v/>
      </c>
    </row>
    <row r="517" spans="5:7" x14ac:dyDescent="0.25">
      <c r="E517" s="62" t="str">
        <f>IFERROR(VLOOKUP(A517,Input!$D$241:$I$247,6,FALSE),"")</f>
        <v/>
      </c>
      <c r="G517" s="62" t="str">
        <f t="shared" si="8"/>
        <v/>
      </c>
    </row>
    <row r="518" spans="5:7" x14ac:dyDescent="0.25">
      <c r="E518" s="62" t="str">
        <f>IFERROR(VLOOKUP(A518,Input!$D$241:$I$247,6,FALSE),"")</f>
        <v/>
      </c>
      <c r="G518" s="62" t="str">
        <f t="shared" si="8"/>
        <v/>
      </c>
    </row>
    <row r="519" spans="5:7" x14ac:dyDescent="0.25">
      <c r="E519" s="62" t="str">
        <f>IFERROR(VLOOKUP(A519,Input!$D$241:$I$247,6,FALSE),"")</f>
        <v/>
      </c>
      <c r="G519" s="62" t="str">
        <f t="shared" si="8"/>
        <v/>
      </c>
    </row>
    <row r="520" spans="5:7" x14ac:dyDescent="0.25">
      <c r="E520" s="62" t="str">
        <f>IFERROR(VLOOKUP(A520,Input!$D$241:$I$247,6,FALSE),"")</f>
        <v/>
      </c>
      <c r="G520" s="62" t="str">
        <f t="shared" si="8"/>
        <v/>
      </c>
    </row>
    <row r="521" spans="5:7" x14ac:dyDescent="0.25">
      <c r="E521" s="62" t="str">
        <f>IFERROR(VLOOKUP(A521,Input!$D$241:$I$247,6,FALSE),"")</f>
        <v/>
      </c>
      <c r="G521" s="62" t="str">
        <f t="shared" si="8"/>
        <v/>
      </c>
    </row>
    <row r="522" spans="5:7" x14ac:dyDescent="0.25">
      <c r="E522" s="62" t="str">
        <f>IFERROR(VLOOKUP(A522,Input!$D$241:$I$247,6,FALSE),"")</f>
        <v/>
      </c>
      <c r="G522" s="62" t="str">
        <f t="shared" si="8"/>
        <v/>
      </c>
    </row>
    <row r="523" spans="5:7" x14ac:dyDescent="0.25">
      <c r="E523" s="62" t="str">
        <f>IFERROR(VLOOKUP(A523,Input!$D$241:$I$247,6,FALSE),"")</f>
        <v/>
      </c>
      <c r="G523" s="62" t="str">
        <f t="shared" si="8"/>
        <v/>
      </c>
    </row>
    <row r="524" spans="5:7" x14ac:dyDescent="0.25">
      <c r="E524" s="62" t="str">
        <f>IFERROR(VLOOKUP(A524,Input!$D$241:$I$247,6,FALSE),"")</f>
        <v/>
      </c>
      <c r="G524" s="62" t="str">
        <f t="shared" si="8"/>
        <v/>
      </c>
    </row>
    <row r="525" spans="5:7" x14ac:dyDescent="0.25">
      <c r="E525" s="62" t="str">
        <f>IFERROR(VLOOKUP(A525,Input!$D$241:$I$247,6,FALSE),"")</f>
        <v/>
      </c>
      <c r="G525" s="62" t="str">
        <f t="shared" si="8"/>
        <v/>
      </c>
    </row>
    <row r="526" spans="5:7" x14ac:dyDescent="0.25">
      <c r="E526" s="62" t="str">
        <f>IFERROR(VLOOKUP(A526,Input!$D$241:$I$247,6,FALSE),"")</f>
        <v/>
      </c>
      <c r="G526" s="62" t="str">
        <f t="shared" si="8"/>
        <v/>
      </c>
    </row>
    <row r="527" spans="5:7" x14ac:dyDescent="0.25">
      <c r="E527" s="62" t="str">
        <f>IFERROR(VLOOKUP(A527,Input!$D$241:$I$247,6,FALSE),"")</f>
        <v/>
      </c>
      <c r="G527" s="62" t="str">
        <f t="shared" si="8"/>
        <v/>
      </c>
    </row>
    <row r="528" spans="5:7" x14ac:dyDescent="0.25">
      <c r="E528" s="62" t="str">
        <f>IFERROR(VLOOKUP(A528,Input!$D$241:$I$247,6,FALSE),"")</f>
        <v/>
      </c>
      <c r="G528" s="62" t="str">
        <f t="shared" si="8"/>
        <v/>
      </c>
    </row>
    <row r="529" spans="5:7" x14ac:dyDescent="0.25">
      <c r="E529" s="62" t="str">
        <f>IFERROR(VLOOKUP(A529,Input!$D$241:$I$247,6,FALSE),"")</f>
        <v/>
      </c>
      <c r="G529" s="62" t="str">
        <f t="shared" si="8"/>
        <v/>
      </c>
    </row>
    <row r="530" spans="5:7" x14ac:dyDescent="0.25">
      <c r="E530" s="62" t="str">
        <f>IFERROR(VLOOKUP(A530,Input!$D$241:$I$247,6,FALSE),"")</f>
        <v/>
      </c>
      <c r="G530" s="62" t="str">
        <f t="shared" si="8"/>
        <v/>
      </c>
    </row>
    <row r="531" spans="5:7" x14ac:dyDescent="0.25">
      <c r="E531" s="62" t="str">
        <f>IFERROR(VLOOKUP(A531,Input!$D$241:$I$247,6,FALSE),"")</f>
        <v/>
      </c>
      <c r="G531" s="62" t="str">
        <f t="shared" si="8"/>
        <v/>
      </c>
    </row>
    <row r="532" spans="5:7" x14ac:dyDescent="0.25">
      <c r="E532" s="62" t="str">
        <f>IFERROR(VLOOKUP(A532,Input!$D$241:$I$247,6,FALSE),"")</f>
        <v/>
      </c>
      <c r="G532" s="62" t="str">
        <f t="shared" si="8"/>
        <v/>
      </c>
    </row>
    <row r="533" spans="5:7" x14ac:dyDescent="0.25">
      <c r="E533" s="62" t="str">
        <f>IFERROR(VLOOKUP(A533,Input!$D$241:$I$247,6,FALSE),"")</f>
        <v/>
      </c>
      <c r="G533" s="62" t="str">
        <f t="shared" si="8"/>
        <v/>
      </c>
    </row>
    <row r="534" spans="5:7" x14ac:dyDescent="0.25">
      <c r="E534" s="62" t="str">
        <f>IFERROR(VLOOKUP(A534,Input!$D$241:$I$247,6,FALSE),"")</f>
        <v/>
      </c>
      <c r="G534" s="62" t="str">
        <f t="shared" si="8"/>
        <v/>
      </c>
    </row>
    <row r="535" spans="5:7" x14ac:dyDescent="0.25">
      <c r="E535" s="62" t="str">
        <f>IFERROR(VLOOKUP(A535,Input!$D$241:$I$247,6,FALSE),"")</f>
        <v/>
      </c>
      <c r="G535" s="62" t="str">
        <f t="shared" si="8"/>
        <v/>
      </c>
    </row>
    <row r="536" spans="5:7" x14ac:dyDescent="0.25">
      <c r="E536" s="62" t="str">
        <f>IFERROR(VLOOKUP(A536,Input!$D$241:$I$247,6,FALSE),"")</f>
        <v/>
      </c>
      <c r="G536" s="62" t="str">
        <f t="shared" si="8"/>
        <v/>
      </c>
    </row>
    <row r="537" spans="5:7" x14ac:dyDescent="0.25">
      <c r="E537" s="62" t="str">
        <f>IFERROR(VLOOKUP(A537,Input!$D$241:$I$247,6,FALSE),"")</f>
        <v/>
      </c>
      <c r="G537" s="62" t="str">
        <f t="shared" si="8"/>
        <v/>
      </c>
    </row>
    <row r="538" spans="5:7" x14ac:dyDescent="0.25">
      <c r="E538" s="62" t="str">
        <f>IFERROR(VLOOKUP(A538,Input!$D$241:$I$247,6,FALSE),"")</f>
        <v/>
      </c>
      <c r="G538" s="62" t="str">
        <f t="shared" si="8"/>
        <v/>
      </c>
    </row>
    <row r="539" spans="5:7" x14ac:dyDescent="0.25">
      <c r="E539" s="62" t="str">
        <f>IFERROR(VLOOKUP(A539,Input!$D$241:$I$247,6,FALSE),"")</f>
        <v/>
      </c>
      <c r="G539" s="62" t="str">
        <f t="shared" si="8"/>
        <v/>
      </c>
    </row>
    <row r="540" spans="5:7" x14ac:dyDescent="0.25">
      <c r="E540" s="62" t="str">
        <f>IFERROR(VLOOKUP(A540,Input!$D$241:$I$247,6,FALSE),"")</f>
        <v/>
      </c>
      <c r="G540" s="62" t="str">
        <f t="shared" si="8"/>
        <v/>
      </c>
    </row>
    <row r="541" spans="5:7" x14ac:dyDescent="0.25">
      <c r="E541" s="62" t="str">
        <f>IFERROR(VLOOKUP(A541,Input!$D$241:$I$247,6,FALSE),"")</f>
        <v/>
      </c>
      <c r="G541" s="62" t="str">
        <f t="shared" si="8"/>
        <v/>
      </c>
    </row>
    <row r="542" spans="5:7" x14ac:dyDescent="0.25">
      <c r="E542" s="62" t="str">
        <f>IFERROR(VLOOKUP(A542,Input!$D$241:$I$247,6,FALSE),"")</f>
        <v/>
      </c>
      <c r="G542" s="62" t="str">
        <f t="shared" si="8"/>
        <v/>
      </c>
    </row>
    <row r="543" spans="5:7" x14ac:dyDescent="0.25">
      <c r="E543" s="62" t="str">
        <f>IFERROR(VLOOKUP(A543,Input!$D$241:$I$247,6,FALSE),"")</f>
        <v/>
      </c>
      <c r="G543" s="62" t="str">
        <f t="shared" si="8"/>
        <v/>
      </c>
    </row>
    <row r="544" spans="5:7" x14ac:dyDescent="0.25">
      <c r="E544" s="62" t="str">
        <f>IFERROR(VLOOKUP(A544,Input!$D$241:$I$247,6,FALSE),"")</f>
        <v/>
      </c>
      <c r="G544" s="62" t="str">
        <f t="shared" si="8"/>
        <v/>
      </c>
    </row>
    <row r="545" spans="5:7" x14ac:dyDescent="0.25">
      <c r="E545" s="62" t="str">
        <f>IFERROR(VLOOKUP(A545,Input!$D$241:$I$247,6,FALSE),"")</f>
        <v/>
      </c>
      <c r="G545" s="62" t="str">
        <f t="shared" si="8"/>
        <v/>
      </c>
    </row>
    <row r="546" spans="5:7" x14ac:dyDescent="0.25">
      <c r="E546" s="62" t="str">
        <f>IFERROR(VLOOKUP(A546,Input!$D$241:$I$247,6,FALSE),"")</f>
        <v/>
      </c>
      <c r="G546" s="62" t="str">
        <f t="shared" si="8"/>
        <v/>
      </c>
    </row>
    <row r="547" spans="5:7" x14ac:dyDescent="0.25">
      <c r="E547" s="62" t="str">
        <f>IFERROR(VLOOKUP(A547,Input!$D$241:$I$247,6,FALSE),"")</f>
        <v/>
      </c>
      <c r="G547" s="62" t="str">
        <f t="shared" si="8"/>
        <v/>
      </c>
    </row>
    <row r="548" spans="5:7" x14ac:dyDescent="0.25">
      <c r="E548" s="62" t="str">
        <f>IFERROR(VLOOKUP(A548,Input!$D$241:$I$247,6,FALSE),"")</f>
        <v/>
      </c>
      <c r="G548" s="62" t="str">
        <f t="shared" si="8"/>
        <v/>
      </c>
    </row>
    <row r="549" spans="5:7" x14ac:dyDescent="0.25">
      <c r="E549" s="62" t="str">
        <f>IFERROR(VLOOKUP(A549,Input!$D$241:$I$247,6,FALSE),"")</f>
        <v/>
      </c>
      <c r="G549" s="62" t="str">
        <f t="shared" si="8"/>
        <v/>
      </c>
    </row>
    <row r="550" spans="5:7" x14ac:dyDescent="0.25">
      <c r="E550" s="62" t="str">
        <f>IFERROR(VLOOKUP(A550,Input!$D$241:$I$247,6,FALSE),"")</f>
        <v/>
      </c>
      <c r="G550" s="62" t="str">
        <f t="shared" si="8"/>
        <v/>
      </c>
    </row>
    <row r="551" spans="5:7" x14ac:dyDescent="0.25">
      <c r="E551" s="62" t="str">
        <f>IFERROR(VLOOKUP(A551,Input!$D$241:$I$247,6,FALSE),"")</f>
        <v/>
      </c>
      <c r="G551" s="62" t="str">
        <f t="shared" si="8"/>
        <v/>
      </c>
    </row>
    <row r="552" spans="5:7" x14ac:dyDescent="0.25">
      <c r="E552" s="62" t="str">
        <f>IFERROR(VLOOKUP(A552,Input!$D$241:$I$247,6,FALSE),"")</f>
        <v/>
      </c>
      <c r="G552" s="62" t="str">
        <f t="shared" si="8"/>
        <v/>
      </c>
    </row>
    <row r="553" spans="5:7" x14ac:dyDescent="0.25">
      <c r="E553" s="62" t="str">
        <f>IFERROR(VLOOKUP(A553,Input!$D$241:$I$247,6,FALSE),"")</f>
        <v/>
      </c>
      <c r="G553" s="62" t="str">
        <f t="shared" si="8"/>
        <v/>
      </c>
    </row>
    <row r="554" spans="5:7" x14ac:dyDescent="0.25">
      <c r="E554" s="62" t="str">
        <f>IFERROR(VLOOKUP(A554,Input!$D$241:$I$247,6,FALSE),"")</f>
        <v/>
      </c>
      <c r="G554" s="62" t="str">
        <f t="shared" si="8"/>
        <v/>
      </c>
    </row>
    <row r="555" spans="5:7" x14ac:dyDescent="0.25">
      <c r="E555" s="62" t="str">
        <f>IFERROR(VLOOKUP(A555,Input!$D$241:$I$247,6,FALSE),"")</f>
        <v/>
      </c>
      <c r="G555" s="62" t="str">
        <f t="shared" si="8"/>
        <v/>
      </c>
    </row>
    <row r="556" spans="5:7" x14ac:dyDescent="0.25">
      <c r="E556" s="62" t="str">
        <f>IFERROR(VLOOKUP(A556,Input!$D$241:$I$247,6,FALSE),"")</f>
        <v/>
      </c>
      <c r="G556" s="62" t="str">
        <f t="shared" si="8"/>
        <v/>
      </c>
    </row>
    <row r="557" spans="5:7" x14ac:dyDescent="0.25">
      <c r="E557" s="62" t="str">
        <f>IFERROR(VLOOKUP(A557,Input!$D$241:$I$247,6,FALSE),"")</f>
        <v/>
      </c>
      <c r="G557" s="62" t="str">
        <f t="shared" si="8"/>
        <v/>
      </c>
    </row>
    <row r="558" spans="5:7" x14ac:dyDescent="0.25">
      <c r="E558" s="62" t="str">
        <f>IFERROR(VLOOKUP(A558,Input!$D$241:$I$247,6,FALSE),"")</f>
        <v/>
      </c>
      <c r="G558" s="62" t="str">
        <f t="shared" si="8"/>
        <v/>
      </c>
    </row>
    <row r="559" spans="5:7" x14ac:dyDescent="0.25">
      <c r="E559" s="62" t="str">
        <f>IFERROR(VLOOKUP(A559,Input!$D$241:$I$247,6,FALSE),"")</f>
        <v/>
      </c>
      <c r="G559" s="62" t="str">
        <f t="shared" si="8"/>
        <v/>
      </c>
    </row>
    <row r="560" spans="5:7" x14ac:dyDescent="0.25">
      <c r="E560" s="62" t="str">
        <f>IFERROR(VLOOKUP(A560,Input!$D$241:$I$247,6,FALSE),"")</f>
        <v/>
      </c>
      <c r="G560" s="62" t="str">
        <f t="shared" si="8"/>
        <v/>
      </c>
    </row>
    <row r="561" spans="5:7" x14ac:dyDescent="0.25">
      <c r="E561" s="62" t="str">
        <f>IFERROR(VLOOKUP(A561,Input!$D$241:$I$247,6,FALSE),"")</f>
        <v/>
      </c>
      <c r="G561" s="62" t="str">
        <f t="shared" si="8"/>
        <v/>
      </c>
    </row>
    <row r="562" spans="5:7" x14ac:dyDescent="0.25">
      <c r="E562" s="62" t="str">
        <f>IFERROR(VLOOKUP(A562,Input!$D$241:$I$247,6,FALSE),"")</f>
        <v/>
      </c>
      <c r="G562" s="62" t="str">
        <f t="shared" si="8"/>
        <v/>
      </c>
    </row>
    <row r="563" spans="5:7" x14ac:dyDescent="0.25">
      <c r="E563" s="62" t="str">
        <f>IFERROR(VLOOKUP(A563,Input!$D$241:$I$247,6,FALSE),"")</f>
        <v/>
      </c>
      <c r="G563" s="62" t="str">
        <f t="shared" si="8"/>
        <v/>
      </c>
    </row>
    <row r="564" spans="5:7" x14ac:dyDescent="0.25">
      <c r="E564" s="62" t="str">
        <f>IFERROR(VLOOKUP(A564,Input!$D$241:$I$247,6,FALSE),"")</f>
        <v/>
      </c>
      <c r="G564" s="62" t="str">
        <f t="shared" si="8"/>
        <v/>
      </c>
    </row>
    <row r="565" spans="5:7" x14ac:dyDescent="0.25">
      <c r="E565" s="62" t="str">
        <f>IFERROR(VLOOKUP(A565,Input!$D$241:$I$247,6,FALSE),"")</f>
        <v/>
      </c>
      <c r="G565" s="62" t="str">
        <f t="shared" si="8"/>
        <v/>
      </c>
    </row>
    <row r="566" spans="5:7" x14ac:dyDescent="0.25">
      <c r="E566" s="62" t="str">
        <f>IFERROR(VLOOKUP(A566,Input!$D$241:$I$247,6,FALSE),"")</f>
        <v/>
      </c>
      <c r="G566" s="62" t="str">
        <f t="shared" si="8"/>
        <v/>
      </c>
    </row>
    <row r="567" spans="5:7" x14ac:dyDescent="0.25">
      <c r="E567" s="62" t="str">
        <f>IFERROR(VLOOKUP(A567,Input!$D$241:$I$247,6,FALSE),"")</f>
        <v/>
      </c>
      <c r="G567" s="62" t="str">
        <f t="shared" si="8"/>
        <v/>
      </c>
    </row>
    <row r="568" spans="5:7" x14ac:dyDescent="0.25">
      <c r="E568" s="62" t="str">
        <f>IFERROR(VLOOKUP(A568,Input!$D$241:$I$247,6,FALSE),"")</f>
        <v/>
      </c>
      <c r="G568" s="62" t="str">
        <f t="shared" si="8"/>
        <v/>
      </c>
    </row>
    <row r="569" spans="5:7" x14ac:dyDescent="0.25">
      <c r="E569" s="62" t="str">
        <f>IFERROR(VLOOKUP(A569,Input!$D$241:$I$247,6,FALSE),"")</f>
        <v/>
      </c>
      <c r="G569" s="62" t="str">
        <f t="shared" si="8"/>
        <v/>
      </c>
    </row>
    <row r="570" spans="5:7" x14ac:dyDescent="0.25">
      <c r="E570" s="62" t="str">
        <f>IFERROR(VLOOKUP(A570,Input!$D$241:$I$247,6,FALSE),"")</f>
        <v/>
      </c>
      <c r="G570" s="62" t="str">
        <f t="shared" si="8"/>
        <v/>
      </c>
    </row>
    <row r="571" spans="5:7" x14ac:dyDescent="0.25">
      <c r="E571" s="62" t="str">
        <f>IFERROR(VLOOKUP(A571,Input!$D$241:$I$247,6,FALSE),"")</f>
        <v/>
      </c>
      <c r="G571" s="62" t="str">
        <f t="shared" si="8"/>
        <v/>
      </c>
    </row>
    <row r="572" spans="5:7" x14ac:dyDescent="0.25">
      <c r="E572" s="62" t="str">
        <f>IFERROR(VLOOKUP(A572,Input!$D$241:$I$247,6,FALSE),"")</f>
        <v/>
      </c>
      <c r="G572" s="62" t="str">
        <f t="shared" si="8"/>
        <v/>
      </c>
    </row>
    <row r="573" spans="5:7" x14ac:dyDescent="0.25">
      <c r="E573" s="62" t="str">
        <f>IFERROR(VLOOKUP(A573,Input!$D$241:$I$247,6,FALSE),"")</f>
        <v/>
      </c>
      <c r="G573" s="62" t="str">
        <f t="shared" si="8"/>
        <v/>
      </c>
    </row>
    <row r="574" spans="5:7" x14ac:dyDescent="0.25">
      <c r="E574" s="62" t="str">
        <f>IFERROR(VLOOKUP(A574,Input!$D$241:$I$247,6,FALSE),"")</f>
        <v/>
      </c>
      <c r="G574" s="62" t="str">
        <f t="shared" si="8"/>
        <v/>
      </c>
    </row>
    <row r="575" spans="5:7" x14ac:dyDescent="0.25">
      <c r="E575" s="62" t="str">
        <f>IFERROR(VLOOKUP(A575,Input!$D$241:$I$247,6,FALSE),"")</f>
        <v/>
      </c>
      <c r="G575" s="62" t="str">
        <f t="shared" si="8"/>
        <v/>
      </c>
    </row>
    <row r="576" spans="5:7" x14ac:dyDescent="0.25">
      <c r="E576" s="62" t="str">
        <f>IFERROR(VLOOKUP(A576,Input!$D$241:$I$247,6,FALSE),"")</f>
        <v/>
      </c>
      <c r="G576" s="62" t="str">
        <f t="shared" si="8"/>
        <v/>
      </c>
    </row>
    <row r="577" spans="5:7" x14ac:dyDescent="0.25">
      <c r="E577" s="62" t="str">
        <f>IFERROR(VLOOKUP(A577,Input!$D$241:$I$247,6,FALSE),"")</f>
        <v/>
      </c>
      <c r="G577" s="62" t="str">
        <f t="shared" si="8"/>
        <v/>
      </c>
    </row>
    <row r="578" spans="5:7" x14ac:dyDescent="0.25">
      <c r="E578" s="62" t="str">
        <f>IFERROR(VLOOKUP(A578,Input!$D$241:$I$247,6,FALSE),"")</f>
        <v/>
      </c>
      <c r="G578" s="62" t="str">
        <f t="shared" si="8"/>
        <v/>
      </c>
    </row>
    <row r="579" spans="5:7" x14ac:dyDescent="0.25">
      <c r="E579" s="62" t="str">
        <f>IFERROR(VLOOKUP(A579,Input!$D$241:$I$247,6,FALSE),"")</f>
        <v/>
      </c>
      <c r="G579" s="62" t="str">
        <f t="shared" ref="G579:G642" si="9">IFERROR(D579+E579+F579,"")</f>
        <v/>
      </c>
    </row>
    <row r="580" spans="5:7" x14ac:dyDescent="0.25">
      <c r="E580" s="62" t="str">
        <f>IFERROR(VLOOKUP(A580,Input!$D$241:$I$247,6,FALSE),"")</f>
        <v/>
      </c>
      <c r="G580" s="62" t="str">
        <f t="shared" si="9"/>
        <v/>
      </c>
    </row>
    <row r="581" spans="5:7" x14ac:dyDescent="0.25">
      <c r="E581" s="62" t="str">
        <f>IFERROR(VLOOKUP(A581,Input!$D$241:$I$247,6,FALSE),"")</f>
        <v/>
      </c>
      <c r="G581" s="62" t="str">
        <f t="shared" si="9"/>
        <v/>
      </c>
    </row>
    <row r="582" spans="5:7" x14ac:dyDescent="0.25">
      <c r="E582" s="62" t="str">
        <f>IFERROR(VLOOKUP(A582,Input!$D$241:$I$247,6,FALSE),"")</f>
        <v/>
      </c>
      <c r="G582" s="62" t="str">
        <f t="shared" si="9"/>
        <v/>
      </c>
    </row>
    <row r="583" spans="5:7" x14ac:dyDescent="0.25">
      <c r="E583" s="62" t="str">
        <f>IFERROR(VLOOKUP(A583,Input!$D$241:$I$247,6,FALSE),"")</f>
        <v/>
      </c>
      <c r="G583" s="62" t="str">
        <f t="shared" si="9"/>
        <v/>
      </c>
    </row>
    <row r="584" spans="5:7" x14ac:dyDescent="0.25">
      <c r="E584" s="62" t="str">
        <f>IFERROR(VLOOKUP(A584,Input!$D$241:$I$247,6,FALSE),"")</f>
        <v/>
      </c>
      <c r="G584" s="62" t="str">
        <f t="shared" si="9"/>
        <v/>
      </c>
    </row>
    <row r="585" spans="5:7" x14ac:dyDescent="0.25">
      <c r="E585" s="62" t="str">
        <f>IFERROR(VLOOKUP(A585,Input!$D$241:$I$247,6,FALSE),"")</f>
        <v/>
      </c>
      <c r="G585" s="62" t="str">
        <f t="shared" si="9"/>
        <v/>
      </c>
    </row>
    <row r="586" spans="5:7" x14ac:dyDescent="0.25">
      <c r="E586" s="62" t="str">
        <f>IFERROR(VLOOKUP(A586,Input!$D$241:$I$247,6,FALSE),"")</f>
        <v/>
      </c>
      <c r="G586" s="62" t="str">
        <f t="shared" si="9"/>
        <v/>
      </c>
    </row>
    <row r="587" spans="5:7" x14ac:dyDescent="0.25">
      <c r="E587" s="62" t="str">
        <f>IFERROR(VLOOKUP(A587,Input!$D$241:$I$247,6,FALSE),"")</f>
        <v/>
      </c>
      <c r="G587" s="62" t="str">
        <f t="shared" si="9"/>
        <v/>
      </c>
    </row>
    <row r="588" spans="5:7" x14ac:dyDescent="0.25">
      <c r="E588" s="62" t="str">
        <f>IFERROR(VLOOKUP(A588,Input!$D$241:$I$247,6,FALSE),"")</f>
        <v/>
      </c>
      <c r="G588" s="62" t="str">
        <f t="shared" si="9"/>
        <v/>
      </c>
    </row>
    <row r="589" spans="5:7" x14ac:dyDescent="0.25">
      <c r="E589" s="62" t="str">
        <f>IFERROR(VLOOKUP(A589,Input!$D$241:$I$247,6,FALSE),"")</f>
        <v/>
      </c>
      <c r="G589" s="62" t="str">
        <f t="shared" si="9"/>
        <v/>
      </c>
    </row>
    <row r="590" spans="5:7" x14ac:dyDescent="0.25">
      <c r="E590" s="62" t="str">
        <f>IFERROR(VLOOKUP(A590,Input!$D$241:$I$247,6,FALSE),"")</f>
        <v/>
      </c>
      <c r="G590" s="62" t="str">
        <f t="shared" si="9"/>
        <v/>
      </c>
    </row>
    <row r="591" spans="5:7" x14ac:dyDescent="0.25">
      <c r="E591" s="62" t="str">
        <f>IFERROR(VLOOKUP(A591,Input!$D$241:$I$247,6,FALSE),"")</f>
        <v/>
      </c>
      <c r="G591" s="62" t="str">
        <f t="shared" si="9"/>
        <v/>
      </c>
    </row>
    <row r="592" spans="5:7" x14ac:dyDescent="0.25">
      <c r="E592" s="62" t="str">
        <f>IFERROR(VLOOKUP(A592,Input!$D$241:$I$247,6,FALSE),"")</f>
        <v/>
      </c>
      <c r="G592" s="62" t="str">
        <f t="shared" si="9"/>
        <v/>
      </c>
    </row>
    <row r="593" spans="5:7" x14ac:dyDescent="0.25">
      <c r="E593" s="62" t="str">
        <f>IFERROR(VLOOKUP(A593,Input!$D$241:$I$247,6,FALSE),"")</f>
        <v/>
      </c>
      <c r="G593" s="62" t="str">
        <f t="shared" si="9"/>
        <v/>
      </c>
    </row>
    <row r="594" spans="5:7" x14ac:dyDescent="0.25">
      <c r="E594" s="62" t="str">
        <f>IFERROR(VLOOKUP(A594,Input!$D$241:$I$247,6,FALSE),"")</f>
        <v/>
      </c>
      <c r="G594" s="62" t="str">
        <f t="shared" si="9"/>
        <v/>
      </c>
    </row>
    <row r="595" spans="5:7" x14ac:dyDescent="0.25">
      <c r="E595" s="62" t="str">
        <f>IFERROR(VLOOKUP(A595,Input!$D$241:$I$247,6,FALSE),"")</f>
        <v/>
      </c>
      <c r="G595" s="62" t="str">
        <f t="shared" si="9"/>
        <v/>
      </c>
    </row>
    <row r="596" spans="5:7" x14ac:dyDescent="0.25">
      <c r="E596" s="62" t="str">
        <f>IFERROR(VLOOKUP(A596,Input!$D$241:$I$247,6,FALSE),"")</f>
        <v/>
      </c>
      <c r="G596" s="62" t="str">
        <f t="shared" si="9"/>
        <v/>
      </c>
    </row>
    <row r="597" spans="5:7" x14ac:dyDescent="0.25">
      <c r="E597" s="62" t="str">
        <f>IFERROR(VLOOKUP(A597,Input!$D$241:$I$247,6,FALSE),"")</f>
        <v/>
      </c>
      <c r="G597" s="62" t="str">
        <f t="shared" si="9"/>
        <v/>
      </c>
    </row>
    <row r="598" spans="5:7" x14ac:dyDescent="0.25">
      <c r="E598" s="62" t="str">
        <f>IFERROR(VLOOKUP(A598,Input!$D$241:$I$247,6,FALSE),"")</f>
        <v/>
      </c>
      <c r="G598" s="62" t="str">
        <f t="shared" si="9"/>
        <v/>
      </c>
    </row>
    <row r="599" spans="5:7" x14ac:dyDescent="0.25">
      <c r="E599" s="62" t="str">
        <f>IFERROR(VLOOKUP(A599,Input!$D$241:$I$247,6,FALSE),"")</f>
        <v/>
      </c>
      <c r="G599" s="62" t="str">
        <f t="shared" si="9"/>
        <v/>
      </c>
    </row>
    <row r="600" spans="5:7" x14ac:dyDescent="0.25">
      <c r="E600" s="62" t="str">
        <f>IFERROR(VLOOKUP(A600,Input!$D$241:$I$247,6,FALSE),"")</f>
        <v/>
      </c>
      <c r="G600" s="62" t="str">
        <f t="shared" si="9"/>
        <v/>
      </c>
    </row>
    <row r="601" spans="5:7" x14ac:dyDescent="0.25">
      <c r="E601" s="62" t="str">
        <f>IFERROR(VLOOKUP(A601,Input!$D$241:$I$247,6,FALSE),"")</f>
        <v/>
      </c>
      <c r="G601" s="62" t="str">
        <f t="shared" si="9"/>
        <v/>
      </c>
    </row>
    <row r="602" spans="5:7" x14ac:dyDescent="0.25">
      <c r="E602" s="62" t="str">
        <f>IFERROR(VLOOKUP(A602,Input!$D$241:$I$247,6,FALSE),"")</f>
        <v/>
      </c>
      <c r="G602" s="62" t="str">
        <f t="shared" si="9"/>
        <v/>
      </c>
    </row>
    <row r="603" spans="5:7" x14ac:dyDescent="0.25">
      <c r="E603" s="62" t="str">
        <f>IFERROR(VLOOKUP(A603,Input!$D$241:$I$247,6,FALSE),"")</f>
        <v/>
      </c>
      <c r="G603" s="62" t="str">
        <f t="shared" si="9"/>
        <v/>
      </c>
    </row>
    <row r="604" spans="5:7" x14ac:dyDescent="0.25">
      <c r="E604" s="62" t="str">
        <f>IFERROR(VLOOKUP(A604,Input!$D$241:$I$247,6,FALSE),"")</f>
        <v/>
      </c>
      <c r="G604" s="62" t="str">
        <f t="shared" si="9"/>
        <v/>
      </c>
    </row>
    <row r="605" spans="5:7" x14ac:dyDescent="0.25">
      <c r="E605" s="62" t="str">
        <f>IFERROR(VLOOKUP(A605,Input!$D$241:$I$247,6,FALSE),"")</f>
        <v/>
      </c>
      <c r="G605" s="62" t="str">
        <f t="shared" si="9"/>
        <v/>
      </c>
    </row>
    <row r="606" spans="5:7" x14ac:dyDescent="0.25">
      <c r="E606" s="62" t="str">
        <f>IFERROR(VLOOKUP(A606,Input!$D$241:$I$247,6,FALSE),"")</f>
        <v/>
      </c>
      <c r="G606" s="62" t="str">
        <f t="shared" si="9"/>
        <v/>
      </c>
    </row>
    <row r="607" spans="5:7" x14ac:dyDescent="0.25">
      <c r="E607" s="62" t="str">
        <f>IFERROR(VLOOKUP(A607,Input!$D$241:$I$247,6,FALSE),"")</f>
        <v/>
      </c>
      <c r="G607" s="62" t="str">
        <f t="shared" si="9"/>
        <v/>
      </c>
    </row>
    <row r="608" spans="5:7" x14ac:dyDescent="0.25">
      <c r="E608" s="62" t="str">
        <f>IFERROR(VLOOKUP(A608,Input!$D$241:$I$247,6,FALSE),"")</f>
        <v/>
      </c>
      <c r="G608" s="62" t="str">
        <f t="shared" si="9"/>
        <v/>
      </c>
    </row>
    <row r="609" spans="5:7" x14ac:dyDescent="0.25">
      <c r="E609" s="62" t="str">
        <f>IFERROR(VLOOKUP(A609,Input!$D$241:$I$247,6,FALSE),"")</f>
        <v/>
      </c>
      <c r="G609" s="62" t="str">
        <f t="shared" si="9"/>
        <v/>
      </c>
    </row>
    <row r="610" spans="5:7" x14ac:dyDescent="0.25">
      <c r="E610" s="62" t="str">
        <f>IFERROR(VLOOKUP(A610,Input!$D$241:$I$247,6,FALSE),"")</f>
        <v/>
      </c>
      <c r="G610" s="62" t="str">
        <f t="shared" si="9"/>
        <v/>
      </c>
    </row>
    <row r="611" spans="5:7" x14ac:dyDescent="0.25">
      <c r="E611" s="62" t="str">
        <f>IFERROR(VLOOKUP(A611,Input!$D$241:$I$247,6,FALSE),"")</f>
        <v/>
      </c>
      <c r="G611" s="62" t="str">
        <f t="shared" si="9"/>
        <v/>
      </c>
    </row>
    <row r="612" spans="5:7" x14ac:dyDescent="0.25">
      <c r="E612" s="62" t="str">
        <f>IFERROR(VLOOKUP(A612,Input!$D$241:$I$247,6,FALSE),"")</f>
        <v/>
      </c>
      <c r="G612" s="62" t="str">
        <f t="shared" si="9"/>
        <v/>
      </c>
    </row>
    <row r="613" spans="5:7" x14ac:dyDescent="0.25">
      <c r="E613" s="62" t="str">
        <f>IFERROR(VLOOKUP(A613,Input!$D$241:$I$247,6,FALSE),"")</f>
        <v/>
      </c>
      <c r="G613" s="62" t="str">
        <f t="shared" si="9"/>
        <v/>
      </c>
    </row>
    <row r="614" spans="5:7" x14ac:dyDescent="0.25">
      <c r="E614" s="62" t="str">
        <f>IFERROR(VLOOKUP(A614,Input!$D$241:$I$247,6,FALSE),"")</f>
        <v/>
      </c>
      <c r="G614" s="62" t="str">
        <f t="shared" si="9"/>
        <v/>
      </c>
    </row>
    <row r="615" spans="5:7" x14ac:dyDescent="0.25">
      <c r="E615" s="62" t="str">
        <f>IFERROR(VLOOKUP(A615,Input!$D$241:$I$247,6,FALSE),"")</f>
        <v/>
      </c>
      <c r="G615" s="62" t="str">
        <f t="shared" si="9"/>
        <v/>
      </c>
    </row>
    <row r="616" spans="5:7" x14ac:dyDescent="0.25">
      <c r="E616" s="62" t="str">
        <f>IFERROR(VLOOKUP(A616,Input!$D$241:$I$247,6,FALSE),"")</f>
        <v/>
      </c>
      <c r="G616" s="62" t="str">
        <f t="shared" si="9"/>
        <v/>
      </c>
    </row>
    <row r="617" spans="5:7" x14ac:dyDescent="0.25">
      <c r="E617" s="62" t="str">
        <f>IFERROR(VLOOKUP(A617,Input!$D$241:$I$247,6,FALSE),"")</f>
        <v/>
      </c>
      <c r="G617" s="62" t="str">
        <f t="shared" si="9"/>
        <v/>
      </c>
    </row>
    <row r="618" spans="5:7" x14ac:dyDescent="0.25">
      <c r="E618" s="62" t="str">
        <f>IFERROR(VLOOKUP(A618,Input!$D$241:$I$247,6,FALSE),"")</f>
        <v/>
      </c>
      <c r="G618" s="62" t="str">
        <f t="shared" si="9"/>
        <v/>
      </c>
    </row>
    <row r="619" spans="5:7" x14ac:dyDescent="0.25">
      <c r="E619" s="62" t="str">
        <f>IFERROR(VLOOKUP(A619,Input!$D$241:$I$247,6,FALSE),"")</f>
        <v/>
      </c>
      <c r="G619" s="62" t="str">
        <f t="shared" si="9"/>
        <v/>
      </c>
    </row>
    <row r="620" spans="5:7" x14ac:dyDescent="0.25">
      <c r="E620" s="62" t="str">
        <f>IFERROR(VLOOKUP(A620,Input!$D$241:$I$247,6,FALSE),"")</f>
        <v/>
      </c>
      <c r="G620" s="62" t="str">
        <f t="shared" si="9"/>
        <v/>
      </c>
    </row>
    <row r="621" spans="5:7" x14ac:dyDescent="0.25">
      <c r="E621" s="62" t="str">
        <f>IFERROR(VLOOKUP(A621,Input!$D$241:$I$247,6,FALSE),"")</f>
        <v/>
      </c>
      <c r="G621" s="62" t="str">
        <f t="shared" si="9"/>
        <v/>
      </c>
    </row>
    <row r="622" spans="5:7" x14ac:dyDescent="0.25">
      <c r="E622" s="62" t="str">
        <f>IFERROR(VLOOKUP(A622,Input!$D$241:$I$247,6,FALSE),"")</f>
        <v/>
      </c>
      <c r="G622" s="62" t="str">
        <f t="shared" si="9"/>
        <v/>
      </c>
    </row>
    <row r="623" spans="5:7" x14ac:dyDescent="0.25">
      <c r="E623" s="62" t="str">
        <f>IFERROR(VLOOKUP(A623,Input!$D$241:$I$247,6,FALSE),"")</f>
        <v/>
      </c>
      <c r="G623" s="62" t="str">
        <f t="shared" si="9"/>
        <v/>
      </c>
    </row>
    <row r="624" spans="5:7" x14ac:dyDescent="0.25">
      <c r="E624" s="62" t="str">
        <f>IFERROR(VLOOKUP(A624,Input!$D$241:$I$247,6,FALSE),"")</f>
        <v/>
      </c>
      <c r="G624" s="62" t="str">
        <f t="shared" si="9"/>
        <v/>
      </c>
    </row>
    <row r="625" spans="5:7" x14ac:dyDescent="0.25">
      <c r="E625" s="62" t="str">
        <f>IFERROR(VLOOKUP(A625,Input!$D$241:$I$247,6,FALSE),"")</f>
        <v/>
      </c>
      <c r="G625" s="62" t="str">
        <f t="shared" si="9"/>
        <v/>
      </c>
    </row>
    <row r="626" spans="5:7" x14ac:dyDescent="0.25">
      <c r="E626" s="62" t="str">
        <f>IFERROR(VLOOKUP(A626,Input!$D$241:$I$247,6,FALSE),"")</f>
        <v/>
      </c>
      <c r="G626" s="62" t="str">
        <f t="shared" si="9"/>
        <v/>
      </c>
    </row>
    <row r="627" spans="5:7" x14ac:dyDescent="0.25">
      <c r="E627" s="62" t="str">
        <f>IFERROR(VLOOKUP(A627,Input!$D$241:$I$247,6,FALSE),"")</f>
        <v/>
      </c>
      <c r="G627" s="62" t="str">
        <f t="shared" si="9"/>
        <v/>
      </c>
    </row>
    <row r="628" spans="5:7" x14ac:dyDescent="0.25">
      <c r="E628" s="62" t="str">
        <f>IFERROR(VLOOKUP(A628,Input!$D$241:$I$247,6,FALSE),"")</f>
        <v/>
      </c>
      <c r="G628" s="62" t="str">
        <f t="shared" si="9"/>
        <v/>
      </c>
    </row>
    <row r="629" spans="5:7" x14ac:dyDescent="0.25">
      <c r="E629" s="62" t="str">
        <f>IFERROR(VLOOKUP(A629,Input!$D$241:$I$247,6,FALSE),"")</f>
        <v/>
      </c>
      <c r="G629" s="62" t="str">
        <f t="shared" si="9"/>
        <v/>
      </c>
    </row>
    <row r="630" spans="5:7" x14ac:dyDescent="0.25">
      <c r="E630" s="62" t="str">
        <f>IFERROR(VLOOKUP(A630,Input!$D$241:$I$247,6,FALSE),"")</f>
        <v/>
      </c>
      <c r="G630" s="62" t="str">
        <f t="shared" si="9"/>
        <v/>
      </c>
    </row>
    <row r="631" spans="5:7" x14ac:dyDescent="0.25">
      <c r="E631" s="62" t="str">
        <f>IFERROR(VLOOKUP(A631,Input!$D$241:$I$247,6,FALSE),"")</f>
        <v/>
      </c>
      <c r="G631" s="62" t="str">
        <f t="shared" si="9"/>
        <v/>
      </c>
    </row>
    <row r="632" spans="5:7" x14ac:dyDescent="0.25">
      <c r="E632" s="62" t="str">
        <f>IFERROR(VLOOKUP(A632,Input!$D$241:$I$247,6,FALSE),"")</f>
        <v/>
      </c>
      <c r="G632" s="62" t="str">
        <f t="shared" si="9"/>
        <v/>
      </c>
    </row>
    <row r="633" spans="5:7" x14ac:dyDescent="0.25">
      <c r="E633" s="62" t="str">
        <f>IFERROR(VLOOKUP(A633,Input!$D$241:$I$247,6,FALSE),"")</f>
        <v/>
      </c>
      <c r="G633" s="62" t="str">
        <f t="shared" si="9"/>
        <v/>
      </c>
    </row>
    <row r="634" spans="5:7" x14ac:dyDescent="0.25">
      <c r="E634" s="62" t="str">
        <f>IFERROR(VLOOKUP(A634,Input!$D$241:$I$247,6,FALSE),"")</f>
        <v/>
      </c>
      <c r="G634" s="62" t="str">
        <f t="shared" si="9"/>
        <v/>
      </c>
    </row>
    <row r="635" spans="5:7" x14ac:dyDescent="0.25">
      <c r="E635" s="62" t="str">
        <f>IFERROR(VLOOKUP(A635,Input!$D$241:$I$247,6,FALSE),"")</f>
        <v/>
      </c>
      <c r="G635" s="62" t="str">
        <f t="shared" si="9"/>
        <v/>
      </c>
    </row>
    <row r="636" spans="5:7" x14ac:dyDescent="0.25">
      <c r="E636" s="62" t="str">
        <f>IFERROR(VLOOKUP(A636,Input!$D$241:$I$247,6,FALSE),"")</f>
        <v/>
      </c>
      <c r="G636" s="62" t="str">
        <f t="shared" si="9"/>
        <v/>
      </c>
    </row>
    <row r="637" spans="5:7" x14ac:dyDescent="0.25">
      <c r="E637" s="62" t="str">
        <f>IFERROR(VLOOKUP(A637,Input!$D$241:$I$247,6,FALSE),"")</f>
        <v/>
      </c>
      <c r="G637" s="62" t="str">
        <f t="shared" si="9"/>
        <v/>
      </c>
    </row>
    <row r="638" spans="5:7" x14ac:dyDescent="0.25">
      <c r="E638" s="62" t="str">
        <f>IFERROR(VLOOKUP(A638,Input!$D$241:$I$247,6,FALSE),"")</f>
        <v/>
      </c>
      <c r="G638" s="62" t="str">
        <f t="shared" si="9"/>
        <v/>
      </c>
    </row>
    <row r="639" spans="5:7" x14ac:dyDescent="0.25">
      <c r="E639" s="62" t="str">
        <f>IFERROR(VLOOKUP(A639,Input!$D$241:$I$247,6,FALSE),"")</f>
        <v/>
      </c>
      <c r="G639" s="62" t="str">
        <f t="shared" si="9"/>
        <v/>
      </c>
    </row>
    <row r="640" spans="5:7" x14ac:dyDescent="0.25">
      <c r="E640" s="62" t="str">
        <f>IFERROR(VLOOKUP(A640,Input!$D$241:$I$247,6,FALSE),"")</f>
        <v/>
      </c>
      <c r="G640" s="62" t="str">
        <f t="shared" si="9"/>
        <v/>
      </c>
    </row>
    <row r="641" spans="5:7" x14ac:dyDescent="0.25">
      <c r="E641" s="62" t="str">
        <f>IFERROR(VLOOKUP(A641,Input!$D$241:$I$247,6,FALSE),"")</f>
        <v/>
      </c>
      <c r="G641" s="62" t="str">
        <f t="shared" si="9"/>
        <v/>
      </c>
    </row>
    <row r="642" spans="5:7" x14ac:dyDescent="0.25">
      <c r="E642" s="62" t="str">
        <f>IFERROR(VLOOKUP(A642,Input!$D$241:$I$247,6,FALSE),"")</f>
        <v/>
      </c>
      <c r="G642" s="62" t="str">
        <f t="shared" si="9"/>
        <v/>
      </c>
    </row>
    <row r="643" spans="5:7" x14ac:dyDescent="0.25">
      <c r="E643" s="62" t="str">
        <f>IFERROR(VLOOKUP(A643,Input!$D$241:$I$247,6,FALSE),"")</f>
        <v/>
      </c>
      <c r="G643" s="62" t="str">
        <f t="shared" ref="G643:G706" si="10">IFERROR(D643+E643+F643,"")</f>
        <v/>
      </c>
    </row>
    <row r="644" spans="5:7" x14ac:dyDescent="0.25">
      <c r="E644" s="62" t="str">
        <f>IFERROR(VLOOKUP(A644,Input!$D$241:$I$247,6,FALSE),"")</f>
        <v/>
      </c>
      <c r="G644" s="62" t="str">
        <f t="shared" si="10"/>
        <v/>
      </c>
    </row>
    <row r="645" spans="5:7" x14ac:dyDescent="0.25">
      <c r="E645" s="62" t="str">
        <f>IFERROR(VLOOKUP(A645,Input!$D$241:$I$247,6,FALSE),"")</f>
        <v/>
      </c>
      <c r="G645" s="62" t="str">
        <f t="shared" si="10"/>
        <v/>
      </c>
    </row>
    <row r="646" spans="5:7" x14ac:dyDescent="0.25">
      <c r="E646" s="62" t="str">
        <f>IFERROR(VLOOKUP(A646,Input!$D$241:$I$247,6,FALSE),"")</f>
        <v/>
      </c>
      <c r="G646" s="62" t="str">
        <f t="shared" si="10"/>
        <v/>
      </c>
    </row>
    <row r="647" spans="5:7" x14ac:dyDescent="0.25">
      <c r="E647" s="62" t="str">
        <f>IFERROR(VLOOKUP(A647,Input!$D$241:$I$247,6,FALSE),"")</f>
        <v/>
      </c>
      <c r="G647" s="62" t="str">
        <f t="shared" si="10"/>
        <v/>
      </c>
    </row>
    <row r="648" spans="5:7" x14ac:dyDescent="0.25">
      <c r="E648" s="62" t="str">
        <f>IFERROR(VLOOKUP(A648,Input!$D$241:$I$247,6,FALSE),"")</f>
        <v/>
      </c>
      <c r="G648" s="62" t="str">
        <f t="shared" si="10"/>
        <v/>
      </c>
    </row>
    <row r="649" spans="5:7" x14ac:dyDescent="0.25">
      <c r="E649" s="62" t="str">
        <f>IFERROR(VLOOKUP(A649,Input!$D$241:$I$247,6,FALSE),"")</f>
        <v/>
      </c>
      <c r="G649" s="62" t="str">
        <f t="shared" si="10"/>
        <v/>
      </c>
    </row>
    <row r="650" spans="5:7" x14ac:dyDescent="0.25">
      <c r="E650" s="62" t="str">
        <f>IFERROR(VLOOKUP(A650,Input!$D$241:$I$247,6,FALSE),"")</f>
        <v/>
      </c>
      <c r="G650" s="62" t="str">
        <f t="shared" si="10"/>
        <v/>
      </c>
    </row>
    <row r="651" spans="5:7" x14ac:dyDescent="0.25">
      <c r="E651" s="62" t="str">
        <f>IFERROR(VLOOKUP(A651,Input!$D$241:$I$247,6,FALSE),"")</f>
        <v/>
      </c>
      <c r="G651" s="62" t="str">
        <f t="shared" si="10"/>
        <v/>
      </c>
    </row>
    <row r="652" spans="5:7" x14ac:dyDescent="0.25">
      <c r="E652" s="62" t="str">
        <f>IFERROR(VLOOKUP(A652,Input!$D$241:$I$247,6,FALSE),"")</f>
        <v/>
      </c>
      <c r="G652" s="62" t="str">
        <f t="shared" si="10"/>
        <v/>
      </c>
    </row>
    <row r="653" spans="5:7" x14ac:dyDescent="0.25">
      <c r="E653" s="62" t="str">
        <f>IFERROR(VLOOKUP(A653,Input!$D$241:$I$247,6,FALSE),"")</f>
        <v/>
      </c>
      <c r="G653" s="62" t="str">
        <f t="shared" si="10"/>
        <v/>
      </c>
    </row>
    <row r="654" spans="5:7" x14ac:dyDescent="0.25">
      <c r="E654" s="62" t="str">
        <f>IFERROR(VLOOKUP(A654,Input!$D$241:$I$247,6,FALSE),"")</f>
        <v/>
      </c>
      <c r="G654" s="62" t="str">
        <f t="shared" si="10"/>
        <v/>
      </c>
    </row>
    <row r="655" spans="5:7" x14ac:dyDescent="0.25">
      <c r="E655" s="62" t="str">
        <f>IFERROR(VLOOKUP(A655,Input!$D$241:$I$247,6,FALSE),"")</f>
        <v/>
      </c>
      <c r="G655" s="62" t="str">
        <f t="shared" si="10"/>
        <v/>
      </c>
    </row>
    <row r="656" spans="5:7" x14ac:dyDescent="0.25">
      <c r="E656" s="62" t="str">
        <f>IFERROR(VLOOKUP(A656,Input!$D$241:$I$247,6,FALSE),"")</f>
        <v/>
      </c>
      <c r="G656" s="62" t="str">
        <f t="shared" si="10"/>
        <v/>
      </c>
    </row>
    <row r="657" spans="5:7" x14ac:dyDescent="0.25">
      <c r="E657" s="62" t="str">
        <f>IFERROR(VLOOKUP(A657,Input!$D$241:$I$247,6,FALSE),"")</f>
        <v/>
      </c>
      <c r="G657" s="62" t="str">
        <f t="shared" si="10"/>
        <v/>
      </c>
    </row>
    <row r="658" spans="5:7" x14ac:dyDescent="0.25">
      <c r="E658" s="62" t="str">
        <f>IFERROR(VLOOKUP(A658,Input!$D$241:$I$247,6,FALSE),"")</f>
        <v/>
      </c>
      <c r="G658" s="62" t="str">
        <f t="shared" si="10"/>
        <v/>
      </c>
    </row>
    <row r="659" spans="5:7" x14ac:dyDescent="0.25">
      <c r="E659" s="62" t="str">
        <f>IFERROR(VLOOKUP(A659,Input!$D$241:$I$247,6,FALSE),"")</f>
        <v/>
      </c>
      <c r="G659" s="62" t="str">
        <f t="shared" si="10"/>
        <v/>
      </c>
    </row>
    <row r="660" spans="5:7" x14ac:dyDescent="0.25">
      <c r="E660" s="62" t="str">
        <f>IFERROR(VLOOKUP(A660,Input!$D$241:$I$247,6,FALSE),"")</f>
        <v/>
      </c>
      <c r="G660" s="62" t="str">
        <f t="shared" si="10"/>
        <v/>
      </c>
    </row>
    <row r="661" spans="5:7" x14ac:dyDescent="0.25">
      <c r="E661" s="62" t="str">
        <f>IFERROR(VLOOKUP(A661,Input!$D$241:$I$247,6,FALSE),"")</f>
        <v/>
      </c>
      <c r="G661" s="62" t="str">
        <f t="shared" si="10"/>
        <v/>
      </c>
    </row>
    <row r="662" spans="5:7" x14ac:dyDescent="0.25">
      <c r="E662" s="62" t="str">
        <f>IFERROR(VLOOKUP(A662,Input!$D$241:$I$247,6,FALSE),"")</f>
        <v/>
      </c>
      <c r="G662" s="62" t="str">
        <f t="shared" si="10"/>
        <v/>
      </c>
    </row>
    <row r="663" spans="5:7" x14ac:dyDescent="0.25">
      <c r="E663" s="62" t="str">
        <f>IFERROR(VLOOKUP(A663,Input!$D$241:$I$247,6,FALSE),"")</f>
        <v/>
      </c>
      <c r="G663" s="62" t="str">
        <f t="shared" si="10"/>
        <v/>
      </c>
    </row>
    <row r="664" spans="5:7" x14ac:dyDescent="0.25">
      <c r="E664" s="62" t="str">
        <f>IFERROR(VLOOKUP(A664,Input!$D$241:$I$247,6,FALSE),"")</f>
        <v/>
      </c>
      <c r="G664" s="62" t="str">
        <f t="shared" si="10"/>
        <v/>
      </c>
    </row>
    <row r="665" spans="5:7" x14ac:dyDescent="0.25">
      <c r="E665" s="62" t="str">
        <f>IFERROR(VLOOKUP(A665,Input!$D$241:$I$247,6,FALSE),"")</f>
        <v/>
      </c>
      <c r="G665" s="62" t="str">
        <f t="shared" si="10"/>
        <v/>
      </c>
    </row>
    <row r="666" spans="5:7" x14ac:dyDescent="0.25">
      <c r="E666" s="62" t="str">
        <f>IFERROR(VLOOKUP(A666,Input!$D$241:$I$247,6,FALSE),"")</f>
        <v/>
      </c>
      <c r="G666" s="62" t="str">
        <f t="shared" si="10"/>
        <v/>
      </c>
    </row>
    <row r="667" spans="5:7" x14ac:dyDescent="0.25">
      <c r="E667" s="62" t="str">
        <f>IFERROR(VLOOKUP(A667,Input!$D$241:$I$247,6,FALSE),"")</f>
        <v/>
      </c>
      <c r="G667" s="62" t="str">
        <f t="shared" si="10"/>
        <v/>
      </c>
    </row>
    <row r="668" spans="5:7" x14ac:dyDescent="0.25">
      <c r="E668" s="62" t="str">
        <f>IFERROR(VLOOKUP(A668,Input!$D$241:$I$247,6,FALSE),"")</f>
        <v/>
      </c>
      <c r="G668" s="62" t="str">
        <f t="shared" si="10"/>
        <v/>
      </c>
    </row>
    <row r="669" spans="5:7" x14ac:dyDescent="0.25">
      <c r="E669" s="62" t="str">
        <f>IFERROR(VLOOKUP(A669,Input!$D$241:$I$247,6,FALSE),"")</f>
        <v/>
      </c>
      <c r="G669" s="62" t="str">
        <f t="shared" si="10"/>
        <v/>
      </c>
    </row>
    <row r="670" spans="5:7" x14ac:dyDescent="0.25">
      <c r="E670" s="62" t="str">
        <f>IFERROR(VLOOKUP(A670,Input!$D$241:$I$247,6,FALSE),"")</f>
        <v/>
      </c>
      <c r="G670" s="62" t="str">
        <f t="shared" si="10"/>
        <v/>
      </c>
    </row>
    <row r="671" spans="5:7" x14ac:dyDescent="0.25">
      <c r="E671" s="62" t="str">
        <f>IFERROR(VLOOKUP(A671,Input!$D$241:$I$247,6,FALSE),"")</f>
        <v/>
      </c>
      <c r="G671" s="62" t="str">
        <f t="shared" si="10"/>
        <v/>
      </c>
    </row>
    <row r="672" spans="5:7" x14ac:dyDescent="0.25">
      <c r="E672" s="62" t="str">
        <f>IFERROR(VLOOKUP(A672,Input!$D$241:$I$247,6,FALSE),"")</f>
        <v/>
      </c>
      <c r="G672" s="62" t="str">
        <f t="shared" si="10"/>
        <v/>
      </c>
    </row>
    <row r="673" spans="5:7" x14ac:dyDescent="0.25">
      <c r="E673" s="62" t="str">
        <f>IFERROR(VLOOKUP(A673,Input!$D$241:$I$247,6,FALSE),"")</f>
        <v/>
      </c>
      <c r="G673" s="62" t="str">
        <f t="shared" si="10"/>
        <v/>
      </c>
    </row>
    <row r="674" spans="5:7" x14ac:dyDescent="0.25">
      <c r="E674" s="62" t="str">
        <f>IFERROR(VLOOKUP(A674,Input!$D$241:$I$247,6,FALSE),"")</f>
        <v/>
      </c>
      <c r="G674" s="62" t="str">
        <f t="shared" si="10"/>
        <v/>
      </c>
    </row>
    <row r="675" spans="5:7" x14ac:dyDescent="0.25">
      <c r="E675" s="62" t="str">
        <f>IFERROR(VLOOKUP(A675,Input!$D$241:$I$247,6,FALSE),"")</f>
        <v/>
      </c>
      <c r="G675" s="62" t="str">
        <f t="shared" si="10"/>
        <v/>
      </c>
    </row>
    <row r="676" spans="5:7" x14ac:dyDescent="0.25">
      <c r="E676" s="62" t="str">
        <f>IFERROR(VLOOKUP(A676,Input!$D$241:$I$247,6,FALSE),"")</f>
        <v/>
      </c>
      <c r="G676" s="62" t="str">
        <f t="shared" si="10"/>
        <v/>
      </c>
    </row>
    <row r="677" spans="5:7" x14ac:dyDescent="0.25">
      <c r="E677" s="62" t="str">
        <f>IFERROR(VLOOKUP(A677,Input!$D$241:$I$247,6,FALSE),"")</f>
        <v/>
      </c>
      <c r="G677" s="62" t="str">
        <f t="shared" si="10"/>
        <v/>
      </c>
    </row>
    <row r="678" spans="5:7" x14ac:dyDescent="0.25">
      <c r="E678" s="62" t="str">
        <f>IFERROR(VLOOKUP(A678,Input!$D$241:$I$247,6,FALSE),"")</f>
        <v/>
      </c>
      <c r="G678" s="62" t="str">
        <f t="shared" si="10"/>
        <v/>
      </c>
    </row>
    <row r="679" spans="5:7" x14ac:dyDescent="0.25">
      <c r="E679" s="62" t="str">
        <f>IFERROR(VLOOKUP(A679,Input!$D$241:$I$247,6,FALSE),"")</f>
        <v/>
      </c>
      <c r="G679" s="62" t="str">
        <f t="shared" si="10"/>
        <v/>
      </c>
    </row>
    <row r="680" spans="5:7" x14ac:dyDescent="0.25">
      <c r="E680" s="62" t="str">
        <f>IFERROR(VLOOKUP(A680,Input!$D$241:$I$247,6,FALSE),"")</f>
        <v/>
      </c>
      <c r="G680" s="62" t="str">
        <f t="shared" si="10"/>
        <v/>
      </c>
    </row>
    <row r="681" spans="5:7" x14ac:dyDescent="0.25">
      <c r="E681" s="62" t="str">
        <f>IFERROR(VLOOKUP(A681,Input!$D$241:$I$247,6,FALSE),"")</f>
        <v/>
      </c>
      <c r="G681" s="62" t="str">
        <f t="shared" si="10"/>
        <v/>
      </c>
    </row>
    <row r="682" spans="5:7" x14ac:dyDescent="0.25">
      <c r="E682" s="62" t="str">
        <f>IFERROR(VLOOKUP(A682,Input!$D$241:$I$247,6,FALSE),"")</f>
        <v/>
      </c>
      <c r="G682" s="62" t="str">
        <f t="shared" si="10"/>
        <v/>
      </c>
    </row>
    <row r="683" spans="5:7" x14ac:dyDescent="0.25">
      <c r="E683" s="62" t="str">
        <f>IFERROR(VLOOKUP(A683,Input!$D$241:$I$247,6,FALSE),"")</f>
        <v/>
      </c>
      <c r="G683" s="62" t="str">
        <f t="shared" si="10"/>
        <v/>
      </c>
    </row>
    <row r="684" spans="5:7" x14ac:dyDescent="0.25">
      <c r="E684" s="62" t="str">
        <f>IFERROR(VLOOKUP(A684,Input!$D$241:$I$247,6,FALSE),"")</f>
        <v/>
      </c>
      <c r="G684" s="62" t="str">
        <f t="shared" si="10"/>
        <v/>
      </c>
    </row>
    <row r="685" spans="5:7" x14ac:dyDescent="0.25">
      <c r="E685" s="62" t="str">
        <f>IFERROR(VLOOKUP(A685,Input!$D$241:$I$247,6,FALSE),"")</f>
        <v/>
      </c>
      <c r="G685" s="62" t="str">
        <f t="shared" si="10"/>
        <v/>
      </c>
    </row>
    <row r="686" spans="5:7" x14ac:dyDescent="0.25">
      <c r="E686" s="62" t="str">
        <f>IFERROR(VLOOKUP(A686,Input!$D$241:$I$247,6,FALSE),"")</f>
        <v/>
      </c>
      <c r="G686" s="62" t="str">
        <f t="shared" si="10"/>
        <v/>
      </c>
    </row>
    <row r="687" spans="5:7" x14ac:dyDescent="0.25">
      <c r="E687" s="62" t="str">
        <f>IFERROR(VLOOKUP(A687,Input!$D$241:$I$247,6,FALSE),"")</f>
        <v/>
      </c>
      <c r="G687" s="62" t="str">
        <f t="shared" si="10"/>
        <v/>
      </c>
    </row>
    <row r="688" spans="5:7" x14ac:dyDescent="0.25">
      <c r="E688" s="62" t="str">
        <f>IFERROR(VLOOKUP(A688,Input!$D$241:$I$247,6,FALSE),"")</f>
        <v/>
      </c>
      <c r="G688" s="62" t="str">
        <f t="shared" si="10"/>
        <v/>
      </c>
    </row>
    <row r="689" spans="5:7" x14ac:dyDescent="0.25">
      <c r="E689" s="62" t="str">
        <f>IFERROR(VLOOKUP(A689,Input!$D$241:$I$247,6,FALSE),"")</f>
        <v/>
      </c>
      <c r="G689" s="62" t="str">
        <f t="shared" si="10"/>
        <v/>
      </c>
    </row>
    <row r="690" spans="5:7" x14ac:dyDescent="0.25">
      <c r="E690" s="62" t="str">
        <f>IFERROR(VLOOKUP(A690,Input!$D$241:$I$247,6,FALSE),"")</f>
        <v/>
      </c>
      <c r="G690" s="62" t="str">
        <f t="shared" si="10"/>
        <v/>
      </c>
    </row>
    <row r="691" spans="5:7" x14ac:dyDescent="0.25">
      <c r="E691" s="62" t="str">
        <f>IFERROR(VLOOKUP(A691,Input!$D$241:$I$247,6,FALSE),"")</f>
        <v/>
      </c>
      <c r="G691" s="62" t="str">
        <f t="shared" si="10"/>
        <v/>
      </c>
    </row>
    <row r="692" spans="5:7" x14ac:dyDescent="0.25">
      <c r="E692" s="62" t="str">
        <f>IFERROR(VLOOKUP(A692,Input!$D$241:$I$247,6,FALSE),"")</f>
        <v/>
      </c>
      <c r="G692" s="62" t="str">
        <f t="shared" si="10"/>
        <v/>
      </c>
    </row>
    <row r="693" spans="5:7" x14ac:dyDescent="0.25">
      <c r="E693" s="62" t="str">
        <f>IFERROR(VLOOKUP(A693,Input!$D$241:$I$247,6,FALSE),"")</f>
        <v/>
      </c>
      <c r="G693" s="62" t="str">
        <f t="shared" si="10"/>
        <v/>
      </c>
    </row>
    <row r="694" spans="5:7" x14ac:dyDescent="0.25">
      <c r="E694" s="62" t="str">
        <f>IFERROR(VLOOKUP(A694,Input!$D$241:$I$247,6,FALSE),"")</f>
        <v/>
      </c>
      <c r="G694" s="62" t="str">
        <f t="shared" si="10"/>
        <v/>
      </c>
    </row>
    <row r="695" spans="5:7" x14ac:dyDescent="0.25">
      <c r="E695" s="62" t="str">
        <f>IFERROR(VLOOKUP(A695,Input!$D$241:$I$247,6,FALSE),"")</f>
        <v/>
      </c>
      <c r="G695" s="62" t="str">
        <f t="shared" si="10"/>
        <v/>
      </c>
    </row>
    <row r="696" spans="5:7" x14ac:dyDescent="0.25">
      <c r="E696" s="62" t="str">
        <f>IFERROR(VLOOKUP(A696,Input!$D$241:$I$247,6,FALSE),"")</f>
        <v/>
      </c>
      <c r="G696" s="62" t="str">
        <f t="shared" si="10"/>
        <v/>
      </c>
    </row>
    <row r="697" spans="5:7" x14ac:dyDescent="0.25">
      <c r="E697" s="62" t="str">
        <f>IFERROR(VLOOKUP(A697,Input!$D$241:$I$247,6,FALSE),"")</f>
        <v/>
      </c>
      <c r="G697" s="62" t="str">
        <f t="shared" si="10"/>
        <v/>
      </c>
    </row>
    <row r="698" spans="5:7" x14ac:dyDescent="0.25">
      <c r="E698" s="62" t="str">
        <f>IFERROR(VLOOKUP(A698,Input!$D$241:$I$247,6,FALSE),"")</f>
        <v/>
      </c>
      <c r="G698" s="62" t="str">
        <f t="shared" si="10"/>
        <v/>
      </c>
    </row>
    <row r="699" spans="5:7" x14ac:dyDescent="0.25">
      <c r="E699" s="62" t="str">
        <f>IFERROR(VLOOKUP(A699,Input!$D$241:$I$247,6,FALSE),"")</f>
        <v/>
      </c>
      <c r="G699" s="62" t="str">
        <f t="shared" si="10"/>
        <v/>
      </c>
    </row>
    <row r="700" spans="5:7" x14ac:dyDescent="0.25">
      <c r="E700" s="62" t="str">
        <f>IFERROR(VLOOKUP(A700,Input!$D$241:$I$247,6,FALSE),"")</f>
        <v/>
      </c>
      <c r="G700" s="62" t="str">
        <f t="shared" si="10"/>
        <v/>
      </c>
    </row>
    <row r="701" spans="5:7" x14ac:dyDescent="0.25">
      <c r="E701" s="62" t="str">
        <f>IFERROR(VLOOKUP(A701,Input!$D$241:$I$247,6,FALSE),"")</f>
        <v/>
      </c>
      <c r="G701" s="62" t="str">
        <f t="shared" si="10"/>
        <v/>
      </c>
    </row>
    <row r="702" spans="5:7" x14ac:dyDescent="0.25">
      <c r="E702" s="62" t="str">
        <f>IFERROR(VLOOKUP(A702,Input!$D$241:$I$247,6,FALSE),"")</f>
        <v/>
      </c>
      <c r="G702" s="62" t="str">
        <f t="shared" si="10"/>
        <v/>
      </c>
    </row>
    <row r="703" spans="5:7" x14ac:dyDescent="0.25">
      <c r="E703" s="62" t="str">
        <f>IFERROR(VLOOKUP(A703,Input!$D$241:$I$247,6,FALSE),"")</f>
        <v/>
      </c>
      <c r="G703" s="62" t="str">
        <f t="shared" si="10"/>
        <v/>
      </c>
    </row>
    <row r="704" spans="5:7" x14ac:dyDescent="0.25">
      <c r="E704" s="62" t="str">
        <f>IFERROR(VLOOKUP(A704,Input!$D$241:$I$247,6,FALSE),"")</f>
        <v/>
      </c>
      <c r="G704" s="62" t="str">
        <f t="shared" si="10"/>
        <v/>
      </c>
    </row>
    <row r="705" spans="5:7" x14ac:dyDescent="0.25">
      <c r="E705" s="62" t="str">
        <f>IFERROR(VLOOKUP(A705,Input!$D$241:$I$247,6,FALSE),"")</f>
        <v/>
      </c>
      <c r="G705" s="62" t="str">
        <f t="shared" si="10"/>
        <v/>
      </c>
    </row>
    <row r="706" spans="5:7" x14ac:dyDescent="0.25">
      <c r="E706" s="62" t="str">
        <f>IFERROR(VLOOKUP(A706,Input!$D$241:$I$247,6,FALSE),"")</f>
        <v/>
      </c>
      <c r="G706" s="62" t="str">
        <f t="shared" si="10"/>
        <v/>
      </c>
    </row>
    <row r="707" spans="5:7" x14ac:dyDescent="0.25">
      <c r="E707" s="62" t="str">
        <f>IFERROR(VLOOKUP(A707,Input!$D$241:$I$247,6,FALSE),"")</f>
        <v/>
      </c>
      <c r="G707" s="62" t="str">
        <f t="shared" ref="G707:G721" si="11">IFERROR(D707+E707+F707,"")</f>
        <v/>
      </c>
    </row>
    <row r="708" spans="5:7" x14ac:dyDescent="0.25">
      <c r="E708" s="62" t="str">
        <f>IFERROR(VLOOKUP(A708,Input!$D$241:$I$247,6,FALSE),"")</f>
        <v/>
      </c>
      <c r="G708" s="62" t="str">
        <f t="shared" si="11"/>
        <v/>
      </c>
    </row>
    <row r="709" spans="5:7" x14ac:dyDescent="0.25">
      <c r="E709" s="62" t="str">
        <f>IFERROR(VLOOKUP(A709,Input!$D$241:$I$247,6,FALSE),"")</f>
        <v/>
      </c>
      <c r="G709" s="62" t="str">
        <f t="shared" si="11"/>
        <v/>
      </c>
    </row>
    <row r="710" spans="5:7" x14ac:dyDescent="0.25">
      <c r="E710" s="62" t="str">
        <f>IFERROR(VLOOKUP(A710,Input!$D$241:$I$247,6,FALSE),"")</f>
        <v/>
      </c>
      <c r="G710" s="62" t="str">
        <f t="shared" si="11"/>
        <v/>
      </c>
    </row>
    <row r="711" spans="5:7" x14ac:dyDescent="0.25">
      <c r="E711" s="62" t="str">
        <f>IFERROR(VLOOKUP(A711,Input!$D$241:$I$247,6,FALSE),"")</f>
        <v/>
      </c>
      <c r="G711" s="62" t="str">
        <f t="shared" si="11"/>
        <v/>
      </c>
    </row>
    <row r="712" spans="5:7" x14ac:dyDescent="0.25">
      <c r="E712" s="62" t="str">
        <f>IFERROR(VLOOKUP(A712,Input!$D$241:$I$247,6,FALSE),"")</f>
        <v/>
      </c>
      <c r="G712" s="62" t="str">
        <f t="shared" si="11"/>
        <v/>
      </c>
    </row>
    <row r="713" spans="5:7" x14ac:dyDescent="0.25">
      <c r="E713" s="62" t="str">
        <f>IFERROR(VLOOKUP(A713,Input!$D$241:$I$247,6,FALSE),"")</f>
        <v/>
      </c>
      <c r="G713" s="62" t="str">
        <f t="shared" si="11"/>
        <v/>
      </c>
    </row>
    <row r="714" spans="5:7" x14ac:dyDescent="0.25">
      <c r="E714" s="62" t="str">
        <f>IFERROR(VLOOKUP(A714,Input!$D$241:$I$247,6,FALSE),"")</f>
        <v/>
      </c>
      <c r="G714" s="62" t="str">
        <f t="shared" si="11"/>
        <v/>
      </c>
    </row>
    <row r="715" spans="5:7" x14ac:dyDescent="0.25">
      <c r="E715" s="62" t="str">
        <f>IFERROR(VLOOKUP(A715,Input!$D$241:$I$247,6,FALSE),"")</f>
        <v/>
      </c>
      <c r="G715" s="62" t="str">
        <f t="shared" si="11"/>
        <v/>
      </c>
    </row>
    <row r="716" spans="5:7" x14ac:dyDescent="0.25">
      <c r="E716" s="62" t="str">
        <f>IFERROR(VLOOKUP(A716,Input!$D$241:$I$247,6,FALSE),"")</f>
        <v/>
      </c>
      <c r="G716" s="62" t="str">
        <f t="shared" si="11"/>
        <v/>
      </c>
    </row>
    <row r="717" spans="5:7" x14ac:dyDescent="0.25">
      <c r="E717" s="62" t="str">
        <f>IFERROR(VLOOKUP(A717,Input!$D$241:$I$247,6,FALSE),"")</f>
        <v/>
      </c>
      <c r="G717" s="62" t="str">
        <f t="shared" si="11"/>
        <v/>
      </c>
    </row>
    <row r="718" spans="5:7" x14ac:dyDescent="0.25">
      <c r="E718" s="62" t="str">
        <f>IFERROR(VLOOKUP(A718,Input!$D$241:$I$247,6,FALSE),"")</f>
        <v/>
      </c>
      <c r="G718" s="62" t="str">
        <f t="shared" si="11"/>
        <v/>
      </c>
    </row>
    <row r="719" spans="5:7" x14ac:dyDescent="0.25">
      <c r="E719" s="62" t="str">
        <f>IFERROR(VLOOKUP(A719,Input!$D$241:$I$247,6,FALSE),"")</f>
        <v/>
      </c>
      <c r="G719" s="62" t="str">
        <f t="shared" si="11"/>
        <v/>
      </c>
    </row>
    <row r="720" spans="5:7" x14ac:dyDescent="0.25">
      <c r="E720" s="62" t="str">
        <f>IFERROR(VLOOKUP(A720,Input!$D$241:$I$247,6,FALSE),"")</f>
        <v/>
      </c>
      <c r="G720" s="62" t="str">
        <f t="shared" si="11"/>
        <v/>
      </c>
    </row>
    <row r="721" spans="5:7" x14ac:dyDescent="0.25">
      <c r="E721" s="62" t="str">
        <f>IFERROR(VLOOKUP(A721,Input!$D$241:$I$247,6,FALSE),"")</f>
        <v/>
      </c>
      <c r="G721" s="62" t="str">
        <f t="shared" si="11"/>
        <v/>
      </c>
    </row>
  </sheetData>
  <phoneticPr fontId="2" type="noConversion"/>
  <pageMargins left="0.7" right="0.7" top="0.75" bottom="0.75" header="0.3" footer="0.3"/>
  <pageSetup paperSize="9" orientation="portrait" horizontalDpi="4294967295" verticalDpi="4294967295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808CE4F-F32F-444D-B3B2-4898008AA9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Input</vt:lpstr>
      <vt:lpstr>data_Comp_Features</vt:lpstr>
      <vt:lpstr>data_VECTO</vt:lpstr>
      <vt:lpstr>data_Maintenance_Curve</vt:lpstr>
      <vt:lpstr>data_Maintenance_Price</vt:lpstr>
      <vt:lpstr>data_FE_Fuels</vt:lpstr>
      <vt:lpstr>data_ETS_Prices</vt:lpstr>
      <vt:lpstr>data_Cost_Red_H2</vt:lpstr>
      <vt:lpstr>data_Electrolyzer</vt:lpstr>
      <vt:lpstr>data_Powertrain_Features</vt:lpstr>
      <vt:lpstr>data_Efficiencies</vt:lpstr>
      <vt:lpstr>data_CAPEX_Vehicles</vt:lpstr>
      <vt:lpstr>data_Components_Prices</vt:lpstr>
      <vt:lpstr>data_Chassis</vt:lpstr>
      <vt:lpstr>data_FuelPrices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Pérez Bravo</dc:creator>
  <cp:lastModifiedBy>Manuel Pérez Bravo</cp:lastModifiedBy>
  <dcterms:created xsi:type="dcterms:W3CDTF">2024-10-02T12:07:39Z</dcterms:created>
  <dcterms:modified xsi:type="dcterms:W3CDTF">2025-03-18T14:23:50Z</dcterms:modified>
</cp:coreProperties>
</file>